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Product w Size &amp; Prici" sheetId="1" r:id="rId5"/>
    <sheet state="visible" name="Formulas sheet" sheetId="2" r:id="rId6"/>
    <sheet state="visible" name="Upload sheet" sheetId="3" r:id="rId7"/>
    <sheet state="visible" name="Python sheet" sheetId="4" r:id="rId8"/>
    <sheet state="visible" name="Product Unique" sheetId="5" r:id="rId9"/>
    <sheet state="visible" name="Sheet2" sheetId="6" r:id="rId10"/>
    <sheet state="visible" name="Sheet3" sheetId="7" r:id="rId11"/>
  </sheets>
  <definedNames>
    <definedName hidden="1" localSheetId="2" name="_xlnm._FilterDatabase">'Upload sheet'!$A$1:$T$372</definedName>
    <definedName hidden="1" localSheetId="4" name="_xlnm._FilterDatabase">'Product Unique'!$A$1:$M$379</definedName>
  </definedNames>
  <calcPr/>
</workbook>
</file>

<file path=xl/sharedStrings.xml><?xml version="1.0" encoding="utf-8"?>
<sst xmlns="http://schemas.openxmlformats.org/spreadsheetml/2006/main" count="19513" uniqueCount="1655">
  <si>
    <t>Sku Number</t>
  </si>
  <si>
    <t>Count of Reviews (posted)</t>
  </si>
  <si>
    <t>Avg Star Rating</t>
  </si>
  <si>
    <t>VPC</t>
  </si>
  <si>
    <t>VPC 1</t>
  </si>
  <si>
    <t>VPC 2</t>
  </si>
  <si>
    <t>VCP Count of Reviews</t>
  </si>
  <si>
    <t>VPC Avg Star Rating</t>
  </si>
  <si>
    <t>Count of 'collection' Reviews</t>
  </si>
  <si>
    <t>Theme</t>
  </si>
  <si>
    <t>Customer Description</t>
  </si>
  <si>
    <t>Sale Price</t>
  </si>
  <si>
    <t>Regular Price</t>
  </si>
  <si>
    <t>Specialty Brand</t>
  </si>
  <si>
    <t>Proprietary (P)</t>
  </si>
  <si>
    <t>Collection Copy</t>
  </si>
  <si>
    <t>Mattress Designation</t>
  </si>
  <si>
    <t>Mattress Size</t>
  </si>
  <si>
    <t>Mattress Type</t>
  </si>
  <si>
    <t>Pressure Relief</t>
  </si>
  <si>
    <t>Sleep Position</t>
  </si>
  <si>
    <t>Support Level</t>
  </si>
  <si>
    <t>Temperature Management</t>
  </si>
  <si>
    <t>Comfort</t>
  </si>
  <si>
    <t>Image 1</t>
  </si>
  <si>
    <t>Image 2</t>
  </si>
  <si>
    <t>Base product link</t>
  </si>
  <si>
    <t>Actual variant link</t>
  </si>
  <si>
    <t>CASPER CLOUD ONE</t>
  </si>
  <si>
    <t>TWX CASPER CLOUD ONE</t>
  </si>
  <si>
    <t>CASPER</t>
  </si>
  <si>
    <t>Adult</t>
  </si>
  <si>
    <t>Twin XL</t>
  </si>
  <si>
    <t>Foam</t>
  </si>
  <si>
    <t>3-Superior</t>
  </si>
  <si>
    <t>Side/Back/Stomach</t>
  </si>
  <si>
    <t>2-Good</t>
  </si>
  <si>
    <t>Medium</t>
  </si>
  <si>
    <t>CASPER SNOW 2.0</t>
  </si>
  <si>
    <t>TWXL CASPER SNOW 2.0</t>
  </si>
  <si>
    <t>Casper signature cooling hybrid mattress. Specialty cool-to-the-touch fibers give an instantly refreshing feel. Phase Change Materialinstantly pulls heat away whileHeatDeleteT Bandsremove excess body heat to help yousleep 5 cooler all night long. Soothe Memory Foam conforms to the body and gently eases you into deep sleep. Zoned Support helps keep your spine in alignment with firmer foam under the hips, waist and lower back. Individually pocketed Flex Coils reduce motion transfer and boost support.</t>
  </si>
  <si>
    <t>Hybrid</t>
  </si>
  <si>
    <t>4-Premier</t>
  </si>
  <si>
    <t>Mattress Only~Casper Snow Max</t>
  </si>
  <si>
    <t>Mattress Only</t>
  </si>
  <si>
    <t>Casper Snow Max</t>
  </si>
  <si>
    <t>CASPER SNOW MAX</t>
  </si>
  <si>
    <t>TWXL CASPER SNOW MAX</t>
  </si>
  <si>
    <t>Ultimate cooling hybrid mattress. Specialty cool-to-the-touch fibers give an instantly refreshing feel. Phase Change MaterialandHeatDeleteT Bands remove excess body heat and help yousleep 6 cooler all night long. Precision-cut foam and encased coils for a breathable and supportive medium-soft feel. Ultra-supportive Align Memory Foam keeps you aligned for your deepest sleep. Firmer center foam cradles your body while giving added support to your hips, waist and lower back. Individually pocketed Flex Coils flex reduce motion transfer and boost support.</t>
  </si>
  <si>
    <t>Side/Back</t>
  </si>
  <si>
    <t>5-Ultimate</t>
  </si>
  <si>
    <t>Soft</t>
  </si>
  <si>
    <t>CASPER ONYX 2.0</t>
  </si>
  <si>
    <t>TWXL CASPER ONYX 2.0</t>
  </si>
  <si>
    <t>P</t>
  </si>
  <si>
    <t>The Casper Onyx mattress is designed with 3 layers of foam for comfort, breathability and support. Obsessively engineered by Casper's award-winning research and development team, this mattress contains Breathe Flex Foam for support and pressure relief &amp; Breathe Foam for air flow that pairs breathability with softness for all-night comfort. Key FeaturesA cozy knit cover designed with added stretch so you can experience all the comfort your mattress has to offer. Features a top layer of Breathe Flex Foam that's both responsive and breathable to soothe you to sleep with the perfect bit of bounce. A firm Casper Core base provides long-lasting support while preventing sinking and sagging. Foams are certified by the CertiPUR-US program, meaning they are made without ozone depleting chemicals and regulated by the Consumer Product Safety Commission Low VOC Volatile Organic Compound emissions for indoor air quality less than 0.5 parts per million.</t>
  </si>
  <si>
    <t>SMART MATCH 2.0</t>
  </si>
  <si>
    <t>TWX SMART MATCH 2.0</t>
  </si>
  <si>
    <t>KINGSDOWN</t>
  </si>
  <si>
    <t>Innerspring</t>
  </si>
  <si>
    <t>Mattress Only~Adapt 2.0 Medium</t>
  </si>
  <si>
    <t>Adapt 2.0 Medium</t>
  </si>
  <si>
    <t>ADAPT 2.0 MEDIUM</t>
  </si>
  <si>
    <t>TWXL ADAPT MEDIUM</t>
  </si>
  <si>
    <t>TEMPURPEDIC</t>
  </si>
  <si>
    <t>.Superior cool-to-the-touch feel with a premium knit cover..TEMPUR-Material provides one-of-a-kind, body-conforming support by responding to your body's weight, shape, and temperature to help reduce aches and pains..A second layer of TEMPUR-Material absorbs motion to help minimize disruptions caused by movement from partners, pets, or kids.</t>
  </si>
  <si>
    <t>Mattress Only~Adapt 2.0 Medium Hybrid</t>
  </si>
  <si>
    <t>Adapt 2.0 Medium Hybrid</t>
  </si>
  <si>
    <t>ADAPT 2.0 MEDIUM HYBRID</t>
  </si>
  <si>
    <t>TWXL ADAPT MEDIUM HYBRID</t>
  </si>
  <si>
    <t>.Superior cool-to-the-touch feel with a premium knit cover..TEMPUR-Material provides one-of-a-kind, body-conforming support by responding to your body's weight, shape, and temperature to help reduce aches and pains..A second layer of TEMPUR-Material absorbs motion to help minimize disruptions caused by movement from partners, pets, or kids..Hybrid technology combines premium innersprings with TEMPUR-Material to deliver the right combination of pressure relief and support.</t>
  </si>
  <si>
    <t>Mattress Only~Proadapt 2.0 Firm</t>
  </si>
  <si>
    <t>Proadapt 2.0 Firm</t>
  </si>
  <si>
    <t>PROADAPT 2.0 FIRM</t>
  </si>
  <si>
    <t>TWXL PROADAPT FIRM</t>
  </si>
  <si>
    <t>.The removable, machine-washable, and cool-to-the-touch SmartClimate cover features heat-absorbing fibers, drawing heat away from the body for added cooling comfort..Ventilated Advanced Relief Material provides pressure relief and added ventilation for increased airflow..TEMPUR-Material provides one-of-a-kind, body-conforming support by responding to your body's weight, shape, and temperature.</t>
  </si>
  <si>
    <t>Stomach/Back</t>
  </si>
  <si>
    <t>Firm</t>
  </si>
  <si>
    <t>Mattress Only~Probreeze 2.0 Medium Hybrid</t>
  </si>
  <si>
    <t>Probreeze 2.0 Medium Hybrid</t>
  </si>
  <si>
    <t>PROBREEZE 2.0 MEDIUM HYBRID</t>
  </si>
  <si>
    <t>TWXL PROBREEZE MED HYBRID</t>
  </si>
  <si>
    <t>Experience all-night cooling with the all-new TEMPUR-ProBreeze mattress. Features a removable, machine-washable cover with heat-absorbing fibers that provide cooling comfort. Premium hybrid technology combines over 1,000 innersprings with Tempur-Pedic's pressure relieving and cooling materials. Delivers exceptional support and ensures cool and comfortable sleep every night.</t>
  </si>
  <si>
    <t>Mattress Only~Proadapt 2.0 Medium</t>
  </si>
  <si>
    <t>Proadapt 2.0 Medium</t>
  </si>
  <si>
    <t>PROADAPT 2.0 MEDIUM</t>
  </si>
  <si>
    <t>TWXL PROADAPT MEDIUM</t>
  </si>
  <si>
    <t>Mattress Only~Proadapt 2.0 Soft</t>
  </si>
  <si>
    <t>Proadapt 2.0 Soft</t>
  </si>
  <si>
    <t>PROADAPT 2.0 SOFT</t>
  </si>
  <si>
    <t>TWXL PROADAPT SOFT</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</si>
  <si>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conforms to your body for ultimate comfort.</t>
  </si>
  <si>
    <t>Mattress Only~Proadapt 2.0 Medium Hybrid</t>
  </si>
  <si>
    <t>Proadapt 2.0 Medium Hybrid</t>
  </si>
  <si>
    <t>PROADAPT 2.0 MEDIUM HYBRID</t>
  </si>
  <si>
    <t>TWXL PROADAPT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</si>
  <si>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.Hybrid technology mixes premium innersprings with one-of-a-kind Tempur-Pedic materials to deliver the right combination of relief and support.</t>
  </si>
  <si>
    <t>Mattress Only~Luxeadapt 2.0 Soft</t>
  </si>
  <si>
    <t>Luxeadapt 2.0 Soft</t>
  </si>
  <si>
    <t>LUXEADAPT 2.0 SOFT</t>
  </si>
  <si>
    <t>TWXL LUXEADAPT SOFT</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</si>
  <si>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.An ergonomic 5-zone support layer conforms to your body for targeted support in the spine, hips, and shoulders for personalized comfort.</t>
  </si>
  <si>
    <t>Mattress Only~Luxeadapt 2.0 Medium Hybrid</t>
  </si>
  <si>
    <t>Luxeadapt 2.0 Medium Hybrid</t>
  </si>
  <si>
    <t>LUXEADAPT 2.0 MEDIUM HYBRID</t>
  </si>
  <si>
    <t>TWXL LUXEADAPT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</si>
  <si>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 .Hybrid technology mixes premium innersprings with a proprietary hybrid material to deliver a lighter, more-responsive feel that helps support any sleep position.</t>
  </si>
  <si>
    <t>Mattress Only~Luxebreeze 2.0 Firm</t>
  </si>
  <si>
    <t>Luxebreeze 2.0 Firm</t>
  </si>
  <si>
    <t>LUXEBREEZE 2.0 FIRM</t>
  </si>
  <si>
    <t>TWXL LUXEBREEZE FIRM</t>
  </si>
  <si>
    <t>The all-new TEMPUR-LuxeBreeze mattress feels up to 10 cooler. Features advanced Pure Cool Plus material designed to pull heat away from the body so even the hottest sleepers can stay cool throughout the night. One-of-a-kind Tempur-Pedic Ventilated Advanced Relief material increases airflow throughout the mattress for a deeper, more restful sleep.</t>
  </si>
  <si>
    <t>TUFT &amp; NEEDLE STITCH TN3.1</t>
  </si>
  <si>
    <t>TWX T&amp;N TN3.1</t>
  </si>
  <si>
    <t>TUFT &amp; NEEDLE</t>
  </si>
  <si>
    <t>TUFT &amp; NEEDLE STITCH TN5.1</t>
  </si>
  <si>
    <t>TWX T&amp;N TN5.1</t>
  </si>
  <si>
    <t>TUFT &amp; NEEDLE STITCH TN9.1</t>
  </si>
  <si>
    <t>TWX T&amp;N TN9.1</t>
  </si>
  <si>
    <t>TUFT &amp; NEEDLE TN1</t>
  </si>
  <si>
    <t>TWX T&amp;N TN1</t>
  </si>
  <si>
    <t>Reclaim your nights and wake refreshed for your days with the Tuft &amp; Needle TN1 12 Firm mattress. Available in a standard flat-mattress construction, this mattress offers innovative cooling, responsive pressure relief, and the bounce back support of T&amp;N Adaptive foam, so you can sink deeply into sleep-but never into your mattress. Unlike memory foam, Tuft &amp; Needle's T&amp;N Adaptive foam doesn't sink under your weight. Instead, it keeps you lifted while contouring to relieve pressure where you need it most. Rest easy as this ventilated foam helps channel airflow through the mattress and a breathable cover helps you sleep comfortably. Plus, feel cool as T&amp;N AdaptiveCool gel foam technology, designed to help absorb heat, is ribboned across the center-third of the mattress to promote optimal cooling. With the addition of comfortable support foams, each Tuft &amp; Needle TN1 12 Firm flat-mattress protects your rest so you can wake up refreshed and ready for the day.</t>
  </si>
  <si>
    <t>MOLECULE CORE</t>
  </si>
  <si>
    <t>TWXL MOLECULE CORE</t>
  </si>
  <si>
    <t>MOLECULE</t>
  </si>
  <si>
    <t>Mattress Only~Broad Peak Medium Hybrid</t>
  </si>
  <si>
    <t>Broad Peak Medium Hybrid</t>
  </si>
  <si>
    <t>BROAD PEAK MEDIUM HYBRID</t>
  </si>
  <si>
    <t>TWXL BROAD PEAK</t>
  </si>
  <si>
    <t>BEAUTYREST SELECT</t>
  </si>
  <si>
    <t>Developed by the pioneer of the hybrid mattress, the new Beautyrest Select Hybrid line offers consistent that conforms to your body, allowing you to find your optimal sleep position. The superior stretch and recovery surface adapts with you throughout the night, enabling you to engage more closely with the pressure relieving memory foams for a deep, easy sleep. This unique construction enhances the benefits of both our Pocketed Coil Technology and gel memory foams to provide comfort and breathability.</t>
  </si>
  <si>
    <t>BAY DREAMER</t>
  </si>
  <si>
    <t>TWX BAY DREAMER</t>
  </si>
  <si>
    <t>TOMMY BAHAMA</t>
  </si>
  <si>
    <t>Kid</t>
  </si>
  <si>
    <t>MAKE WAVES</t>
  </si>
  <si>
    <t>TWX MAKE WAVES</t>
  </si>
  <si>
    <t>SEASIDE SERENITY</t>
  </si>
  <si>
    <t>TWX SEASIDE SERENITY</t>
  </si>
  <si>
    <t>Mattress Only~Forester</t>
  </si>
  <si>
    <t>Forester</t>
  </si>
  <si>
    <t>FORESTER</t>
  </si>
  <si>
    <t>TWX FORESTER</t>
  </si>
  <si>
    <t>THERAPEDIC</t>
  </si>
  <si>
    <t>Extra Firm</t>
  </si>
  <si>
    <t>DARLINGTON</t>
  </si>
  <si>
    <t>TWX DARLINGTON</t>
  </si>
  <si>
    <t>HASTINGS</t>
  </si>
  <si>
    <t>TWXL HASTINGS</t>
  </si>
  <si>
    <t>THERAPEDIC HYBRID</t>
  </si>
  <si>
    <t>KAANAPALI</t>
  </si>
  <si>
    <t>TWXL KAANAPALI</t>
  </si>
  <si>
    <t>Mattress Only~Ledo</t>
  </si>
  <si>
    <t>Ledo</t>
  </si>
  <si>
    <t>LEDO</t>
  </si>
  <si>
    <t>TWXL LEDO</t>
  </si>
  <si>
    <t>CAPERTEE</t>
  </si>
  <si>
    <t>TWXL CAPERTEE</t>
  </si>
  <si>
    <t>DREW &amp; JONATHAN</t>
  </si>
  <si>
    <t>ARADA CANYON</t>
  </si>
  <si>
    <t>TWXL ARADA CANYON</t>
  </si>
  <si>
    <t>Mattress Only~Oceana Mist</t>
  </si>
  <si>
    <t>Oceana Mist</t>
  </si>
  <si>
    <t>OCEANA MIST</t>
  </si>
  <si>
    <t>TWX OCEANA MIST</t>
  </si>
  <si>
    <t>BEAUTYSLEEP</t>
  </si>
  <si>
    <t>The Beauty Sleep Oceana Mist 11.5 Medium Hybrid mattress is designed for your lifestyle. With a smooth top panel, the Beauty Sleep Oceana Mist 11.5 Medium Hybrid mattress features AllCool Gel Foam and AllCool Gel Memory Foam that contours to your body for the ultimate pressure relief. Premium foams provide a responsive sleep surface for all-night comfort, support, airflow, and breathability. Plus, firm 815 Original Beauty Sleep Pocketed Coils provide consistent, supportive sleep at a value designed for your lifestyle. Medium Smooth Top Hybrid mattress.</t>
  </si>
  <si>
    <t>Mattress Only~Level Three Plush</t>
  </si>
  <si>
    <t>Level Three Plush</t>
  </si>
  <si>
    <t>LEVEL THREE PLUSH</t>
  </si>
  <si>
    <t>TWXL WORLD CLASS LEVEL THREE PLUSH</t>
  </si>
  <si>
    <t>BEAUTYREST WORLD CLASS</t>
  </si>
  <si>
    <t>Step up to a world class sleep experience with Beautyrest World Class. Provides cushy comfort that responds to movement with a soft-yet-supportive feel. InfiniCool MAX Technology adds advanced cooling with vertical cooling fibers. SurfaceTouch Gel Memory Foam is quilted into the sleep surface to unlock immediate, advanced comfort. World Class Relief HD Foam, featured in all level three Beautyrest mattresses, adapts to body temperature, providing responsive pressure relief. Beautyrest ActiveResponse MAX HD Memory Foam creates high-density contouring to help alleviate aches and pains. 1000-density Pocketed Coil Technology and higher density foams offer individualized support motion separation.</t>
  </si>
  <si>
    <t>LEVEL THREE MEDIUM PILLOWTOP</t>
  </si>
  <si>
    <t>TWXL WORLD CLASS LEVEL THREE MED PT</t>
  </si>
  <si>
    <t>Step up to a world class sleep experience with Beautyrest World Class. Provides medium support with just the right amount of pressure relief and cloud-like top layer. InfiniCool MAX Technology adds advanced cooling combined with natural lux fibers for added surface breathability. SurfaceTouch Gel Memory Foam is quilted into the sleep surface to unlock immediate, advanced comfort. GelTouch Foam helps provide comfort, support, airflow and breathability. World Class Relief HD Foam, featured in all level three Beautyrest mattresses, adapts to body temperature, providing responsive pressure relief. Beautyrest ActiveResponse MAX HD Memory Foam creates high-density contouring to help alleviate aches and pains. 1000-density Pocketed Coil Technology and higher density foams offer individualized support motion separation.</t>
  </si>
  <si>
    <t>LEVEL FOUR PLUSH PILLOWTOP</t>
  </si>
  <si>
    <t>TWXL WORLD CLASS LEVEL FOUR PLUSH PT</t>
  </si>
  <si>
    <t>Step up to a world class sleep experience with Beautyrest World Class. Provides cushy comfort that responds to movement with a soft-yet-supportive feel and a cloud-like top layer. InfiniCool MAX Technology adds advanced cooling with vertical cooling fibers. Level Four mattresses feature twice the SurfaceTouch Gel Memory Foam, unlocking even more pressure relief right at the surface. World Class Relief HD Foam, featured in all level four Beautyrest mattresses, offers remarkable pressure relief that responds to your body. Beautyrest ActiveResponse MAX HD Memory Foam helps alleviate aches and pains withhigh-density contouring. 1000-density Pocketed Coil Technology and higher density foams offer individualized support motion separation.</t>
  </si>
  <si>
    <t>KERRY PARK</t>
  </si>
  <si>
    <t>TWX KERRY PARK</t>
  </si>
  <si>
    <t>CORRECT COMFORT</t>
  </si>
  <si>
    <t>Extra Soft</t>
  </si>
  <si>
    <t>Mattress Only~Bradford Hill</t>
  </si>
  <si>
    <t>Bradford Hill</t>
  </si>
  <si>
    <t>BRADFORD HILL</t>
  </si>
  <si>
    <t>TWX BRADFORD HILL</t>
  </si>
  <si>
    <t>NORTHGATE</t>
  </si>
  <si>
    <t>TWX NORTHGATE</t>
  </si>
  <si>
    <t>BRIERWOOD</t>
  </si>
  <si>
    <t>TWXL BRIERWOOD</t>
  </si>
  <si>
    <t>POSTUREPEDIC</t>
  </si>
  <si>
    <t>The Sealy Posturepedic Briarwood Medium mattress offers lasting comfort and superior support to help maintain natural body alignment and reduce nagging Bed Aches. The orthopedic-inspired Posturepedic Support System features exclusive PrecisionFit Coils, arranged right where you need them. Plus the Coil Edge provides a solid surface that's built to last.</t>
  </si>
  <si>
    <t>CASTLE ROCK</t>
  </si>
  <si>
    <t>TWXL CASTLE ROCK</t>
  </si>
  <si>
    <t>POSTUREPEDIC PLUS</t>
  </si>
  <si>
    <t>The Sealy Posturepedic Castle Rock Medium EPT mattress delivers pressure-relieving comfort to help maintain natural body alignment and reduce nagging Bed Aches night after night. The orthopedic-inspired Posturepedic Plus Support System features exclusive PrecisionFit Coils, arranged right where you need them. Plus, the DuraFlex Coil Edge provides a reinforced solid surface that's built to last.</t>
  </si>
  <si>
    <t>PEBBLEBROOK</t>
  </si>
  <si>
    <t>TWXL PEBBLEBROOK</t>
  </si>
  <si>
    <t>POSTUREPEDIC PRO</t>
  </si>
  <si>
    <t>The Sealy Posturepedic Pebblebrook Medium mattress offers pressure-relieving comfort and targeted support to help maintain natural body alignment and reduce nagging Bed Aches night after night. The orthopedic-inspired Posturepedic Pro Support System features exclusive PrecisionFit Coils enhanced by MaxSupport Technology for all-over support. And the DuraFlex Coil Edge provides a reinforced solid surface that's built to last.</t>
  </si>
  <si>
    <t>Mattress Only~Series One Extra Firm</t>
  </si>
  <si>
    <t>Series One Extra Firm</t>
  </si>
  <si>
    <t>SERIES ONE EXTRA FIRM</t>
  </si>
  <si>
    <t>TWX SERIES ONE EXTRA FIRM</t>
  </si>
  <si>
    <t>BEAUTYREST BLACK</t>
  </si>
  <si>
    <t>Experience extraordinary sleep at the intersection of luxury and innovation with the Beautyrest Black Collection's premier materials and advanced sleep technology. Triple-Stranded Pocketed Coil Technology offers our highest level of individualized support and motion separation, so you can rest undisturbed. Specialized vertical fibers combine with an applied surface-cooling technology to help transfer heat away from the body all night. Contouring foam adheres to the shape of your body for exceptional pressure relief. High-density, firm-feel comfort foam provides a unique combination of comfort and support night after night. A unique, channeled design promotes airflow for cool, enhanced pressure relief. All foams are CertiPUR-US certified. Our mattresses are proudly assembled in the USA. Adjustable base compatible.</t>
  </si>
  <si>
    <t>Mattress Only~Series Two Medium</t>
  </si>
  <si>
    <t>Series Two Medium</t>
  </si>
  <si>
    <t>SERIES TWO MEDIUM</t>
  </si>
  <si>
    <t>TWX SERIES TWO MEDIUM TT</t>
  </si>
  <si>
    <t>Experience extraordinary sleep at the intersection of luxury and innovation with the Beautyrest Black Collection's premier materials and advanced sleep features. Triple-Stranded Pocketed Coil Technology offers our highest level of individualized support and motion separation, so you can rest undisturbed. Specialized vertical fibers combine with an applied surface-cooling technology to help transfer heat away from the body all night. A supportive foam layer quilted into the sleep surface unlocks advanced pressure relief. Micro Diamond Memory Foam, infused with diamond particles, helps move heat away from the body for a cool sleep. A unique, channeled design promotes airflow for cool, enhanced pressure relief. All foams are CertiPUR-US certified. Our mattresses are proudly assembled in the USA. Adjustable base friendly - helps reduce snoring and enhance comfort.</t>
  </si>
  <si>
    <t>Mattress Only~Series Three Plush Pillow Top</t>
  </si>
  <si>
    <t>Series Three Plush Pillow Top</t>
  </si>
  <si>
    <t>SERIES THREE PLUSH PILLOW TOP</t>
  </si>
  <si>
    <t>TWXL SERIES THREE PLUSH PT</t>
  </si>
  <si>
    <t>Experience extraordinary sleep at the intersection of luxury and innovation with the Beautyrest Black Collection's premier materials and advanced sleep technology. Plus, for an even more luxurious upgrade, Series Three Pillow Top models feature exclusive 2K Nano Coils for enhanced, individualized support throughout the night.Triple-Stranded Pocketed Coil Technology offers our highest level of individualized support and motion separation, so you can rest undisturbed.A layer of specialized foam is quilted into the sleep surface for exceptional pressure relief.A premium memory foam layer, infused with diamond particles, is designed to help move heat away from the body for a cool sleep.Ventilated latex layer maximizes airflow and provides advanced pressure relief.A layer of 2K Nano Coils enhances conformability for increased, individualized support All foams are CertiPUR-US certified.Our mattresses are proudly assembled in the USA.Adjustable base compatible.</t>
  </si>
  <si>
    <t>Mattress Only~Estate Firm Tt</t>
  </si>
  <si>
    <t>Estate Firm Tt</t>
  </si>
  <si>
    <t>ESTATE FIRM TT</t>
  </si>
  <si>
    <t>TWXL ESTATE FIRM TT</t>
  </si>
  <si>
    <t>STEARNS &amp; FOSTER</t>
  </si>
  <si>
    <t>Engineered with the best night's sleep in mind, Stearns &amp; Foster Estate Collection takes comfort to the next level. Featuring our TEMPUR-Indulge Memory Foam for enhanced pressure relief. Exclusive IntelliCoil innersprings add night-long support.</t>
  </si>
  <si>
    <t>ESTATE FIRM PT</t>
  </si>
  <si>
    <t>TWXL ESTATE FIRM PT</t>
  </si>
  <si>
    <t>Mattress Only~Lux Estate Elite</t>
  </si>
  <si>
    <t>Lux Estate Elite</t>
  </si>
  <si>
    <t>LUX ESTATE ELITE</t>
  </si>
  <si>
    <t>TWXL LUX ESTATE ELITE MEDIUM PT</t>
  </si>
  <si>
    <t>The soft, sustainably sourced TENCEL cover creates a cool and comfortable sleep surface with enhanced cooling fibers. TEMPUR-Indulge Memory Foam comfort layers, developed by the sleep experts at Tempur-Pedic, conform to the body to deliver all-night comfort and pressure relief. The Pillowtop Support Layer features microcoils just below the pillowtop to provide added durability for maintaining overall comfort. Supportive latex comfort layers provide a perfect combination of pressure relief, durability, and a uniquely weightless, yet supported feel. IntelliCoil innersprings are uniquely designed to respond to varying types of pressure, providing the perfect balance of pressure relief and support.</t>
  </si>
  <si>
    <t>Mattress Only~Helix Midnight Luxe</t>
  </si>
  <si>
    <t>Helix Midnight Luxe</t>
  </si>
  <si>
    <t>HELIX MIDNIGHT LUXE</t>
  </si>
  <si>
    <t>TWXL HELIX MIDNIGHT LUXE</t>
  </si>
  <si>
    <t>HELIX</t>
  </si>
  <si>
    <t>Mattress Only~Helix Midnight Elite</t>
  </si>
  <si>
    <t>Helix Midnight Elite</t>
  </si>
  <si>
    <t>HELIX MIDNIGHT ELITE</t>
  </si>
  <si>
    <t>TWXL HELIX MIDNIGHT ELITE</t>
  </si>
  <si>
    <t>Mattress Only~Casper Cloud One</t>
  </si>
  <si>
    <t>Casper Cloud One</t>
  </si>
  <si>
    <t>TW CASPER CLOUD ONE</t>
  </si>
  <si>
    <t>Twin</t>
  </si>
  <si>
    <t>TW CASPER ONYX 2.0</t>
  </si>
  <si>
    <t>The Casper Onyx mattress is designed with 3 layers of foam for comfort, breathability and support. Obsessively engineered by Casper's award-winning research and development team, this mattress contains Breathe Flex Foam for support and pressure relief &amp; Breathe Foam for air flow that pairs breathability with softness for all-night comfort. Key Features A cozy knit cover designed with added stretch so you can experience all the comfort your mattress has to offer. Features a top layer of Breathe Flex Foam that's both responsive and breathable to soothe you to sleep with the perfect bit of bounce.A firm Casper Core base provides long-lasting support while preventing sinking and sagging. Foams are certified by the CertiPUR-US program, meaning they are made without ozone depleting chemicals and regulated by the Consumer Product Safety Commission Low VOC Volatile Organic Compound emissions for indoor air quality less than 0.5 parts per million.</t>
  </si>
  <si>
    <t>TW SMART MATCH 2.0</t>
  </si>
  <si>
    <t>Mattress Only~Turnbull</t>
  </si>
  <si>
    <t>Turnbull</t>
  </si>
  <si>
    <t>TURNBULL</t>
  </si>
  <si>
    <t>TW TURNBULL</t>
  </si>
  <si>
    <t>.A top layer of gel foam keeps the surface cool while providing pressure relief &amp; support. .A second layer of convoluted foam emphasizes the cooling properties in the mattress. .Foam encased coils ensure personalized support and minimize partner disturbance..Reinforced coils along the perimeter create full, edge-to-edge support throughout the mattress. .Ensures cool and comfortable sleep throughout the night.</t>
  </si>
  <si>
    <t>1-Basic</t>
  </si>
  <si>
    <t>Mattress Only~Hawke</t>
  </si>
  <si>
    <t>Hawke</t>
  </si>
  <si>
    <t>HAWKE</t>
  </si>
  <si>
    <t>TW HAWKE</t>
  </si>
  <si>
    <t>.Gel micro-denier polyester fiber in the cover makes the surface exceptionally soft and resilient. .Tri-tech memory foam includes specialized lumbar support underneath it..Materials are infused with copper, silver and graphite for ultimate comfort. .Gel foam keeps the mattress cool while providing pressure relief and support. .Perimeter wrapped coils provide superior edge-to-edge support at the base level..Ensures comfortable sleep throughout the night.</t>
  </si>
  <si>
    <t>Mattress Only~Grenson</t>
  </si>
  <si>
    <t>Grenson</t>
  </si>
  <si>
    <t>GRENSON</t>
  </si>
  <si>
    <t>TW GRENSON</t>
  </si>
  <si>
    <t>.The smooth cover is enhanced by the tri-tech memory foam underneath it. .Materials are infused with copper, silver and graphite for ultimate comfort. .Gel foam keeps the mattress cool while providing pressure relief and support. .A bottom layer of 6 foam core gently compresses for customized support where it's needed..This mattress works well with motion bases.</t>
  </si>
  <si>
    <t>TW ADAPT MEDIUM</t>
  </si>
  <si>
    <t>TW ADAPT MEDIUM HYBRID</t>
  </si>
  <si>
    <t>TW PROADAPT FIRM</t>
  </si>
  <si>
    <t>TW PROADAPT MEDIUM</t>
  </si>
  <si>
    <t>TW PROADAPT SOFT</t>
  </si>
  <si>
    <t>TW PROADAPT MEDIUM HYBRID</t>
  </si>
  <si>
    <t>TW T&amp;N TN3.1</t>
  </si>
  <si>
    <t>TW T&amp;N TN5.1</t>
  </si>
  <si>
    <t>TW T&amp;N TN9.1</t>
  </si>
  <si>
    <t>TUFT &amp; NEEDLE KIDS GLEE</t>
  </si>
  <si>
    <t>TW T&amp;N KIDS GLEE</t>
  </si>
  <si>
    <t>Whether they're a teething toddler or a growing teen, help your child wake refreshed with the Tuft &amp; Needle Glee mattress. Featuring a foam construction for cradling comfort, this mattress offers innovative cooling, responsive pressure relief, and the bounce-back support of T&amp;N Adaptive foam, so they can sink deeply into sleep-but never into the mattress. Unlike memory foam, Tuft &amp; Needle's T&amp;N Adaptive foam doesn't sink under weight. Instead, it keeps each sleeper lifted while contouring to relieve pressure where they need it most. With the addition of a breathable cover and reinforced edge support for corner-to-corner comfort, the Tuft &amp; Needle Glee 9 Medium-Firm mattress ensures your child can sleep well, and wake refreshed, for years to come.</t>
  </si>
  <si>
    <t>Mattress Only~Tuft &amp; Needle Tn1</t>
  </si>
  <si>
    <t>Tuft &amp; Needle Tn1</t>
  </si>
  <si>
    <t>TW T&amp;N TN1</t>
  </si>
  <si>
    <t>Mattress Only~Molecule Core</t>
  </si>
  <si>
    <t>Molecule Core</t>
  </si>
  <si>
    <t>TW MOLECULE CORE</t>
  </si>
  <si>
    <t>TW BROAD PEAK</t>
  </si>
  <si>
    <t>Mattress Only~Simmons Kids Delight</t>
  </si>
  <si>
    <t>Simmons Kids Delight</t>
  </si>
  <si>
    <t>SIMMONS KIDS DELIGHT</t>
  </si>
  <si>
    <t>TW SIMMONS KIDS DELIGHT</t>
  </si>
  <si>
    <t>SIMMONS KIDS</t>
  </si>
  <si>
    <t>The Simmons Kids Delight mattress is designed with multiple layers of advanced comfort foam. A plush outer layer provides pressure relief and stable temperature regulation. A firm comfort foam core adds the proper support for your growing child. The cozy channeled cover offers a refreshing night's rest.</t>
  </si>
  <si>
    <t>Mattress Only~Simmons Kids Glad</t>
  </si>
  <si>
    <t>Simmons Kids Glad</t>
  </si>
  <si>
    <t>SIMMONS KIDS GLAD</t>
  </si>
  <si>
    <t>TW SIMMONS KIDS GLAD</t>
  </si>
  <si>
    <t>The Simmons Kids Delight mattress is designed with multiple layers of advanced comfort foam. A plush outer layer provides pressure relief all night. Multiple gel foam layers add stable temperature regulation and cradling softness. A medium comfort foam core offers the proper support for your growing child.</t>
  </si>
  <si>
    <t>Mattress Only~Simmons Kids Happy</t>
  </si>
  <si>
    <t>Simmons Kids Happy</t>
  </si>
  <si>
    <t>SIMMONS KIDS HAPPY</t>
  </si>
  <si>
    <t>TW SIMMONS KIDS HAPPY</t>
  </si>
  <si>
    <t>The Simmons Kids Happy mattress is designed with multiple layers of advanced comfort foam and a supportive coil system. A plush outer layer offers cradling softness. Premium gel memory foam provides contouring pressure relief and temperature regulation. 800 individually wrapped coils conform to the body for supported sleep. A firm comfort foam core adds the proper support for your growing child.</t>
  </si>
  <si>
    <t>TW BAY DREAMER</t>
  </si>
  <si>
    <t>Soft firmness. Circular Knit Fabric with Lycra for a soft luxurious feel. TheraCool Enhanced Gel Quilt for maximum comfort and pressure relief while wicking away heat from the body for a cooler nights sleep. Performance Foam provides support, durability and comfortable sleep. Memory Touch Visco Lumbar Support provides conforming support to the lumbar region. TheraWrapedge to edge coil unit offersindividually encased coilsthatmove and conform to the body,eliminating sleep partner disturbances.</t>
  </si>
  <si>
    <t>Mattress Only~Make Waves</t>
  </si>
  <si>
    <t>Make Waves</t>
  </si>
  <si>
    <t>TW MAKE WAVES</t>
  </si>
  <si>
    <t>Firm firmness. Circular Knit Fabric with Lycra for a soft luxurious feel. Performance Foam provides support, durability and comfortable sleep. TheraCool Visco Gel provides pressure point relief and wicks away heat from the body for a cooler nights sleep. TheraWrapedge to edge coil unit offersindividually encased coilsthatmove and conform to the body,eliminating sleep partner disturbances.</t>
  </si>
  <si>
    <t>TW SEASIDE SERENITY</t>
  </si>
  <si>
    <t>Medium firmness. Circular Knit Fabric with Lycra for a soft luxurious feel. Performance Foam provides support, durability and comfortable sleep. TheraCool Visco Gel provides pressure point relief and wicks away heat from the body for a cooler nights sleep. TheraWrapedge to edge coil unit offersindividually encased coilsthatmove and conform to the body,eliminating sleep partner disturbances.</t>
  </si>
  <si>
    <t>Mattress Only~Alder</t>
  </si>
  <si>
    <t>Alder</t>
  </si>
  <si>
    <t>ALDER</t>
  </si>
  <si>
    <t>TW ALDER</t>
  </si>
  <si>
    <t>THERAPEDIC KIDS</t>
  </si>
  <si>
    <t>Therapedic's Alder mattress delivers a supportive bed for your growing child. Featuring antimicrobial protection, the quilt cover is enhanced with soft cushioning. For support and durability, this mattress utilizes performance foam to provide comfort for years to come. This product is made with the reassurance of CertiPUR-US foams that meet strict environmental, health and safety codes.</t>
  </si>
  <si>
    <t>Mattress Only~Creekmore</t>
  </si>
  <si>
    <t>Creekmore</t>
  </si>
  <si>
    <t>CREEKMORE</t>
  </si>
  <si>
    <t>TW CREEKMORE</t>
  </si>
  <si>
    <t>The Therapedic Creekmore mattress delivers a supportive bed that helps keep itself clean and fresh. Its sanitized finish continually inhibits the growth of odor-causing microbes and bacteria using zinc to keep your mattress fresh. Featuring antimicrobial protection, the quilt cover is enhanced with soft cushioning. TheraCool Memory Touch Visco gel foam maximizes comfort, combining pressure relieving and heat-wicking material. For support and durability, this mattress utilizes performance foam to provide comfort for years to come.</t>
  </si>
  <si>
    <t>Mattress Only~Flourish</t>
  </si>
  <si>
    <t>Flourish</t>
  </si>
  <si>
    <t>FLOURISH</t>
  </si>
  <si>
    <t>TW FLOURISH</t>
  </si>
  <si>
    <t>Designed to grow with your child, the Therapedic Flourish 2-Sided mattress makes a long-lasting bed that gives them the support they need. With two unique sides, this mattress includes zoned support based on your child's weight to provide proper support for their growth. TheraCool advanced gel foam promotes comfort, combining pressure relieving and heat-wicking material. Featuring antimicrobial protection, the quilt cover is enhanced with soft cushioning. Memory Touch Visco foam maximizes comfort, providing support and reducing pressure points. This premium foam adapts to weight and temperature for a customized sleep experience. For support and durability, this mattress utilizes performance foam to provide comfort for years to come.</t>
  </si>
  <si>
    <t>Mattress Only~Hamel</t>
  </si>
  <si>
    <t>Hamel</t>
  </si>
  <si>
    <t>HAMEL</t>
  </si>
  <si>
    <t>TW HAMEL</t>
  </si>
  <si>
    <t>Boasting innovative sleep technology, the Therapedic Hamel mattress epitomizes comfort with the addition of self-cleaning properties. Its sanitized finish continually inhibits the growth of odor-causing microbes and bacteria using zinc to keep your mattress fresh. Perfect for children sharing a bed, TheraWrap Edge to Edge coils reduce motion transfer to prevent partner disturbance. Each individual coil moves independently, conforming to fit the sleeper. Featuring antimicrobial protection, the quilt cover is enhanced with soft cushioning. TheraCool advanced gel foam with graphite promotes comfort, combining pressure relieving and heat-wicking material. For support and durability, this utilizes performance foam to provide comfort for years to come.</t>
  </si>
  <si>
    <t>Mattress Only~Impreza</t>
  </si>
  <si>
    <t>Impreza</t>
  </si>
  <si>
    <t>IMPREZA</t>
  </si>
  <si>
    <t>TW IMPREZA</t>
  </si>
  <si>
    <t>Theracool advanced gel wicks away heat from the body, ensuring a cooler night's sleep. Therafoam encasement provides tremendous edge support for a smoother transition in and out of bed. Individual coils move independently to conform to the sleeper's position. Performance Plush transition layer adds extra support. Its sanitized finish continually inhibits the growth of odor-causing microbes and bacteria, keeping your mattress fresh.</t>
  </si>
  <si>
    <t>TW FORESTER</t>
  </si>
  <si>
    <t>Mattress Only~Darlington</t>
  </si>
  <si>
    <t>Darlington</t>
  </si>
  <si>
    <t>TW DARLINGTON</t>
  </si>
  <si>
    <t>TW OCEANA MIST</t>
  </si>
  <si>
    <t>TW WORLD CLASS LEVEL THREE PLUSH</t>
  </si>
  <si>
    <t>TW WORLD CLASS LEVEL THREE MED PT</t>
  </si>
  <si>
    <t>TW WORLD CLASS LEVEL FOUR PLUSH PT</t>
  </si>
  <si>
    <t>TW KERRY PARK</t>
  </si>
  <si>
    <t>TW BRADFORD HILL</t>
  </si>
  <si>
    <t>Mattress Only~Brierwood</t>
  </si>
  <si>
    <t>Brierwood</t>
  </si>
  <si>
    <t>TW BRIERWOOD</t>
  </si>
  <si>
    <t>TW CASTLE ROCK</t>
  </si>
  <si>
    <t>TW PEBBLEBROOK</t>
  </si>
  <si>
    <t>Mattress Only~Tempur-kids</t>
  </si>
  <si>
    <t>Tempur-kids</t>
  </si>
  <si>
    <t>TEMPUR-KIDS</t>
  </si>
  <si>
    <t>TW TEMPUR-KIDS</t>
  </si>
  <si>
    <t>Exclusively at Rooms To Go, the TEMPUR-Kids mattress provides a restorative sleep experience for growing bodies. At the mattress surface, an anti-microbial cover is treated to defend against dust mite dander and other allergens to promote a fresh, healthy sleep environment. Beneath the cover, exclusive TEMPUR-ES Material creates a soft feel that relaxes your child's body. The ORIGINAL TEMPUR Material support layer adapts to your child's unique shape, providing conforming comfort. The end result is a plush mattress with body conforming support, which promotes deep, rejuvenating, Tempur-Pedic sleep.</t>
  </si>
  <si>
    <t>Mattress Only~Z-305</t>
  </si>
  <si>
    <t>Z-305</t>
  </si>
  <si>
    <t>TW Z-305</t>
  </si>
  <si>
    <t>SEALY KIDS</t>
  </si>
  <si>
    <t>Kid-friendly knitted fabric stretches in four directions, making the most of each comfort layer. Gel-infused quilted foam is soft to the touch, cradles the body, and helps keep the sleep surface cool. Active-Z's support layer offers medium firm upholstery foam, providing long lasting comfort throughout the mattress. Advanced support system offers individually wrapped coils that adapt to body movements and provide targeted support where it's needed most. Solid edge system delivers superior performance, additional sleep surface, and overall mattress stability with edge-to-edge foam encasement.</t>
  </si>
  <si>
    <t>Z-505</t>
  </si>
  <si>
    <t>TW Z-505</t>
  </si>
  <si>
    <t>Kid-friendly knitted stretch fabric features cooling performance yarns engineered for a comfortable night's sleep. Gel-infused quilted foam is soft to the touch, cradles the body, and helps keep the sleep surface cool. Active-Z gel memory foam layer provides advanced air cushioning for additional temperature control. Advanced support system offers individually wrapped coils that adapt to body movements and provide targeted support where it's needed most. Solid edge system delivers superior performance, additional sleep surface, and overall mattress stability with edge-to-edge foam encasement.</t>
  </si>
  <si>
    <t>Mattress Only~Helix Kids</t>
  </si>
  <si>
    <t>Helix Kids</t>
  </si>
  <si>
    <t>HELIX KIDS</t>
  </si>
  <si>
    <t>TW HELIX KIDS</t>
  </si>
  <si>
    <t>Dual</t>
  </si>
  <si>
    <t>TW HELIX MIDNIGHT LUXE</t>
  </si>
  <si>
    <t>TW HELIX MIDNIGHT ELITE</t>
  </si>
  <si>
    <t>Twin Adjustable Base Only~Ease 4.0</t>
  </si>
  <si>
    <t>Twin Adjustable Base Only</t>
  </si>
  <si>
    <t>Ease 4.0</t>
  </si>
  <si>
    <t>EASE 4.0</t>
  </si>
  <si>
    <t>TW EASE 4.0</t>
  </si>
  <si>
    <t>Boasting all of the features of a power base, the Sealy Ease 4.0 adjustable base delivers custom comfort. Adjustable head and foot positions promote ergonomic alignment using a wireless remote. For enhanced relaxation, the zero gravity preset relieves pressure from your lower back to simulate a feeling of weightlessness. Easily set the base flat again with the touch of a button. Plus, tapered legs feature removable pieces to conveniently adjust the base height. Its light, thin profile offers a more seamless storage experience.</t>
  </si>
  <si>
    <t>FL CASPER CLOUD ONE</t>
  </si>
  <si>
    <t>Full</t>
  </si>
  <si>
    <t>FL CASPER SNOW 2.0</t>
  </si>
  <si>
    <t>Casper signature cooling hybrid mattress. Specialty cool-to-the-touch fibers give an instantly refreshing feel. Phase Change Materialinstantly pulls heat away whileHeatDeleteT Bandswork all night to remove excess body heat to help yousleep 5 cooler all night long. Soothe Memory Foam conforms to the body and gently eases you into deep sleep. Zoned Support helps keep your spine in alignment with firmer foam under the hips, waist and lower back. Individually pocketed Flex Coils reduce motion transfer and boost support.</t>
  </si>
  <si>
    <t>FL CASPER SNOW MAX</t>
  </si>
  <si>
    <t>Mattress Only~Casper Onyx 2.0</t>
  </si>
  <si>
    <t>Casper Onyx 2.0</t>
  </si>
  <si>
    <t>FL CASPER ONYX 2.0</t>
  </si>
  <si>
    <t>FL SMART MATCH 2.0</t>
  </si>
  <si>
    <t>FL TURNBULL</t>
  </si>
  <si>
    <t>FL HAWKE</t>
  </si>
  <si>
    <t>FL GRENSON</t>
  </si>
  <si>
    <t>FL ADAPT MEDIUM</t>
  </si>
  <si>
    <t>FL ADAPT MEDIUM HYBRID</t>
  </si>
  <si>
    <t>FL PROADAPT FIRM</t>
  </si>
  <si>
    <t>FL PROADAPT MEDIUM</t>
  </si>
  <si>
    <t>FL PROADAPT SOFT</t>
  </si>
  <si>
    <t>FL PROADAPT MEDIUM HYBRID</t>
  </si>
  <si>
    <t>The removable, machine-washable, and cool-to-the-touch SmartClimate cover features heat-absorbing fibers, drawing heat away from the body for added cooling comfort.Specially ventilated TEMPUR-Material delivers additional airflow and breathability, while providing pressure relief and motion absorption.Advanced Relief Material is the most pressure-relieving material made by Tempur-Pedic and contours to your body for ultimate comfort.Hybrid technology mixes premium innersprings with one-of-a-kind Tempur-Pedic materials to deliver the right combination of relief and support.</t>
  </si>
  <si>
    <t>Mattress Only~Stitch Tn3.1</t>
  </si>
  <si>
    <t>Stitch Tn3.1</t>
  </si>
  <si>
    <t>FL T&amp;N TN3.1</t>
  </si>
  <si>
    <t>Mattress Only~Stitch Tn5.1</t>
  </si>
  <si>
    <t>Stitch Tn5.1</t>
  </si>
  <si>
    <t>FL T&amp;N TN5.1</t>
  </si>
  <si>
    <t>FL T&amp;N TN9.1</t>
  </si>
  <si>
    <t>Mattress Only~Kids Glee</t>
  </si>
  <si>
    <t>Kids Glee</t>
  </si>
  <si>
    <t>FL T&amp;N KIDS GLEE</t>
  </si>
  <si>
    <t>FL T&amp;N TN1</t>
  </si>
  <si>
    <t>FL MOLECULE CORE</t>
  </si>
  <si>
    <t>FL BROAD PEAK</t>
  </si>
  <si>
    <t>FL SIMMONS KIDS DELIGHT</t>
  </si>
  <si>
    <t>FL SIMMONS KIDS GLAD</t>
  </si>
  <si>
    <t>FL SIMMONS KIDS HAPPY</t>
  </si>
  <si>
    <t>Mattress Only~Bay Dreamer</t>
  </si>
  <si>
    <t>Bay Dreamer</t>
  </si>
  <si>
    <t>FL BAY DREAMER</t>
  </si>
  <si>
    <t>FL MAKE WAVES</t>
  </si>
  <si>
    <t>Mattress Only~Seaside Serenity</t>
  </si>
  <si>
    <t>Seaside Serenity</t>
  </si>
  <si>
    <t>FL SEASIDE SERENITY</t>
  </si>
  <si>
    <t>FL ALDER</t>
  </si>
  <si>
    <t>FL CREEKMORE</t>
  </si>
  <si>
    <t>FL FLOURISH</t>
  </si>
  <si>
    <t>FL HAMEL</t>
  </si>
  <si>
    <t>FL IMPREZA</t>
  </si>
  <si>
    <t>FL FORESTER</t>
  </si>
  <si>
    <t>FL DARLINGTON</t>
  </si>
  <si>
    <t>FL OCEANA MIST</t>
  </si>
  <si>
    <t>FL WORLD CLASS LEVEL THREE PLUSH</t>
  </si>
  <si>
    <t>FL WORLD CLASS LEVEL THREE MED PT</t>
  </si>
  <si>
    <t>FL WORLD CLASS LEVEL FOUR PLUSH PT</t>
  </si>
  <si>
    <t>FL KERRY PARK</t>
  </si>
  <si>
    <t>FL BRADFORD HILL</t>
  </si>
  <si>
    <t>FL BRIERWOOD</t>
  </si>
  <si>
    <t>FL CASTLE ROCK</t>
  </si>
  <si>
    <t>FL PEBBLEBROOK</t>
  </si>
  <si>
    <t>FL TEMPUR-KIDS</t>
  </si>
  <si>
    <t>FL SERIES ONE EXTRA FIRM</t>
  </si>
  <si>
    <t>FL SERIES TWO MEDIUM TT</t>
  </si>
  <si>
    <t>FL SERIES THREE PLUSH PT</t>
  </si>
  <si>
    <t>FL ESTATE FIRM TT</t>
  </si>
  <si>
    <t>Mattress Only~Estate Firm Pt</t>
  </si>
  <si>
    <t>Estate Firm Pt</t>
  </si>
  <si>
    <t>FL ESTATE FIRM PT</t>
  </si>
  <si>
    <t>FL Z-305</t>
  </si>
  <si>
    <t>Mattress Only~Z-505</t>
  </si>
  <si>
    <t>FL Z-505</t>
  </si>
  <si>
    <t>FL HELIX KIDS</t>
  </si>
  <si>
    <t>FL HELIX MIDNIGHT LUXE</t>
  </si>
  <si>
    <t>FL HELIX MIDNIGHT ELITE</t>
  </si>
  <si>
    <t>Full Adjustable Base Only~Baselogic Silver</t>
  </si>
  <si>
    <t>Full Adjustable Base Only</t>
  </si>
  <si>
    <t>Baselogic Silver</t>
  </si>
  <si>
    <t>BASELOGIC SILVER</t>
  </si>
  <si>
    <t>FL BASELOGIC SILVER</t>
  </si>
  <si>
    <t>SIMMONS</t>
  </si>
  <si>
    <t>The Beautyrest Baselogic Silver adjustable base delivers head and foot adjustability with a wireless remote. Zero-gravity button for instant relief of pressure points. 1-touch flat button for an easy reset to the default position. 3-in-1 adjustable legs with leg heights up to 12. Zero-clearance profile for compatibility with most bedframes.</t>
  </si>
  <si>
    <t>Full Adjustable Base Only~Baselogic Platinum</t>
  </si>
  <si>
    <t>Baselogic Platinum</t>
  </si>
  <si>
    <t>BASELOGIC PLATINUM</t>
  </si>
  <si>
    <t>FL BASELOGIC PLATINUM</t>
  </si>
  <si>
    <t>The Beautyrest Baselogic Platinum adjustable base delivers head and foot adjustability with a wireless LCD remote and enhanced lifestyle upgrades. Dual massage feature with relaxing vibration. Integrated white, pink and brown noise machine for relaxing sound therapy. Multiple levels of ambient underbed lighting. USB A &amp; C charging ports. Anti-snoring preset. Memory preset for easy repositioning. Automatic pillow tilt. Zero-gravity button for instant relief of pressure points. 1-touch flat button for quick reset to the default position. 4-in-1 adjustable legs with four leg heights up to 12. Zero-clearance profile for compatibility with most bedframes.</t>
  </si>
  <si>
    <t>Full Adjustable Base Only~Tempur-ergo 3.0</t>
  </si>
  <si>
    <t>Tempur-ergo 3.0</t>
  </si>
  <si>
    <t>TEMPUR-ERGO 3.0</t>
  </si>
  <si>
    <t>FL TEMPUR-ERGO 3.0</t>
  </si>
  <si>
    <t>The redesigned TEMPUR-Ergo Power Base is better than ever. Offers adjustable support in the lumbar region along with three different massage settings. Unlimited range of head and foot positions relieve pressure while sitting, reading, working or watching TV. Zero gravity preset provides a simulated weightless experience by simultaneously elevating your head and feet. The TEMPUR-Ergo Power Base paired with a Tempur-Pedic mattress helps to ease aches &amp; pains, helping you fall asleep and stay asleep - every night.</t>
  </si>
  <si>
    <t>Full Adjustable Base Only~Tempur-ergo 3.0 Smart</t>
  </si>
  <si>
    <t>Tempur-ergo 3.0 Smart</t>
  </si>
  <si>
    <t>TEMPUR-ERGO 3.0 SMART</t>
  </si>
  <si>
    <t>FL TEMPUR-ERGO SMART</t>
  </si>
  <si>
    <t>The new and improved TEMPUR-Ergo Smart Base is specially designed to improve your sleep quality over time. Sleeptracker-AI gives you personalized sleep coaching with insights and expert-level analytics through the easy-to-use app. Automatic Snore Response raises your head once approximately 12 degrees to help reduce snoring in otherwise healthy individuals who snore due to body positioning. An additional component can raise up to six inches to provide extra support in the lumbar area for extra comfort while you're sitting or lying flat. Zero gravity preset takes the pressure off your back while you sleep by simultaneously elevating your head and feet, creating a weightless experience and comfortable sleep night after night.</t>
  </si>
  <si>
    <t>Full Adjustable Base Only~Ease 4.0</t>
  </si>
  <si>
    <t>FL EASE 4.0</t>
  </si>
  <si>
    <t>SEALY</t>
  </si>
  <si>
    <t>QN CASPER CLOUD ONE</t>
  </si>
  <si>
    <t>Queen</t>
  </si>
  <si>
    <t>Mattress Only~Casper Snow 2.0</t>
  </si>
  <si>
    <t>Casper Snow 2.0</t>
  </si>
  <si>
    <t>QN CASPER SNOW 2.0</t>
  </si>
  <si>
    <t>QN CASPER SNOW MAX</t>
  </si>
  <si>
    <t>QN CASPER ONYX 2.0</t>
  </si>
  <si>
    <t>QN SMART MATCH 2.0</t>
  </si>
  <si>
    <t>QN ADAPT MEDIUM</t>
  </si>
  <si>
    <t>QN ADAPT MEDIUM HYBRID</t>
  </si>
  <si>
    <t>QN PROADAPT FIRM</t>
  </si>
  <si>
    <t>QN PROBREEZE MED HYBRID</t>
  </si>
  <si>
    <t>QN PROADAPT MEDIUM</t>
  </si>
  <si>
    <t>QN PROADAPT SOFT</t>
  </si>
  <si>
    <t>QN PROADAPT MEDIUM HYBRID</t>
  </si>
  <si>
    <t>QN LUXEADAPT SOFT</t>
  </si>
  <si>
    <t>QN LUXEADAPT MEDIUM HYBRID</t>
  </si>
  <si>
    <t>QN LUXEBREEZE FIRM</t>
  </si>
  <si>
    <t>QN T&amp;N TN3.1</t>
  </si>
  <si>
    <t>QN T&amp;N TN5.1</t>
  </si>
  <si>
    <t>QN T&amp;N TN9.1</t>
  </si>
  <si>
    <t>QN T&amp;N TN1</t>
  </si>
  <si>
    <t>QN MOLECULE CORE</t>
  </si>
  <si>
    <t>The Molecule Core mattress is designed to maximize support, comfort and temperature regulation for the best recovery-focused sleep. Precision-contoured 3D RecoveryFLO dynamic response layer delivers self-adapting support for pressure relief in key targeted areas. RestoreFLO gel infused open cell memory foam delivers three times the airflow of traditional memory foam while managing heat and providing long-lasting durability and comfort. Durable ContourFLO base layer provides reliable support and optimal spinal alignment. Advanced MOLECULEshield antimicrobial cool cover responds to temperature changes throughout the night, harnessing moisture wicking technologies to maintain a cool surface.</t>
  </si>
  <si>
    <t>QN BROAD PEAK</t>
  </si>
  <si>
    <t>QN BAY DREAMER</t>
  </si>
  <si>
    <t>QN MAKE WAVES</t>
  </si>
  <si>
    <t>QN SEASIDE SERENITY</t>
  </si>
  <si>
    <t>QN FORESTER</t>
  </si>
  <si>
    <t>QN DARLINGTON</t>
  </si>
  <si>
    <t>QN HASTINGS</t>
  </si>
  <si>
    <t>Mattress Only~Kaanapali</t>
  </si>
  <si>
    <t>Kaanapali</t>
  </si>
  <si>
    <t>QN KAANAPALI</t>
  </si>
  <si>
    <t>QN LEDO</t>
  </si>
  <si>
    <t>Mattress Only~Capertee</t>
  </si>
  <si>
    <t>Capertee</t>
  </si>
  <si>
    <t>QN CAPERTEE</t>
  </si>
  <si>
    <t>Mattress Only~Arada Canyon</t>
  </si>
  <si>
    <t>Arada Canyon</t>
  </si>
  <si>
    <t>QN ARADA CANYON</t>
  </si>
  <si>
    <t>QN OCEANA MIST</t>
  </si>
  <si>
    <t>QN WORLD CLASS LEVEL THREE PLUSH</t>
  </si>
  <si>
    <t>Mattress Only~Level Three Medium Pillowtop</t>
  </si>
  <si>
    <t>Level Three Medium Pillowtop</t>
  </si>
  <si>
    <t>QN WORLD CLASS LEVEL THREE MED PT</t>
  </si>
  <si>
    <t>Mattress Only~Level Four Plush Pillowtop</t>
  </si>
  <si>
    <t>Level Four Plush Pillowtop</t>
  </si>
  <si>
    <t>QN WORLD CLASS LEVEL FOUR PLUSH PT</t>
  </si>
  <si>
    <t>Mattress Only~Kerry Park</t>
  </si>
  <si>
    <t>Kerry Park</t>
  </si>
  <si>
    <t>QN KERRY PARK</t>
  </si>
  <si>
    <t>QN BRADFORD HILL</t>
  </si>
  <si>
    <t>Mattress Only~Northgate</t>
  </si>
  <si>
    <t>Northgate</t>
  </si>
  <si>
    <t>QN NORTHGATE</t>
  </si>
  <si>
    <t>QN BRIERWOOD</t>
  </si>
  <si>
    <t>Mattress Only~Castle Rock</t>
  </si>
  <si>
    <t>Castle Rock</t>
  </si>
  <si>
    <t>QN CASTLE ROCK</t>
  </si>
  <si>
    <t>QN PEBBLEBROOK</t>
  </si>
  <si>
    <t>QN SERIES ONE EXTRA FIRM</t>
  </si>
  <si>
    <t>QN SERIES TWO MEDIUM TT</t>
  </si>
  <si>
    <t>QN SERIES THREE PLUSH PT</t>
  </si>
  <si>
    <t>QN ESTATE FIRM TT</t>
  </si>
  <si>
    <t>QN ESTATE FIRM PT</t>
  </si>
  <si>
    <t>QN LUX ESTATE ELITE MEDIUM PT</t>
  </si>
  <si>
    <t>QN HELIX MIDNIGHT LUXE</t>
  </si>
  <si>
    <t>QN HELIX MIDNIGHT ELITE</t>
  </si>
  <si>
    <t>Queen Adjustable Base Only~Baselogic Silver</t>
  </si>
  <si>
    <t>Queen Adjustable Base Only</t>
  </si>
  <si>
    <t>QN BASELOGIC SILVER</t>
  </si>
  <si>
    <t>Queen Adjustable Base Only~Baselogic Platinum</t>
  </si>
  <si>
    <t>QN BASELOGIC PLATINUM</t>
  </si>
  <si>
    <t>Queen Adjustable Base Only~Tempur-ergo 3.0</t>
  </si>
  <si>
    <t>QN TEMPUR-ERGO 3.0</t>
  </si>
  <si>
    <t>Queen Adjustable Base Only~Tempur-ergo 3.0 Smart</t>
  </si>
  <si>
    <t>QN TEMPUR-ERGO SMART</t>
  </si>
  <si>
    <t>Queen Adjustable Base Only~Tempur-ergo Prosmart</t>
  </si>
  <si>
    <t>Tempur-ergo Prosmart</t>
  </si>
  <si>
    <t>TEMPUR-ERGO PROSMART</t>
  </si>
  <si>
    <t>QN TEMPUR-ERGO PROSMART</t>
  </si>
  <si>
    <t>The all-new TEMPUR-Ergo ProSmart Base, powered by Sleeptracker-AI, delivers an innovative sleep solution for snoring as well as enhanced relaxation. Automatic Snore Response can detect and respond to snoring once by raising your head approximately 12 degrees to help reduce snoring in otherwise healthy individuals who snore due to body positioning. SoundScape Mode is an immersive experience that allows you to hear and feel sound through the mattress by connecting a Bluetooth device. Wind Down preset program helps you calmly and comfortably drift off to sleep by cycling through different base positions and soothing massage types. Wave Form Massage eases muscle tension by using sound waves to transmit vibrations throughout the mattress, promoting relaxation for the mind and body.</t>
  </si>
  <si>
    <t>Queen Adjustable Base Only~Rtg-sleep 2900</t>
  </si>
  <si>
    <t>Rtg-sleep 2900</t>
  </si>
  <si>
    <t>RTG-SLEEP 2900</t>
  </si>
  <si>
    <t>QN RTG-SLEEP 2900</t>
  </si>
  <si>
    <t>LEGGETT &amp; PLATT</t>
  </si>
  <si>
    <t>.Head-up only adjustable base..Wireless remote plus Bluetooth app that connects to your Android of iOS device to control base functions..Height adjustable legs and a zero-clearance design for compatibility with most beds..Supports a large lifting capacity up to 850 lbs.</t>
  </si>
  <si>
    <t>Queen Adjustable Base Only~Rtg-sleep 3900</t>
  </si>
  <si>
    <t>Rtg-sleep 3900</t>
  </si>
  <si>
    <t>RTG-SLEEP 3900</t>
  </si>
  <si>
    <t>QN RTG-SLEEP 3900</t>
  </si>
  <si>
    <t>RTG-SLEEP 5900</t>
  </si>
  <si>
    <t>QN RTG-SLEEP 5900</t>
  </si>
  <si>
    <t>MOTO MOTION</t>
  </si>
  <si>
    <t>Queen Adjustable Base Only~Ease 4.0</t>
  </si>
  <si>
    <t>QN EASE 4.0</t>
  </si>
  <si>
    <t>KG CASPER CLOUD ONE</t>
  </si>
  <si>
    <t>King</t>
  </si>
  <si>
    <t>KG CASPER SNOW 2.0</t>
  </si>
  <si>
    <t>KG CASPER SNOW MAX</t>
  </si>
  <si>
    <t>KG CASPER ONYX 2.0</t>
  </si>
  <si>
    <t>Mattress Only~Smart Match 2.0</t>
  </si>
  <si>
    <t>Smart Match 2.0</t>
  </si>
  <si>
    <t>KG SMART MATCH 2.0</t>
  </si>
  <si>
    <t>KG ADAPT MEDIUM</t>
  </si>
  <si>
    <t>KG ADAPT MEDIUM HYBRID</t>
  </si>
  <si>
    <t>KG PROADAPT FIRM</t>
  </si>
  <si>
    <t>KG PROBREEZE MED HYBRID</t>
  </si>
  <si>
    <t>KG PROADAPT MEDIUM</t>
  </si>
  <si>
    <t>KG PROADAPT SOFT</t>
  </si>
  <si>
    <t>KG PROADAPT MEDIUM HYBRID</t>
  </si>
  <si>
    <t>KG LUXEADAPT SOFT</t>
  </si>
  <si>
    <t>KG LUXEADAPT MEDIUM HYBRID</t>
  </si>
  <si>
    <t>KG LUXEBREEZE FIRM</t>
  </si>
  <si>
    <t>KG T&amp;N TN3.1</t>
  </si>
  <si>
    <t>KG T&amp;N TN5.1</t>
  </si>
  <si>
    <t>Mattress Only~Stitch Tn9.1</t>
  </si>
  <si>
    <t>Stitch Tn9.1</t>
  </si>
  <si>
    <t>KG T&amp;N TN9.1</t>
  </si>
  <si>
    <t>KG T&amp;N TN1</t>
  </si>
  <si>
    <t>KG MOLECULE CORE</t>
  </si>
  <si>
    <t>KG BROAD PEAK</t>
  </si>
  <si>
    <t>KG FORESTER</t>
  </si>
  <si>
    <t>KG DARLINGTON</t>
  </si>
  <si>
    <t>KG HASTINGS</t>
  </si>
  <si>
    <t>KG KAANAPALI</t>
  </si>
  <si>
    <t>KG LEDO</t>
  </si>
  <si>
    <t>KG CAPERTEE</t>
  </si>
  <si>
    <t>KG ARADA CANYON</t>
  </si>
  <si>
    <t>KG OCEANA MIST</t>
  </si>
  <si>
    <t>KG WORLD CLASS LEVEL THREE PLUSH</t>
  </si>
  <si>
    <t>KG WORLD CLASS LEVEL THREE MED PT</t>
  </si>
  <si>
    <t>KG WORLD CLASS LEVEL FOUR PLUSH PT</t>
  </si>
  <si>
    <t>KG KERRY PARK</t>
  </si>
  <si>
    <t>KG BRADFORD HILL</t>
  </si>
  <si>
    <t>KG NORTHGATE</t>
  </si>
  <si>
    <t>KG BRIERWOOD</t>
  </si>
  <si>
    <t>KG CASTLE ROCK</t>
  </si>
  <si>
    <t>Mattress Only~Pebblebrook</t>
  </si>
  <si>
    <t>Pebblebrook</t>
  </si>
  <si>
    <t>KG PEBBLEBROOK</t>
  </si>
  <si>
    <t>KG SERIES ONE EXTRA FIRM</t>
  </si>
  <si>
    <t>KG SERIES TWO MEDIUM TT</t>
  </si>
  <si>
    <t>KG SERIES THREE PLUSH PT</t>
  </si>
  <si>
    <t>KG ESTATE FIRM TT</t>
  </si>
  <si>
    <t>KG ESTATE FIRM PT</t>
  </si>
  <si>
    <t>KG LUX ESTATE ELITE MEDIUM PT</t>
  </si>
  <si>
    <t>KG HELIX MIDNIGHT LUXE</t>
  </si>
  <si>
    <t>KG HELIX MIDNIGHT ELITE</t>
  </si>
  <si>
    <t>Twin XL Adjustable Base Only~Baselogic Silver</t>
  </si>
  <si>
    <t>Twin XL Adjustable Base Only</t>
  </si>
  <si>
    <t>TWX BASELOGIC SILVER</t>
  </si>
  <si>
    <t>Twin XL Adjustable Base Only~Baselogic Platinum</t>
  </si>
  <si>
    <t>TWX BASELOGIC PLATINUM</t>
  </si>
  <si>
    <t>Twin XL Adjustable Base Only~Tempur-ergo 3.0</t>
  </si>
  <si>
    <t>TWXL TEMPUR-ERGO 3.0</t>
  </si>
  <si>
    <t>Twin XL Adjustable Base Only~Tempur-ergo 3.0 Smart</t>
  </si>
  <si>
    <t>TWXL TEMPUR-ERGO SMART</t>
  </si>
  <si>
    <t>Twin XL Adjustable Base Only~Tempur-ergo Prosmart</t>
  </si>
  <si>
    <t>TWXL TEMPUR-ERGO PROSMART</t>
  </si>
  <si>
    <t>Twin XL Adjustable Base Only~Rtg-sleep 2900</t>
  </si>
  <si>
    <t>TWXL RTG-SLEEP 2900</t>
  </si>
  <si>
    <t>.Head-up only adjustable base..Wireless remote plus Bluetooth app that connects to your Android or iOS device to control base functions..Height adjustable legs and a zero-clearance design for compatibility with most beds..Supports a large lifting capacity up to 850 lbs.</t>
  </si>
  <si>
    <t>Twin Adjustable Base Only~Rtg-sleep 3900</t>
  </si>
  <si>
    <t>TWXL RTG-SLEEP 3900</t>
  </si>
  <si>
    <t>Twin XL Adjustable Base Only~Rtg-sleep 5900</t>
  </si>
  <si>
    <t>Rtg-sleep 5900</t>
  </si>
  <si>
    <t>TWXL RTG-SLEEP 5900</t>
  </si>
  <si>
    <t>Twin XL Adjustable Base Only~Ease 4.0</t>
  </si>
  <si>
    <t>TWX EASE 4.0</t>
  </si>
  <si>
    <t>King Adjustable Base Only~Baselogic Silver</t>
  </si>
  <si>
    <t>King Adjustable Base Only</t>
  </si>
  <si>
    <t>KG BASELOGIC SILVER</t>
  </si>
  <si>
    <t>King Adjustable Base Only~Baselogic Platinum</t>
  </si>
  <si>
    <t>KG BASELOGIC PLATINUM</t>
  </si>
  <si>
    <t>King Adjustable Base Only~Tempur-ergo 3.0</t>
  </si>
  <si>
    <t>KG TEMPUR-ERGO 3.0</t>
  </si>
  <si>
    <t>King Adjustable Base Only~Tempur-ergo 3.0 Smart</t>
  </si>
  <si>
    <t>KG TEMPUR-ERGO SMART</t>
  </si>
  <si>
    <t>King Adjustable Base Only~Tempur-ergo Prosmart</t>
  </si>
  <si>
    <t>KG TEMPUR-ERGO PROSMART</t>
  </si>
  <si>
    <t>King Adjustable Base Only~Rtg-sleep 2900</t>
  </si>
  <si>
    <t>KG RTG-SLEEP 2900</t>
  </si>
  <si>
    <t>King Adjustable Base Only~Rtg-sleep 3900</t>
  </si>
  <si>
    <t>KG RTG-SLEEP 3900</t>
  </si>
  <si>
    <t>King Adjustable Base Only~Rtg-sleep 5900</t>
  </si>
  <si>
    <t>KG RTG-SLEEP 5900</t>
  </si>
  <si>
    <t>Protectors~Iprotect Protector</t>
  </si>
  <si>
    <t>Protectors</t>
  </si>
  <si>
    <t>Iprotect Protector</t>
  </si>
  <si>
    <t>IPROTECT PROTECTOR</t>
  </si>
  <si>
    <t>TWX IPROTECT PROTECTOR</t>
  </si>
  <si>
    <t>BEDGEAR</t>
  </si>
  <si>
    <t>Essential for comfortable sleep, the BEDGEAR iProtect mattress protector offers a layer of defense for you and your bed. Machine washable, its noiseless waterproof barrier shields your mattress from stains. It also protects against dust and other allergens to create a clean, healthy sleep environment. The lightweight, brushed fiber surface keeps your mattress dry throughout the night. iProtect's sidewall skirt smoothly and securely fits mattresses from eight to 18 inches in height.</t>
  </si>
  <si>
    <t>TW IPROTECT PROTECTOR</t>
  </si>
  <si>
    <t>FL IPROTECT PROTECTOR</t>
  </si>
  <si>
    <t>QN IPROTECT PROTECTOR</t>
  </si>
  <si>
    <t>KG IPROTECT PROTECTOR</t>
  </si>
  <si>
    <t>CAL KG IPROTECT PROTECTOR</t>
  </si>
  <si>
    <t>California King</t>
  </si>
  <si>
    <t>IPROTECT CRIB PROTECTOR</t>
  </si>
  <si>
    <t>Essential for comfortable, healthy sleep, the BEDGEAR iProtect crib mattress protector offers a soft and flexible waterproof layer of defense for both your baby and their bed. Machine washable, its noiseless, spill-resistant barrier shields their mattress from stains, and the lightweight, brushed fiber surface keeps their mattress dry throughout the night. It also protects against dust and other allergens to create a clean sleep environment. iProtect's stretch sidewall skirt with Powerband makes it easy to put on your crib mattress, and it smoothly and securely grips the mattress, with no bunching underneath.</t>
  </si>
  <si>
    <t>DRI-TEC CRIB PROTECTOR</t>
  </si>
  <si>
    <t>Featuring a unique channel-weave construction designed to facilitate airflow, the Dri-Tec performance crib mattress protector from BEDGEAR wicks away moisture and dissipates heat for a drier, more comfortable night's sleep. A waterproof, invisible barrier completely protects your baby and their mattress without changing the feel. Engineered to enhance the body-conforming qualities of memory foam and latex mattresses, this flexible protector reacts to motion, keeping them cool and comfortable even as theymove during the night.</t>
  </si>
  <si>
    <t>Crib</t>
  </si>
  <si>
    <t>VER-TEX CRIB PROTECTOR</t>
  </si>
  <si>
    <t>Essential for comfortable, healthy sleep, the BEDGEARVer-Tex temperature regulating performance crib mattress protector offers a cool, comfortable waterproof layer of defense for both your baby and their bed.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theirmattress without changing the feel.</t>
  </si>
  <si>
    <t>Protectors~Dri-tec Protector</t>
  </si>
  <si>
    <t>Dri-tec Protector</t>
  </si>
  <si>
    <t>DRI-TEC PROTECTOR</t>
  </si>
  <si>
    <t>TWIN DRI-TEC PROTECTOR</t>
  </si>
  <si>
    <t>Featuring a unique channel-weave construction designed to facilitate airflow, the Dri-Tec 5.0 performance mattress protector from BEDGEAR wicks away moisture and dissipates heat for a drier, more comfortable night's sleep. A waterproof, invisible barrier completely protects your mattress without changing the feel. Engineered to enhance the body-conforming qualities of memory foam and latex mattresses, this flexible protector reacts to your motion, keeping you cool and comfortable even as you move during the night.</t>
  </si>
  <si>
    <t>TWXL DRI-TEC PROTECTOR</t>
  </si>
  <si>
    <t>FULL DRI-TEC PROTECTOR</t>
  </si>
  <si>
    <t>QUEEN DRI-TEC PROTECTOR</t>
  </si>
  <si>
    <t>Featuring a unique channel-weave construction designed to facilitate airflow, the Dri-Tec 5.0 performance mattress protector from BEDGEAR wicks away moisture and dissipates heat, for a drier, more comfortable night's sleep. A waterproof, invisible barrier back completely protects your mattress without changing the feel. Engineered to enhance the body-conforming qualities of memory foam and latex mattresses, this flexible protector reacts to your motion, keeping you cool and comfortable even as you move during the night.</t>
  </si>
  <si>
    <t>KING DRI-TEC PROTECTOR</t>
  </si>
  <si>
    <t>CALI KING DRI-TEC PROTECTOR</t>
  </si>
  <si>
    <t>SP. CAL KG DRI-TEC PROTECTOR</t>
  </si>
  <si>
    <t>SP. KG DRI-TEC PROTECTOR</t>
  </si>
  <si>
    <t>Featuring a unique channel-weave construction designed to facilitate airflow, the Dri-Tec performance mattress protector bundle from BEDGEAR wicks away moisture and dissipates heat for a drier, more comfortable night's sleep. A waterproof, invisible barrier completely protects your mattress without changing the feel. Engineered to enhance the body-conforming qualities of memory foam and latex mattresses, this flexible protector reacts to your motion, keeping you cool and comfortable even as you move during the night.</t>
  </si>
  <si>
    <t>Split King</t>
  </si>
  <si>
    <t>SP. HEAD QN DRI-TEC PROTECTOR</t>
  </si>
  <si>
    <t>Featuring a unique channel-weave construction designed to facilitate airflow, the Dri-Tec 5.0 performance mattress protector from BEDGEAR wicks away moisture and dissipates heat, for a drier, more comfortable night's sleep. A waterproof, invisible barrier back completely protects your mattress without changing the feel. Engineered to enhance the body-conforming qualities of memory foam and latex mattresses, this flexible protector reacts to your motion, keeping you cool and comfortable even as you move during the night. A split head design allows independent position adjustment for split mattresses.</t>
  </si>
  <si>
    <t>Split Head Queen</t>
  </si>
  <si>
    <t>SP. HEAD KG DRI-TEC PROTECTOR</t>
  </si>
  <si>
    <t>Split Head King</t>
  </si>
  <si>
    <t>Protectors~Ver-tex Protector</t>
  </si>
  <si>
    <t>Ver-tex Protector</t>
  </si>
  <si>
    <t>VER-TEX PROTECTOR</t>
  </si>
  <si>
    <t>TWIN VER-TEX PROTECTOR</t>
  </si>
  <si>
    <t>Delivering instant heat deflection for a lasting cool-to-the-touch feel, the Ver-Tex temperature regulating performance mattress protector from BEDGEAR keeps you comfortable all night long.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your mattress without changing the feel.</t>
  </si>
  <si>
    <t>TWXL VER-TEX PROTECTOR</t>
  </si>
  <si>
    <t>Delivering instant heat deflection for a lasting cool-to-the-touch feel, the Ver-Tex 6 temperature regulating performance mattress protector from BEDGEAR keeps you comfortable all night long. Featuring a unique contoured channel construction that provides continuous ambient air ventilation, this premium protector was designed with comfort in mind. Engineered to enhance the conforming qualities of memory foam and latex mattresses, this protector also features a waterproof invisible barrier that completely protects your mattress without changing the feel.</t>
  </si>
  <si>
    <t>FULL VER-TEX PROTECTOR</t>
  </si>
  <si>
    <t>QUEEN VER-TEX PROTECTOR</t>
  </si>
  <si>
    <t>KING VER-TEX PROTECTOR</t>
  </si>
  <si>
    <t>CALI KING VER-TEX PROTECTOR</t>
  </si>
  <si>
    <t>SP. CAL KG VER-TEX PROTECTOR</t>
  </si>
  <si>
    <t>Split California King</t>
  </si>
  <si>
    <t>SP. KG VER-TEX PROTECTOR</t>
  </si>
  <si>
    <t>The Ver-Tex temperature regulating performance mattress protector from BEDGEAR keeps you comfortable all night long. Features a unique contoured channel construction. Provides continuous ambient air ventilation. A waterproof invisible barrier completely protects your mattress without changing the feel.</t>
  </si>
  <si>
    <t>Protectors~Iprotect Sleeper Protector</t>
  </si>
  <si>
    <t>Iprotect Sleeper Protector</t>
  </si>
  <si>
    <t>IPROTECT SLEEPER PROTECTOR</t>
  </si>
  <si>
    <t>TW IPROTECT SLEEPER PROTECTOR</t>
  </si>
  <si>
    <t>Specially designed for sleepers, the BEDGEAR iProtect sleeper mattress protector fits securely while creating a comfortable bed for guests. BEDGEAR's product protects your sleeper mattress from dust mites, pet dander and other common allergens. To help maintain a clean and healthy sleep environment, its waterproof barrier resists stains, mold and mildew by reducing contact with liquids. The flexible two-way stretch skirt is built for mattresses up to four inches high, which prevents it from getting caught in the mechanism or bunching when folded. For easy care, this mattress protector is machine washable and can be placed in the dryer on low heat.</t>
  </si>
  <si>
    <t>FL IPROTECT SLEEPER PROTECTOR</t>
  </si>
  <si>
    <t>QN IPROTECT SLEEPER PROTECTOR</t>
  </si>
  <si>
    <t>QN WIDE IPROTECT SLEEPER PROTECTOR</t>
  </si>
  <si>
    <t>King Adjustable Base Only~Ease 4.0</t>
  </si>
  <si>
    <t>KG EASE 4.0</t>
  </si>
  <si>
    <t>IPROTECT PILLOW PROTECTOR</t>
  </si>
  <si>
    <t>QN IPROTECT PILLOW PROTECTOR</t>
  </si>
  <si>
    <t>Simple protection at its best Engineered from breathable, moisture wicking fabric, the iProtect Pillow Protector is designed to protect your pillows against pet dander, dust mites, and allergens. This lightweight pillow protector securely fits against your pillow for a smooth fit that never bunches.</t>
  </si>
  <si>
    <t>KG IPROTECT PILLOW PROTECTOR</t>
  </si>
  <si>
    <t>CKG CASPER CLOUD ONE</t>
  </si>
  <si>
    <t>Cali King</t>
  </si>
  <si>
    <t>CKG CASPER SNOW 2.0</t>
  </si>
  <si>
    <t>CKG CASPER SNOW MAX</t>
  </si>
  <si>
    <t>CKG CASPER ONYX 2.0</t>
  </si>
  <si>
    <t>CKG SMART MATCH 2.0</t>
  </si>
  <si>
    <t>CAL KG ADAPT MEDIUM</t>
  </si>
  <si>
    <t>CAL KG ADAPT MEDIUM HYBRID</t>
  </si>
  <si>
    <t>CAL KG PROADAPT FIRM</t>
  </si>
  <si>
    <t>CKG PROBREEZE MED HYBRID</t>
  </si>
  <si>
    <t>CAL KG PROADAPT MEDIUM</t>
  </si>
  <si>
    <t>CAL KG PROADAPT SOFT</t>
  </si>
  <si>
    <t>CAL KG PROADAPT MEDIUM HYBRID</t>
  </si>
  <si>
    <t>CAL KG LUXEADAPT SOFT</t>
  </si>
  <si>
    <t>CAL KG LUXEADAPT MEDIUM HYBRID</t>
  </si>
  <si>
    <t>CKG LUXEBREEZE FIRM</t>
  </si>
  <si>
    <t>CKG T&amp;N TN3.1</t>
  </si>
  <si>
    <t>CKG T&amp;N TN5.1</t>
  </si>
  <si>
    <t>CKG T&amp;N TN9.1</t>
  </si>
  <si>
    <t>CKG T&amp;N TN1</t>
  </si>
  <si>
    <t>CKG BROAD PEAK</t>
  </si>
  <si>
    <t>CKG OCEANA MIST</t>
  </si>
  <si>
    <t>CKG WORLD CLASS LEVEL THREE PLUSH</t>
  </si>
  <si>
    <t>CKG WORLD CLASS LEVEL THREE MED PT</t>
  </si>
  <si>
    <t>CKG WORLD CLASS LEVEL FOUR PLUSH PT</t>
  </si>
  <si>
    <t>CKG KERRY PARK</t>
  </si>
  <si>
    <t>CKG NORTHGATE</t>
  </si>
  <si>
    <t>CKG BRIERWOOD</t>
  </si>
  <si>
    <t>CKG CASTLE ROCK</t>
  </si>
  <si>
    <t>CKG PEBBLEBROOK</t>
  </si>
  <si>
    <t>CKG SERIES ONE EXTRA FIRM</t>
  </si>
  <si>
    <t>CKG SERIES TWO MEDIUM TT</t>
  </si>
  <si>
    <t>CKG SERIES THREE PLUSH PT</t>
  </si>
  <si>
    <t>CAL KG ESTATE FIRM TT</t>
  </si>
  <si>
    <t>LUX ESTATE FIRM PT</t>
  </si>
  <si>
    <t>CAL KG LUX ESTATE FIRM PT</t>
  </si>
  <si>
    <t>Engineered with luxury and leisure in mind, the Stearns &amp; Foster Lux Estate Collection provides an elevated level of comfort and support. It combines our exclusive TEMPUR-Indulge Memory Foam for enhanced pressure relief with supportive IntelliCoil innersprings with latex for durability. Enhanced cool-to-the-touch cover and additional ventilation throughout the mattress help keep you cool, all night long.</t>
  </si>
  <si>
    <t>CAL KG LUX ESTATE ELITE MEDIUM PT</t>
  </si>
  <si>
    <t>CKG HELIX MIDNIGHT LUXE</t>
  </si>
  <si>
    <t>CKG HELIX MIDNIGHT ELITE</t>
  </si>
  <si>
    <t>SP CKG BASELOGIC SILVER</t>
  </si>
  <si>
    <t>SP CKG BASELOGIC PLATINUM</t>
  </si>
  <si>
    <t>SP CKG ADAPT MEDIUM</t>
  </si>
  <si>
    <t>SP CKG ADAPT MEDIUM HYBRID</t>
  </si>
  <si>
    <t>SP CKG PROADAPT FIRM</t>
  </si>
  <si>
    <t>SP CKG PROBREEZE MED HYBRID</t>
  </si>
  <si>
    <t>SP CKG PROADAPT MEDIUM</t>
  </si>
  <si>
    <t>SP CKG PROADAPT SOFT</t>
  </si>
  <si>
    <t>SP CKG PROADAPT MEDIUM HYBRID</t>
  </si>
  <si>
    <t>SP CKG LUXEADAPT SOFT</t>
  </si>
  <si>
    <t>SP CKG LUXEBREEZE FIRM</t>
  </si>
  <si>
    <t>SP CAL KG TEMPUR-ERGO 3.0</t>
  </si>
  <si>
    <t>SP CAL KG TEMPUR-ERGO SMART</t>
  </si>
  <si>
    <t>SP CAL KG TEMPUR-ERGO PROSMART</t>
  </si>
  <si>
    <t>SPLT CAL KG EASE 4.0</t>
  </si>
  <si>
    <t>SP CKG SERIES ONE EXTRA FIRM</t>
  </si>
  <si>
    <t>SP CKG SERIES THREE PLUSH PT</t>
  </si>
  <si>
    <t>SPLIT CAL KG ESTATE FIRM TT</t>
  </si>
  <si>
    <t>California King Adjustable Base Only~Tempur-ergo 3.0</t>
  </si>
  <si>
    <t>California King Adjustable Base Only</t>
  </si>
  <si>
    <t>CKG TEMPUR-ERGO 3.0</t>
  </si>
  <si>
    <t>CKG TEMPUR-ERGO SMART</t>
  </si>
  <si>
    <t>CKG TEMPUR-ERGO PROSMART</t>
  </si>
  <si>
    <t>CAL KG EASE 4.0</t>
  </si>
  <si>
    <t>Boasting all of the features of a power base, the Sealy Ease 4.0 adjustable base delivers custom comfort. With adjustable head and foot positions, it promotes ergonomic alignment using a wireless remote. For enhanced relaxation, the zero gravity preset relieves pressure from your lower back to simulate a feeling of weightlessness. Easily set the base flat again with the touch of a button. Plus, tapered legs feature removable pieces to conveniently adjust the base height. Its light, thin profile offers a more seamless storage experience.</t>
  </si>
  <si>
    <t>SHK LUXEBREEZE FIRM</t>
  </si>
  <si>
    <t>Pillows~Premium Foam</t>
  </si>
  <si>
    <t>Pillows</t>
  </si>
  <si>
    <t>Premium Foam</t>
  </si>
  <si>
    <t>BEAUTYREST BLACK FOAM PILLOW</t>
  </si>
  <si>
    <t>QN BEAUTYREST BLACK FOAM PILLOW</t>
  </si>
  <si>
    <t>Luxuriously designed with innovative materials, the Beautyrest Black pillow offers the indulgence of cool-to-the-touch, breathable comfort night after night. Removable, machine-washable cover made of cooling cashmere-blended fabric. Premium ventilated memory foam infused with graphite promotes airflow and helps transfer heat away from the head and neck. Contours to the head and neck for pressure-relieving support.</t>
  </si>
  <si>
    <t>KG BEAUTYREST BLACK FOAM PILLOW</t>
  </si>
  <si>
    <t>ASPEN PILLOW</t>
  </si>
  <si>
    <t>ASPEN 0.0 PILLOW</t>
  </si>
  <si>
    <t>ASPEN 1.0 PILLOW</t>
  </si>
  <si>
    <t>ASPEN 2.0 PILLOW</t>
  </si>
  <si>
    <t>Pillows~Aspen</t>
  </si>
  <si>
    <t>Aspen</t>
  </si>
  <si>
    <t>ASPEN 3.0 PILLOW</t>
  </si>
  <si>
    <t>ASPEN 0.0 KING PILLOW</t>
  </si>
  <si>
    <t>ASPEN 1.0 KING PILLOW</t>
  </si>
  <si>
    <t>ASPEN 2.0 KING PILLOW</t>
  </si>
  <si>
    <t>ASPEN 3.0 KING PILLOW</t>
  </si>
  <si>
    <t>Pillows~Storm Pillow</t>
  </si>
  <si>
    <t>Storm Pillow</t>
  </si>
  <si>
    <t>STORM PILLOW</t>
  </si>
  <si>
    <t>STORM 0.0 PILLOW</t>
  </si>
  <si>
    <t>Dual-sided Performance pillow. Ver-Tex instant cooling cover helps reduce overheating. Responsive foam provides ample support for the head, neck and shoulders. Air-X mesh materials enhance airflow for maximum breathability.</t>
  </si>
  <si>
    <t>STORM 1.0 PILLOW</t>
  </si>
  <si>
    <t>STORM 2.0 PILLOW</t>
  </si>
  <si>
    <t>STORM 3.0 PILLOW</t>
  </si>
  <si>
    <t>STORM 0.0 KING PILLOW</t>
  </si>
  <si>
    <t>Dual-sided Performance pillow.Ver-Tex instant cooling cover helps reduce overheating.Responsive foam provides ample support for the head, neck and shoulders.Air-X mesh materials enhance airflow for maximum breathability.</t>
  </si>
  <si>
    <t>STORM 1.0 KING PILLOW</t>
  </si>
  <si>
    <t>STORM 2.0 KING PILLOW</t>
  </si>
  <si>
    <t>STORM 3.0 KING PILLOW</t>
  </si>
  <si>
    <t>Pillows~Night Ice</t>
  </si>
  <si>
    <t>Night Ice</t>
  </si>
  <si>
    <t>NIGHT ICE PILLOW</t>
  </si>
  <si>
    <t>NIGHT ICE 0.0 PILLOW</t>
  </si>
  <si>
    <t>NIGHT ICE 1.0 PILLOW</t>
  </si>
  <si>
    <t>NIGHT ICE 2.0 PILLOW</t>
  </si>
  <si>
    <t>NIGHT ICE 3.0 PILLOW</t>
  </si>
  <si>
    <t>NIGHT ICE 0.0 KING PILLOW</t>
  </si>
  <si>
    <t>NIGHT ICE 1.0 KING PILLOW</t>
  </si>
  <si>
    <t>NIGHT ICE 2.0 KING PILLOW</t>
  </si>
  <si>
    <t>NIGHT ICE 3.0 KING PILLOW</t>
  </si>
  <si>
    <t>Sheet Sets~Dri-tec Sheets</t>
  </si>
  <si>
    <t>Sheet Sets</t>
  </si>
  <si>
    <t>Dri-tec Sheets</t>
  </si>
  <si>
    <t>DRI-TEC SHEETS</t>
  </si>
  <si>
    <t>FL DRI-TEC 4PC SHEET SET</t>
  </si>
  <si>
    <t>The advanced moisture wicking technology in the Dri-Tec Performance 4 Pc Full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</si>
  <si>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QN DRI-TEC 4PC SHEET SET</t>
  </si>
  <si>
    <t>The advanced moisture wicking technology in the Dri-Tec Performance 4 Pc Queen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</si>
  <si>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TW/TWXL DRI-TEC 3 PC SHEET SET</t>
  </si>
  <si>
    <t>The advanced moisture wicking technology in the Dri-Tec Performance 3 Pc Twin XL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1 pillowcase.</t>
  </si>
  <si>
    <t>Twin,Twin XL</t>
  </si>
  <si>
    <t>KG/CKG DRI-TEC 4 PC SHEET SET</t>
  </si>
  <si>
    <t>The advanced moisture wicking technology in the Dri-Tec Performance 4 Pc California King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king pillowcases.</t>
  </si>
  <si>
    <t>California King,King</t>
  </si>
  <si>
    <t>SP KG/SP CKG DRI-TEC 5 PC SHEET SET</t>
  </si>
  <si>
    <t>Advanced moisture-wicking technology in the Dri-Tec Performance Split King/Split California King Bed Sheet Set helps you sleep drier, cooler and more comfortably throughout the night. The soft, conforming material moves with you throughout the night, providing a no-cling, no-pull stretch. CFM Certified for maximum air flow, these sheets allow your body to achieve optimal temperature regulation. This set includes 1 flat sheet, 2 fitted sheets and 2 split king/split California king pillowcases.</t>
  </si>
  <si>
    <t>Split California King,Split King</t>
  </si>
  <si>
    <t>The advanced moisture wicking technology in the Dri-Tec Performance bed sheet set helps you sleep drier, cooler, and more comfortably throughout the night. The soft, conforming material moves with you, and provides a no-cling, no-pull stretch. CFM Certified for maximum air flow, allowing your body to achieve optimal temperature regulation. This set includes 1 flat sheet, 1 fitted sheet, and 1 pillowcase.</t>
  </si>
  <si>
    <t>The advanced moisture wicking technology in the Dri-Tec Performance bed sheet set helps you sleep drier, cooler, and more comfortably throughout the night. The soft, conforming material moves with you, and provides a no-cling, no-pull stretch. CFM Certified for maximum air flow, allowing your body to achieve optimal temperature regulation. This set includes 1 flat sheet, 1 fitted sheet, and 2 pillowcases.</t>
  </si>
  <si>
    <t>The advanced moisture wicking technology in the Dri-Tec Performance Granite 4 Pc Full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</si>
  <si>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The advanced moisture wicking technology in the Dri-Tec Performance Granite 4 Pc Queen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queen pillowcases.</t>
  </si>
  <si>
    <t>Sheet Sets~Bg Basic Sheets</t>
  </si>
  <si>
    <t>Bg Basic Sheets</t>
  </si>
  <si>
    <t>BG BASIC SHEETS</t>
  </si>
  <si>
    <t>TWIN BASIC 3PC SHEET SET</t>
  </si>
  <si>
    <t>The BG Basic White 3 Pc Twin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</si>
  <si>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TWXL BASIC 3PC SHEET SET</t>
  </si>
  <si>
    <t>The BG Basic White 3 Pc Twin XL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</si>
  <si>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TW/TWXL DRI-TEC 3PC SHEET SET</t>
  </si>
  <si>
    <t>The advanced moisture wicking technology in the Dri-Tec Performance Granite 3 Pc Twin XL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1 pillowcase.</t>
  </si>
  <si>
    <t>KG/CKG DRI-TEC 4PC SHEET SET</t>
  </si>
  <si>
    <t>The advanced moisture wicking technology in the Dri-Tec Performance Granite 4 Pc California King Bed Sheet Set helps you sleep drier, cooler, and more comfortably throughout the night. The soft, conforming material moves with you throughout the night, and provides a no-cling, no-pull stretch. CFM Certified for maximum air flow, allowing your body to achieve optimal temperature regulation. This set includes 1 flat sheet, 1 fitted sheet, and 2 king pillowcases.</t>
  </si>
  <si>
    <t>SP KG/SP CKG DRI-TEC 5PC SHEET SET</t>
  </si>
  <si>
    <t>Advanced moisture-wicking technology in the Dri-Tec Performance Granite Split King/Split California King Bed Sheet Set helps you sleep drier, cooler and more comfortably throughout the night. The soft, conforming material moves with you throughout the night, providing a no-cling, no-pull stretch. CFM Certified for maximum air flow, these sheets allow your body to achieve optimal temperature regulation. This set includes 1 flat sheet, 2 fitted sheets and 2 split king/split California king pillowcases.</t>
  </si>
  <si>
    <t>Sheet Sets~Hyper-cotton Sheets</t>
  </si>
  <si>
    <t>Hyper-cotton Sheets</t>
  </si>
  <si>
    <t>HYPER-COTTON SHEETS</t>
  </si>
  <si>
    <t>TW HYPER-COTTON 3PC SHEET SET</t>
  </si>
  <si>
    <t>Made with innovative cooling technology, BEDGEAR's Hyper-Cotton Performance sheet set is designed for flexibility, durability and comfort. Hyper-Cotton material allows more airflow to your bed when compared to traditional 100% cotton sheets, allowing your body to achieve optimal temperature regulation. The seamless fitted sheet creates a smooth sleep surface and long-lasting construction, so you don't have to worry about ripped seams. A fitted sheet Powerband ensures the most secure fit and grip on your mattress and works great with adjustable bases. Ideal for all seasons, Hyper-Cotton sheets have a fast-dry technology that quickly evaporates moisture.</t>
  </si>
  <si>
    <t>TWXL HYPER-COTTON 3PC SHEET SET</t>
  </si>
  <si>
    <t>FL HYPER-COTTON 4PC SHEET SET</t>
  </si>
  <si>
    <t>QN HYPER-COTTON 4PC SHEET SET</t>
  </si>
  <si>
    <t>KG HYPER-COTTON 4PC SHEET SET</t>
  </si>
  <si>
    <t>CKG HYPER-COTTON 4PC SHEET SET</t>
  </si>
  <si>
    <t>SP KG HYPER-COTTON 5PC SHEET SET</t>
  </si>
  <si>
    <t>SP CKG HYPER-COTTON 5PC SHEET SET</t>
  </si>
  <si>
    <t>Made with innovative cooling technology, Bedgear's Hyper-Cotton Performance sheet set is designed for flexibility, durability and comfort. Hyper-Cotton material allows more airflow to your bed when compared to traditional 100% cotton sheets, allowing your body to achieve optimal temperature regulation. The seamless fitted sheet creates a smooth sleep surface and long-lasting construction, so you don't have to worry about ripped seams. A fitted sheet Powerband ensures the most secure fit and grip on your mattress and works great with adjustable bases. Ideal for all seasons, Hyper-Cotton sheets have a fast-dry technology that quickly evaporates moisture.</t>
  </si>
  <si>
    <t>Sheet Sets~Ver-tex Sheets</t>
  </si>
  <si>
    <t>Ver-tex Sheets</t>
  </si>
  <si>
    <t>VER-TEX SHEETS</t>
  </si>
  <si>
    <t>QN VER-TEX 4PC SHEET SET</t>
  </si>
  <si>
    <t>When things heat up, Ver-Tex sheets keep you cool all night long. Taking inspiration from your favorite active wear, Bedgear has engineered these sheets to be the smoothest, coolest sheets around.</t>
  </si>
  <si>
    <t>KING/CAL KG VER-TEX 4PC SHEET SET</t>
  </si>
  <si>
    <t>SP. KING/SP. CAL KG VER-TEX 5PC SHEET SET</t>
  </si>
  <si>
    <t>FULL BASIC 4PC SHEET SET</t>
  </si>
  <si>
    <t>The BG Basic White 4 Pc Full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</si>
  <si>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QUEEN BASIC 4PC SHEET SET</t>
  </si>
  <si>
    <t>The BG Basic White 4 Pc Queen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</si>
  <si>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KING BASIC 4PC SHEET SET</t>
  </si>
  <si>
    <t>The BG Basic White 4 Pc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</si>
  <si>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CALI KG BASIC 4PC SHEET SET</t>
  </si>
  <si>
    <t>The BG Basic White 4 Pc California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</si>
  <si>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The BG Basic 3 Pc Twin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</si>
  <si>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BG Basic 3 Pc Twin XL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</si>
  <si>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BG Basic 4 Pc Full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</si>
  <si>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The BG Basic 4 Pc Queen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queen pillowcases.</t>
  </si>
  <si>
    <t>The BG Basic 4 Pc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</si>
  <si>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The BG Basic 4 Pc California King Bed Sheet Set are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king pillowcases.</t>
  </si>
  <si>
    <t>The BedGear Basic bed sheet set offers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1 pillowcase.</t>
  </si>
  <si>
    <t>The BedGear Basic bed sheet set offers exceptional sheets in a simple package. The allergen reducing materials allow an undisturbed, sneeze-free sleep. Not too warm and not too breezy, these sheets work season to season. This basic set provides all-night comfort, and a secure fit and grip on your mattress. This set includes 1 flat sheet, 1 fitted sheet, and 2 pillowcases.</t>
  </si>
  <si>
    <t>TWIN/TWXL DRI-TEC 3PC SHEET SET</t>
  </si>
  <si>
    <t>FL WHITE DRI-TEC 4PC SHEET SET</t>
  </si>
  <si>
    <t>KING/CAL KG DRI-TEC 4PC SHEET SET</t>
  </si>
  <si>
    <t>SP. KING/SP. CAL KG DRI-TEC 5PC SHEET SET</t>
  </si>
  <si>
    <t>Pillows~Casper Snow</t>
  </si>
  <si>
    <t>Casper Snow</t>
  </si>
  <si>
    <t>CASPER SNOW PILLOW</t>
  </si>
  <si>
    <t>CASPER SNOW STANDARD PILLOW</t>
  </si>
  <si>
    <t>Wake up feeling refreshed and revitalized after a night of supportive comfort provided by the Casper hybrid pillow. Engineered with Snow technology, this innovative foam and fiber design delivers a soft and supple feel that helps you sleep cooler for more than 12 hours. The CoolTouch cover provides immediate temperature regulation while the AirScape technology creates a breathable layer for a fresh and comfortable sleep experience night after night.</t>
  </si>
  <si>
    <t>CASPER SNOW KING PILLOW</t>
  </si>
  <si>
    <t>Bedrails~Bridge I</t>
  </si>
  <si>
    <t>Bedrails</t>
  </si>
  <si>
    <t>Bridge I</t>
  </si>
  <si>
    <t>FRAMES</t>
  </si>
  <si>
    <t>4 LEG T/F FRAME W/ GLIDES</t>
  </si>
  <si>
    <t>GLIDEAWAY</t>
  </si>
  <si>
    <t>Twin/Full Frames</t>
  </si>
  <si>
    <t>All</t>
  </si>
  <si>
    <t>Full,Twin</t>
  </si>
  <si>
    <t>Bedrails~Frames</t>
  </si>
  <si>
    <t>Frames</t>
  </si>
  <si>
    <t>6 LEG Q/K/CK FRAME W/ GLIDES</t>
  </si>
  <si>
    <t>King/Queen Frames</t>
  </si>
  <si>
    <t>California King,King,Queen</t>
  </si>
  <si>
    <t>Pillows~Stearns And Foster</t>
  </si>
  <si>
    <t>Stearns And Foster</t>
  </si>
  <si>
    <t>STEARNS AND FOSTER LATEX</t>
  </si>
  <si>
    <t>S&amp;F LATEX PILLOW</t>
  </si>
  <si>
    <t>Ensuring consistent comfort throughout the night is the Stearns &amp; Foster latex pillow. Crafted with a stretch knit cover with breathable Tencel material to wick away moisture and provide exceptional all-night comfort. State of the art surface guard technology protects the pillow from bacteria, odors and staining. Premium latex delivers proper pressure relief and support for neck and shoulders.</t>
  </si>
  <si>
    <t>Pillows~Adapt Proadjust</t>
  </si>
  <si>
    <t>Adapt Proadjust</t>
  </si>
  <si>
    <t>ADAPT PROADJUST</t>
  </si>
  <si>
    <t>TEMPUR-ADAPT PROADJUST QUEEN PLW</t>
  </si>
  <si>
    <t>The TEMPUR-Adapt ProAdjust Pillow complements the Adapt Collection with exclusive TEMPUR-Material that precisely adapts to your head, neck, and shoulders. It's specifically designed to provide back, side, or stomach sleepers deeply comfortable rest all night long. Exclusive TEMPUR-Material can be added or removed for personalized support and comfort. The removable, machine-washable SmartClimate Cover is woven with special fibers that provide a cool-to-the-touch surface.</t>
  </si>
  <si>
    <t>TEMPUR-ADAPT PROADJUST KING PLW</t>
  </si>
  <si>
    <t>Pillows~Adapt Pro-lo</t>
  </si>
  <si>
    <t>Adapt Pro-lo</t>
  </si>
  <si>
    <t>ADAPT PRO LO 2.0</t>
  </si>
  <si>
    <t>TEMPUR-ADAPT PROLO QUEEN PLW</t>
  </si>
  <si>
    <t>Specifically designed to complement Adapt Collection mattresses, the TEMPUR-Adapt ProLo Pillow provides the most comfort for stomach and back sleepers. Its medium-firm feel offers personalized support while proprietary TEMPUR-Material adjusts to your shape for the all-night comfort you deserve. Complete with a removable, machine-washable, cool-to-the-touch SmartClimate Cover, the TEMPUR-Adapt ProLo Pillow helps pull heat away from the body for cooling comfort all night long. Designed to adapt to your head, neck, and shoulders, TEMPUR-Material delivers exceptional pressure relief to help reduce aches and pains.</t>
  </si>
  <si>
    <t>TEMPUR-ADAPT PROLO KING PLW</t>
  </si>
  <si>
    <t>Pillows~Adapt Pro-hi</t>
  </si>
  <si>
    <t>Adapt Pro-hi</t>
  </si>
  <si>
    <t>ADAPT PRO HI 2.0</t>
  </si>
  <si>
    <t>TEMPUR-ADAPT PROHI QUEEN PLW</t>
  </si>
  <si>
    <t>The TEMPUR-Adapt ProHi Pillow is designed to complement the Adapt mattress collection and provide maximum comfort for side and combination sleepers. Its high profile and medium-firm feel offers personalized support while innovative TEMPUR-Material adapts to your shape for superior comfort all night. Complete with a removable, machine-washable, cool-to-the-touch SmartClimate Cover, the TEMPUR-Adapt ProHi Pillow helps pull heat away from the body for refreshing, all-night cooling comfort. Designed to adapt to your head, neck, and shoulders, TEMPUR-Material delivers exceptional pressure relief to help reduce aches and pains.</t>
  </si>
  <si>
    <t>TEMPUR-ADAPT PROHI KING PLW</t>
  </si>
  <si>
    <t>Pillows~Breeze Pro-lo 2.0</t>
  </si>
  <si>
    <t>Breeze Pro-lo 2.0</t>
  </si>
  <si>
    <t>BREEZE PRO-LO 2.0</t>
  </si>
  <si>
    <t>TEMPUR-BREEZE PROLO QN PLW</t>
  </si>
  <si>
    <t>BREEZE PRO-LO 2.0 KG</t>
  </si>
  <si>
    <t>TEMPUR-BREEZE PROLO KING PLW</t>
  </si>
  <si>
    <t>Pillows~Breeze Pro-hi 2.0</t>
  </si>
  <si>
    <t>Breeze Pro-hi 2.0</t>
  </si>
  <si>
    <t>BREEZE PRO-HI 2.0</t>
  </si>
  <si>
    <t>TEMPUR-BREEZE PROHI QN PLW</t>
  </si>
  <si>
    <t>Pillows~Breeze Pro-hi</t>
  </si>
  <si>
    <t>Breeze Pro-hi</t>
  </si>
  <si>
    <t>BREEZE PRO-HI 2.0 KG</t>
  </si>
  <si>
    <t>TEMPUR-BREEZE PROHI KING PLW</t>
  </si>
  <si>
    <t>Intermediate product name</t>
  </si>
  <si>
    <t>Intermediate product &amp; Size</t>
  </si>
  <si>
    <t>CASPER-CLOUD-ONE</t>
  </si>
  <si>
    <t>CASPER-SNOW-2-0</t>
  </si>
  <si>
    <t>CASPER-SNOW-MAX</t>
  </si>
  <si>
    <t>CASPER-ONYX-2-0</t>
  </si>
  <si>
    <t>SMART-MATCH-2-0</t>
  </si>
  <si>
    <t>ADAPT-2-0-MEDIUM</t>
  </si>
  <si>
    <t>ADAPT-2-0-MEDIUM-HYBRID</t>
  </si>
  <si>
    <t>PROADAPT-2-0-FIRM</t>
  </si>
  <si>
    <t>PROBREEZE-2-0-MEDIUM-HYBRID</t>
  </si>
  <si>
    <t>PROADAPT-2-0-MEDIUM</t>
  </si>
  <si>
    <t>PROADAPT-2-0-SOFT</t>
  </si>
  <si>
    <t>PROADAPT-2-0-MEDIUM-HYBRID</t>
  </si>
  <si>
    <t>LUXEADAPT-2-0-SOFT</t>
  </si>
  <si>
    <t>LUXEADAPT-2-0-MEDIUM-HYBRID</t>
  </si>
  <si>
    <t>LUXEBREEZE-2-0-FIRM</t>
  </si>
  <si>
    <t>TUFT-NEEDLE-STITCH-TN3-1</t>
  </si>
  <si>
    <t>TUFT-NEEDLE-STITCH-TN5-1</t>
  </si>
  <si>
    <t>TUFT-NEEDLE-STITCH-TN9-1</t>
  </si>
  <si>
    <t>TUFT-NEEDLE-TN1</t>
  </si>
  <si>
    <t>MOLECULE-CORE</t>
  </si>
  <si>
    <t>BROAD-PEAK-MEDIUM-HYBRID</t>
  </si>
  <si>
    <t>BAY-DREAMER</t>
  </si>
  <si>
    <t>MAKE-WAVES</t>
  </si>
  <si>
    <t>SEASIDE-SERENITY</t>
  </si>
  <si>
    <t>ARADA-CANYON</t>
  </si>
  <si>
    <t>OCEANA-MIST</t>
  </si>
  <si>
    <t>LEVEL-THREE-PLUSH</t>
  </si>
  <si>
    <t>LEVEL-THREE-MEDIUM-PILLOWTOP</t>
  </si>
  <si>
    <t>LEVEL-FOUR-PLUSH-PILLOWTOP</t>
  </si>
  <si>
    <t>KERRY-PARK</t>
  </si>
  <si>
    <t>BRADFORD-HILL</t>
  </si>
  <si>
    <t>CASTLE-ROCK</t>
  </si>
  <si>
    <t>SERIES-ONE-EXTRA-FIRM</t>
  </si>
  <si>
    <t>SERIES-TWO-MEDIUM</t>
  </si>
  <si>
    <t>SERIES-THREE-PLUSH-PILLOW-TOP</t>
  </si>
  <si>
    <t>ESTATE-FIRM-TT</t>
  </si>
  <si>
    <t>ESTATE-FIRM-PT</t>
  </si>
  <si>
    <t>LUX-ESTATE-ELITE</t>
  </si>
  <si>
    <t>HELIX-MIDNIGHT-LUXE</t>
  </si>
  <si>
    <t>HELIX-MIDNIGHT-ELITE</t>
  </si>
  <si>
    <t>TUFT-NEEDLE-KIDS-GLEE</t>
  </si>
  <si>
    <t>SIMMONS-KIDS-DELIGHT</t>
  </si>
  <si>
    <t>SIMMONS-KIDS-GLAD</t>
  </si>
  <si>
    <t>SIMMONS-KIDS-HAPPY</t>
  </si>
  <si>
    <t>HELIX-KIDS</t>
  </si>
  <si>
    <t>EASE-4-0</t>
  </si>
  <si>
    <t>BASELOGIC-SILVER</t>
  </si>
  <si>
    <t>BASELOGIC-PLATINUM</t>
  </si>
  <si>
    <t>TEMPUR-ERGO-3-0</t>
  </si>
  <si>
    <t>TEMPUR-ERGO-3-0-SMART</t>
  </si>
  <si>
    <t>TEMPUR-ERGO-PROSMART</t>
  </si>
  <si>
    <t>RTG-SLEEP-2900</t>
  </si>
  <si>
    <t>RTG-SLEEP-3900</t>
  </si>
  <si>
    <t>RTG-SLEEP-5900</t>
  </si>
  <si>
    <t>IPROTECT-PROTECTOR</t>
  </si>
  <si>
    <t>IPROTECT-CRIB-PROTECTOR</t>
  </si>
  <si>
    <t>DRI-TEC-CRIB-PROTECTOR</t>
  </si>
  <si>
    <t>VER-TEX-CRIB-PROTECTOR</t>
  </si>
  <si>
    <t>DRI-TEC-PROTECTOR</t>
  </si>
  <si>
    <t>VER-TEX-PROTECTOR</t>
  </si>
  <si>
    <t>IPROTECT-SLEEPER-PROTECTOR</t>
  </si>
  <si>
    <t>IPROTECT-PILLOW-PROTECTOR</t>
  </si>
  <si>
    <t>LUX-ESTATE-FIRM-PT</t>
  </si>
  <si>
    <t>BEAUTYREST-BLACK-FOAM-PILLOW</t>
  </si>
  <si>
    <t>ASPEN-PILLOW</t>
  </si>
  <si>
    <t>STORM-PILLOW</t>
  </si>
  <si>
    <t>NIGHT-ICE-PILLOW</t>
  </si>
  <si>
    <t>DRI-TEC-SHEETS</t>
  </si>
  <si>
    <t>BG-BASIC-SHEETS</t>
  </si>
  <si>
    <t>HYPER-COTTON-SHEETS</t>
  </si>
  <si>
    <t>VER-TEX-SHEETS</t>
  </si>
  <si>
    <t>CASPER-SNOW-PILLOW</t>
  </si>
  <si>
    <t>STEARNS-AND-FOSTER-LATEX</t>
  </si>
  <si>
    <t>ADAPT-PROADJUST</t>
  </si>
  <si>
    <t>ADAPT-PRO-LO-2-0</t>
  </si>
  <si>
    <t>ADAPT-PRO-HI-2-0</t>
  </si>
  <si>
    <t>BREEZE-PRO-LO-2-0</t>
  </si>
  <si>
    <t>BREEZE-PRO-LO-2-0-KG</t>
  </si>
  <si>
    <t>BREEZE-PRO-HI-2-0</t>
  </si>
  <si>
    <t>BREEZE-PRO-HI-2-0-KG</t>
  </si>
  <si>
    <t>Count of Reviews</t>
  </si>
  <si>
    <t>Product Link</t>
  </si>
  <si>
    <t>https://rtg-275.myshopify.com/products/CASPER-CLOUD-ONE?variant=47915101520010</t>
  </si>
  <si>
    <t>https://rtg-275.myshopify.com/products/CASPER-SNOW-2-0?variant=47915101749386</t>
  </si>
  <si>
    <t>https://rtg-275.myshopify.com/products/CASPER-SNOW-MAX?variant=47915101978762</t>
  </si>
  <si>
    <t>https://rtg-275.myshopify.com/products/CASPER-ONYX-2-0?variant=47915102175370</t>
  </si>
  <si>
    <t>https://rtg-275.myshopify.com/products/SMART-MATCH-2-0?variant=47915102470282</t>
  </si>
  <si>
    <t>https://rtg-275.myshopify.com/products/ADAPT-2-0-MEDIUM?variant=47915102765194</t>
  </si>
  <si>
    <t>https://rtg-275.myshopify.com/products/ADAPT-2-0-MEDIUM-HYBRID?variant=47915103125642</t>
  </si>
  <si>
    <t>https://rtg-275.myshopify.com/products/PROADAPT-2-0-FIRM?variant=47915103453322</t>
  </si>
  <si>
    <t>https://rtg-275.myshopify.com/products/PROBREEZE-2-0-MEDIUM-HYBRID?variant=47915104043146</t>
  </si>
  <si>
    <t>https://rtg-275.myshopify.com/products/PROADAPT-2-0-MEDIUM?variant=47915104305290</t>
  </si>
  <si>
    <t>https://rtg-275.myshopify.com/products/PROADAPT-2-0-SOFT?variant=47915104567434</t>
  </si>
  <si>
    <t>https://rtg-275.myshopify.com/products/PROADAPT-2-0-MEDIUM-HYBRID?variant=47915104895114</t>
  </si>
  <si>
    <t>https://rtg-275.myshopify.com/products/LUXEADAPT-2-0-SOFT?variant=47915105157258</t>
  </si>
  <si>
    <t>https://rtg-275.myshopify.com/products/LUXEADAPT-2-0-MEDIUM-HYBRID?variant=47915105386634</t>
  </si>
  <si>
    <t>https://rtg-275.myshopify.com/products/LUXEBREEZE-2-0-FIRM?variant=47915105583242</t>
  </si>
  <si>
    <t>https://rtg-275.myshopify.com/products/TUFT-NEEDLE-STITCH-TN3-1?variant=47915105910922</t>
  </si>
  <si>
    <t>https://rtg-275.myshopify.com/products/TUFT-NEEDLE-STITCH-TN5-1?variant=47915106140298</t>
  </si>
  <si>
    <t>https://rtg-275.myshopify.com/products/TUFT-NEEDLE-STITCH-TN9-1?variant=47915106566282</t>
  </si>
  <si>
    <t>https://rtg-275.myshopify.com/products/TUFT-NEEDLE-TN1?variant=47915106828426</t>
  </si>
  <si>
    <t>https://rtg-275.myshopify.com/products/MOLECULE-CORE?variant=47915107090570</t>
  </si>
  <si>
    <t>https://rtg-275.myshopify.com/products/BROAD-PEAK-MEDIUM-HYBRID?variant=47915107287178</t>
  </si>
  <si>
    <t>https://rtg-275.myshopify.com/products/BAY-DREAMER?variant=47915107516554</t>
  </si>
  <si>
    <t>https://rtg-275.myshopify.com/products/MAKE-WAVES?variant=47915107713162</t>
  </si>
  <si>
    <t>https://rtg-275.myshopify.com/products/SEASIDE-SERENITY?variant=47915107877002</t>
  </si>
  <si>
    <t>https://rtg-275.myshopify.com/products/FORESTER?variant=47915108073610</t>
  </si>
  <si>
    <t>https://rtg-275.myshopify.com/products/DARLINGTON?variant=47915108302986</t>
  </si>
  <si>
    <t>https://rtg-275.myshopify.com/products/HASTINGS?variant=47915108532362</t>
  </si>
  <si>
    <t>https://rtg-275.myshopify.com/products/KAANAPALI?variant=47915108630666</t>
  </si>
  <si>
    <t>https://rtg-275.myshopify.com/products/LEDO?variant=47915108728970</t>
  </si>
  <si>
    <t>https://rtg-275.myshopify.com/products/CAPERTEE?variant=47915108827274</t>
  </si>
  <si>
    <t>https://rtg-275.myshopify.com/products/ARADA-CANYON?variant=47915108925578</t>
  </si>
  <si>
    <t>https://rtg-275.myshopify.com/products/OCEANA-MIST?variant=47915109023882</t>
  </si>
  <si>
    <t>https://rtg-275.myshopify.com/products/LEVEL-THREE-PLUSH?variant=47915109220490</t>
  </si>
  <si>
    <t>https://rtg-275.myshopify.com/products/LEVEL-THREE-MEDIUM-PILLOWTOP?variant=47915109417098</t>
  </si>
  <si>
    <t>https://rtg-275.myshopify.com/products/LEVEL-FOUR-PLUSH-PILLOWTOP?variant=47915109613706</t>
  </si>
  <si>
    <t>https://rtg-275.myshopify.com/products/KERRY-PARK?variant=47915109843082</t>
  </si>
  <si>
    <t>https://rtg-275.myshopify.com/products/BRADFORD-HILL?variant=47915110039690</t>
  </si>
  <si>
    <t>https://rtg-275.myshopify.com/products/NORTHGATE?variant=47915110203530</t>
  </si>
  <si>
    <t>https://rtg-275.myshopify.com/products/BRIERWOOD?variant=47915110334602</t>
  </si>
  <si>
    <t>https://rtg-275.myshopify.com/products/CASTLE-ROCK?variant=47915110629514</t>
  </si>
  <si>
    <t>https://rtg-275.myshopify.com/products/PEBBLEBROOK?variant=47915110858890</t>
  </si>
  <si>
    <t>https://rtg-275.myshopify.com/products/SERIES-ONE-EXTRA-FIRM?variant=47915111088266</t>
  </si>
  <si>
    <t>https://rtg-275.myshopify.com/products/SERIES-TWO-MEDIUM?variant=47915111284874</t>
  </si>
  <si>
    <t>https://rtg-275.myshopify.com/products/SERIES-THREE-PLUSH-PILLOW-TOP?variant=47915111514250</t>
  </si>
  <si>
    <t>https://rtg-275.myshopify.com/products/ESTATE-FIRM-TT?variant=47915111710858</t>
  </si>
  <si>
    <t>https://rtg-275.myshopify.com/products/ESTATE-FIRM-PT?variant=47915111907466</t>
  </si>
  <si>
    <t>https://rtg-275.myshopify.com/products/LUX-ESTATE-ELITE?variant=47915112038538</t>
  </si>
  <si>
    <t>https://rtg-275.myshopify.com/products/HELIX-MIDNIGHT-LUXE?variant=47915112169610</t>
  </si>
  <si>
    <t>https://rtg-275.myshopify.com/products/HELIX-MIDNIGHT-ELITE?variant=47915112398986</t>
  </si>
  <si>
    <t>https://rtg-275.myshopify.com/products/CASPER-CLOUD-ONE?variant=47915101552778</t>
  </si>
  <si>
    <t>https://rtg-275.myshopify.com/products/CASPER-ONYX-2-0?variant=47915102208138</t>
  </si>
  <si>
    <t>https://rtg-275.myshopify.com/products/SMART-MATCH-2-0?variant=47915102503050</t>
  </si>
  <si>
    <t>https://rtg-275.myshopify.com/products/TURNBULL?variant=47915112595594</t>
  </si>
  <si>
    <t>https://rtg-275.myshopify.com/products/HAWKE?variant=47915112693898</t>
  </si>
  <si>
    <t>https://rtg-275.myshopify.com/products/GRENSON?variant=47915112759434</t>
  </si>
  <si>
    <t>https://rtg-275.myshopify.com/products/ADAPT-2-0-MEDIUM?variant=47915102797962</t>
  </si>
  <si>
    <t>https://rtg-275.myshopify.com/products/ADAPT-2-0-MEDIUM-HYBRID?variant=47915103158410</t>
  </si>
  <si>
    <t>https://rtg-275.myshopify.com/products/PROADAPT-2-0-FIRM?variant=47915103486090</t>
  </si>
  <si>
    <t>https://rtg-275.myshopify.com/products/PROADAPT-2-0-MEDIUM?variant=47915104338058</t>
  </si>
  <si>
    <t>https://rtg-275.myshopify.com/products/PROADAPT-2-0-SOFT?variant=47915104600202</t>
  </si>
  <si>
    <t>https://rtg-275.myshopify.com/products/PROADAPT-2-0-MEDIUM-HYBRID?variant=47915104927882</t>
  </si>
  <si>
    <t>https://rtg-275.myshopify.com/products/TUFT-NEEDLE-STITCH-TN3-1?variant=47915105943690</t>
  </si>
  <si>
    <t>https://rtg-275.myshopify.com/products/TUFT-NEEDLE-STITCH-TN5-1?variant=47915106173066</t>
  </si>
  <si>
    <t>https://rtg-275.myshopify.com/products/TUFT-NEEDLE-STITCH-TN9-1?variant=47915106599050</t>
  </si>
  <si>
    <t>https://rtg-275.myshopify.com/products/TUFT-NEEDLE-KIDS-GLEE?variant=47915112824970</t>
  </si>
  <si>
    <t>https://rtg-275.myshopify.com/products/TUFT-NEEDLE-TN1?variant=47915106861194</t>
  </si>
  <si>
    <t>https://rtg-275.myshopify.com/products/MOLECULE-CORE?variant=47915107123338</t>
  </si>
  <si>
    <t>https://rtg-275.myshopify.com/products/BROAD-PEAK-MEDIUM-HYBRID?variant=47915107319946</t>
  </si>
  <si>
    <t>https://rtg-275.myshopify.com/products/SIMMONS-KIDS-DELIGHT?variant=47915112890506</t>
  </si>
  <si>
    <t>https://rtg-275.myshopify.com/products/SIMMONS-KIDS-GLAD?variant=47915112956042</t>
  </si>
  <si>
    <t>https://rtg-275.myshopify.com/products/SIMMONS-KIDS-HAPPY?variant=47915113021578</t>
  </si>
  <si>
    <t>https://rtg-275.myshopify.com/products/BAY-DREAMER?variant=47915107549322</t>
  </si>
  <si>
    <t>https://rtg-275.myshopify.com/products/MAKE-WAVES?variant=47915107745930</t>
  </si>
  <si>
    <t>https://rtg-275.myshopify.com/products/SEASIDE-SERENITY?variant=47915107909770</t>
  </si>
  <si>
    <t>https://rtg-275.myshopify.com/products/ALDER?variant=47915113119882</t>
  </si>
  <si>
    <t>https://rtg-275.myshopify.com/products/CREEKMORE?variant=47915113185418</t>
  </si>
  <si>
    <t>https://rtg-275.myshopify.com/products/FLOURISH?variant=47915113283722</t>
  </si>
  <si>
    <t>https://rtg-275.myshopify.com/products/HAMEL?variant=47915113349258</t>
  </si>
  <si>
    <t>https://rtg-275.myshopify.com/products/IMPREZA?variant=47915113414794</t>
  </si>
  <si>
    <t>https://rtg-275.myshopify.com/products/FORESTER?variant=47915108106378</t>
  </si>
  <si>
    <t>https://rtg-275.myshopify.com/products/DARLINGTON?variant=47915108335754</t>
  </si>
  <si>
    <t>https://rtg-275.myshopify.com/products/OCEANA-MIST?variant=47915109056650</t>
  </si>
  <si>
    <t>https://rtg-275.myshopify.com/products/LEVEL-THREE-PLUSH?variant=47915109253258</t>
  </si>
  <si>
    <t>https://rtg-275.myshopify.com/products/LEVEL-THREE-MEDIUM-PILLOWTOP?variant=47915109449866</t>
  </si>
  <si>
    <t>https://rtg-275.myshopify.com/products/LEVEL-FOUR-PLUSH-PILLOWTOP?variant=47915109646474</t>
  </si>
  <si>
    <t>https://rtg-275.myshopify.com/products/KERRY-PARK?variant=47915109875850</t>
  </si>
  <si>
    <t>https://rtg-275.myshopify.com/products/BRADFORD-HILL?variant=47915110072458</t>
  </si>
  <si>
    <t>https://rtg-275.myshopify.com/products/BRIERWOOD?variant=47915110367370</t>
  </si>
  <si>
    <t>https://rtg-275.myshopify.com/products/CASTLE-ROCK?variant=47915110662282</t>
  </si>
  <si>
    <t>https://rtg-275.myshopify.com/products/PEBBLEBROOK?variant=47915110891658</t>
  </si>
  <si>
    <t>https://rtg-275.myshopify.com/products/TEMPUR-KIDS?variant=47915113480330</t>
  </si>
  <si>
    <t>https://rtg-275.myshopify.com/products/Z-305?variant=47915113578634</t>
  </si>
  <si>
    <t>https://rtg-275.myshopify.com/products/Z-505?variant=47915113676938</t>
  </si>
  <si>
    <t>https://rtg-275.myshopify.com/products/HELIX-KIDS?variant=47915113971850</t>
  </si>
  <si>
    <t>https://rtg-275.myshopify.com/products/HELIX-MIDNIGHT-LUXE?variant=47915112202378</t>
  </si>
  <si>
    <t>https://rtg-275.myshopify.com/products/HELIX-MIDNIGHT-ELITE?variant=47915112431754</t>
  </si>
  <si>
    <t>https://rtg-275.myshopify.com/products/EASE-4-0?variant=47915114070154</t>
  </si>
  <si>
    <t>https://rtg-275.myshopify.com/products/CASPER-CLOUD-ONE?variant=47915101585546</t>
  </si>
  <si>
    <t>https://rtg-275.myshopify.com/products/CASPER-SNOW-2-0?variant=47915101782154</t>
  </si>
  <si>
    <t>https://rtg-275.myshopify.com/products/CASPER-SNOW-MAX?variant=47915102011530</t>
  </si>
  <si>
    <t>https://rtg-275.myshopify.com/products/CASPER-ONYX-2-0?variant=47915102240906</t>
  </si>
  <si>
    <t>https://rtg-275.myshopify.com/products/SMART-MATCH-2-0?variant=47915102535818</t>
  </si>
  <si>
    <t>https://rtg-275.myshopify.com/products/TURNBULL?variant=47915112628362</t>
  </si>
  <si>
    <t>https://rtg-275.myshopify.com/products/HAWKE?variant=47915112726666</t>
  </si>
  <si>
    <t>https://rtg-275.myshopify.com/products/GRENSON?variant=47915112792202</t>
  </si>
  <si>
    <t>https://rtg-275.myshopify.com/products/ADAPT-2-0-MEDIUM?variant=47915102830730</t>
  </si>
  <si>
    <t>https://rtg-275.myshopify.com/products/ADAPT-2-0-MEDIUM-HYBRID?variant=47915103191178</t>
  </si>
  <si>
    <t>https://rtg-275.myshopify.com/products/PROADAPT-2-0-FIRM?variant=47915103518858</t>
  </si>
  <si>
    <t>https://rtg-275.myshopify.com/products/PROADAPT-2-0-MEDIUM?variant=47915104370826</t>
  </si>
  <si>
    <t>https://rtg-275.myshopify.com/products/PROADAPT-2-0-SOFT?variant=47915104632970</t>
  </si>
  <si>
    <t>https://rtg-275.myshopify.com/products/PROADAPT-2-0-MEDIUM-HYBRID?variant=47915104960650</t>
  </si>
  <si>
    <t>https://rtg-275.myshopify.com/products/TUFT-NEEDLE-STITCH-TN3-1?variant=47915105976458</t>
  </si>
  <si>
    <t>https://rtg-275.myshopify.com/products/TUFT-NEEDLE-STITCH-TN5-1?variant=47915106205834</t>
  </si>
  <si>
    <t>https://rtg-275.myshopify.com/products/TUFT-NEEDLE-STITCH-TN9-1?variant=47915106631818</t>
  </si>
  <si>
    <t>https://rtg-275.myshopify.com/products/TUFT-NEEDLE-KIDS-GLEE?variant=47915112857738</t>
  </si>
  <si>
    <t>https://rtg-275.myshopify.com/products/TUFT-NEEDLE-TN1?variant=47915106893962</t>
  </si>
  <si>
    <t>https://rtg-275.myshopify.com/products/MOLECULE-CORE?variant=47915107156106</t>
  </si>
  <si>
    <t>https://rtg-275.myshopify.com/products/BROAD-PEAK-MEDIUM-HYBRID?variant=47915107352714</t>
  </si>
  <si>
    <t>https://rtg-275.myshopify.com/products/SIMMONS-KIDS-DELIGHT?variant=47915112923274</t>
  </si>
  <si>
    <t>https://rtg-275.myshopify.com/products/SIMMONS-KIDS-GLAD?variant=47915112988810</t>
  </si>
  <si>
    <t>https://rtg-275.myshopify.com/products/SIMMONS-KIDS-HAPPY?variant=47915113054346</t>
  </si>
  <si>
    <t>https://rtg-275.myshopify.com/products/BAY-DREAMER?variant=47915107582090</t>
  </si>
  <si>
    <t>https://rtg-275.myshopify.com/products/MAKE-WAVES?variant=47915107778698</t>
  </si>
  <si>
    <t>https://rtg-275.myshopify.com/products/SEASIDE-SERENITY?variant=47915107942538</t>
  </si>
  <si>
    <t>https://rtg-275.myshopify.com/products/ALDER?variant=47915113152650</t>
  </si>
  <si>
    <t>https://rtg-275.myshopify.com/products/CREEKMORE?variant=47915113218186</t>
  </si>
  <si>
    <t>https://rtg-275.myshopify.com/products/FLOURISH?variant=47915113316490</t>
  </si>
  <si>
    <t>https://rtg-275.myshopify.com/products/HAMEL?variant=47915113382026</t>
  </si>
  <si>
    <t>https://rtg-275.myshopify.com/products/IMPREZA?variant=47915113447562</t>
  </si>
  <si>
    <t>https://rtg-275.myshopify.com/products/FORESTER?variant=47915108139146</t>
  </si>
  <si>
    <t>https://rtg-275.myshopify.com/products/DARLINGTON?variant=47915108368522</t>
  </si>
  <si>
    <t>https://rtg-275.myshopify.com/products/OCEANA-MIST?variant=47915109089418</t>
  </si>
  <si>
    <t>https://rtg-275.myshopify.com/products/LEVEL-THREE-PLUSH?variant=47915109286026</t>
  </si>
  <si>
    <t>https://rtg-275.myshopify.com/products/LEVEL-THREE-MEDIUM-PILLOWTOP?variant=47915109482634</t>
  </si>
  <si>
    <t>https://rtg-275.myshopify.com/products/LEVEL-FOUR-PLUSH-PILLOWTOP?variant=47915109679242</t>
  </si>
  <si>
    <t>https://rtg-275.myshopify.com/products/KERRY-PARK?variant=47915109908618</t>
  </si>
  <si>
    <t>https://rtg-275.myshopify.com/products/BRADFORD-HILL?variant=47915110105226</t>
  </si>
  <si>
    <t>https://rtg-275.myshopify.com/products/BRIERWOOD?variant=47915110400138</t>
  </si>
  <si>
    <t>https://rtg-275.myshopify.com/products/CASTLE-ROCK?variant=47915110695050</t>
  </si>
  <si>
    <t>https://rtg-275.myshopify.com/products/PEBBLEBROOK?variant=47915110924426</t>
  </si>
  <si>
    <t>https://rtg-275.myshopify.com/products/TEMPUR-KIDS?variant=47915113513098</t>
  </si>
  <si>
    <t>https://rtg-275.myshopify.com/products/SERIES-ONE-EXTRA-FIRM?variant=47915111121034</t>
  </si>
  <si>
    <t>https://rtg-275.myshopify.com/products/SERIES-TWO-MEDIUM?variant=47915111317642</t>
  </si>
  <si>
    <t>https://rtg-275.myshopify.com/products/SERIES-THREE-PLUSH-PILLOW-TOP?variant=47915111547018</t>
  </si>
  <si>
    <t>https://rtg-275.myshopify.com/products/ESTATE-FIRM-TT?variant=47915111743626</t>
  </si>
  <si>
    <t>https://rtg-275.myshopify.com/products/ESTATE-FIRM-PT?variant=47915111940234</t>
  </si>
  <si>
    <t>https://rtg-275.myshopify.com/products/Z-305?variant=47915113611402</t>
  </si>
  <si>
    <t>https://rtg-275.myshopify.com/products/Z-505?variant=47915113709706</t>
  </si>
  <si>
    <t>https://rtg-275.myshopify.com/products/HELIX-KIDS?variant=47915114004618</t>
  </si>
  <si>
    <t>https://rtg-275.myshopify.com/products/HELIX-MIDNIGHT-LUXE?variant=47915112235146</t>
  </si>
  <si>
    <t>https://rtg-275.myshopify.com/products/HELIX-MIDNIGHT-ELITE?variant=47915112464522</t>
  </si>
  <si>
    <t>https://rtg-275.myshopify.com/products/BASELOGIC-SILVER?variant=47915114332298</t>
  </si>
  <si>
    <t>https://rtg-275.myshopify.com/products/BASELOGIC-PLATINUM?variant=47915114528906</t>
  </si>
  <si>
    <t>https://rtg-275.myshopify.com/products/TEMPUR-ERGO-3-0?variant=47915114758282</t>
  </si>
  <si>
    <t>https://rtg-275.myshopify.com/products/TEMPUR-ERGO-3-0-SMART?variant=47915114987658</t>
  </si>
  <si>
    <t>https://rtg-275.myshopify.com/products/EASE-4-0?variant=47915114102922</t>
  </si>
  <si>
    <t>https://rtg-275.myshopify.com/products/CASPER-CLOUD-ONE?variant=47915101618314</t>
  </si>
  <si>
    <t>https://rtg-275.myshopify.com/products/CASPER-SNOW-2-0?variant=47915101814922</t>
  </si>
  <si>
    <t>https://rtg-275.myshopify.com/products/CASPER-SNOW-MAX?variant=47915102044298</t>
  </si>
  <si>
    <t>https://rtg-275.myshopify.com/products/CASPER-ONYX-2-0?variant=47915102273674</t>
  </si>
  <si>
    <t>https://rtg-275.myshopify.com/products/SMART-MATCH-2-0?variant=47915102568586</t>
  </si>
  <si>
    <t>https://rtg-275.myshopify.com/products/ADAPT-2-0-MEDIUM?variant=47915102863498</t>
  </si>
  <si>
    <t>https://rtg-275.myshopify.com/products/ADAPT-2-0-MEDIUM-HYBRID?variant=47915103223946</t>
  </si>
  <si>
    <t>https://rtg-275.myshopify.com/products/PROADAPT-2-0-FIRM?variant=47915103551626</t>
  </si>
  <si>
    <t>https://rtg-275.myshopify.com/products/PROBREEZE-2-0-MEDIUM-HYBRID?variant=47915104075914</t>
  </si>
  <si>
    <t>https://rtg-275.myshopify.com/products/PROADAPT-2-0-MEDIUM?variant=47915104403594</t>
  </si>
  <si>
    <t>https://rtg-275.myshopify.com/products/PROADAPT-2-0-SOFT?variant=47915104665738</t>
  </si>
  <si>
    <t>https://rtg-275.myshopify.com/products/PROADAPT-2-0-MEDIUM-HYBRID?variant=47915104993418</t>
  </si>
  <si>
    <t>https://rtg-275.myshopify.com/products/LUXEADAPT-2-0-SOFT?variant=47915105190026</t>
  </si>
  <si>
    <t>https://rtg-275.myshopify.com/products/LUXEADAPT-2-0-MEDIUM-HYBRID?variant=47915105419402</t>
  </si>
  <si>
    <t>https://rtg-275.myshopify.com/products/LUXEBREEZE-2-0-FIRM?variant=47915105616010</t>
  </si>
  <si>
    <t>https://rtg-275.myshopify.com/products/TUFT-NEEDLE-STITCH-TN3-1?variant=47915106009226</t>
  </si>
  <si>
    <t>https://rtg-275.myshopify.com/products/TUFT-NEEDLE-STITCH-TN5-1?variant=47915106238602</t>
  </si>
  <si>
    <t>https://rtg-275.myshopify.com/products/TUFT-NEEDLE-STITCH-TN9-1?variant=47915106664586</t>
  </si>
  <si>
    <t>https://rtg-275.myshopify.com/products/TUFT-NEEDLE-TN1?variant=47915106926730</t>
  </si>
  <si>
    <t>https://rtg-275.myshopify.com/products/MOLECULE-CORE?variant=47915107188874</t>
  </si>
  <si>
    <t>https://rtg-275.myshopify.com/products/BROAD-PEAK-MEDIUM-HYBRID?variant=47915107385482</t>
  </si>
  <si>
    <t>https://rtg-275.myshopify.com/products/BAY-DREAMER?variant=47915107614858</t>
  </si>
  <si>
    <t>https://rtg-275.myshopify.com/products/MAKE-WAVES?variant=47915107811466</t>
  </si>
  <si>
    <t>https://rtg-275.myshopify.com/products/SEASIDE-SERENITY?variant=47915107975306</t>
  </si>
  <si>
    <t>https://rtg-275.myshopify.com/products/FORESTER?variant=47915108171914</t>
  </si>
  <si>
    <t>https://rtg-275.myshopify.com/products/DARLINGTON?variant=47915108401290</t>
  </si>
  <si>
    <t>https://rtg-275.myshopify.com/products/HASTINGS?variant=47915108565130</t>
  </si>
  <si>
    <t>https://rtg-275.myshopify.com/products/KAANAPALI?variant=47915108663434</t>
  </si>
  <si>
    <t>https://rtg-275.myshopify.com/products/LEDO?variant=47915108761738</t>
  </si>
  <si>
    <t>https://rtg-275.myshopify.com/products/CAPERTEE?variant=47915108860042</t>
  </si>
  <si>
    <t>https://rtg-275.myshopify.com/products/ARADA-CANYON?variant=47915108958346</t>
  </si>
  <si>
    <t>https://rtg-275.myshopify.com/products/OCEANA-MIST?variant=47915109122186</t>
  </si>
  <si>
    <t>https://rtg-275.myshopify.com/products/LEVEL-THREE-PLUSH?variant=47915109318794</t>
  </si>
  <si>
    <t>https://rtg-275.myshopify.com/products/LEVEL-THREE-MEDIUM-PILLOWTOP?variant=47915109515402</t>
  </si>
  <si>
    <t>https://rtg-275.myshopify.com/products/LEVEL-FOUR-PLUSH-PILLOWTOP?variant=47915109712010</t>
  </si>
  <si>
    <t>https://rtg-275.myshopify.com/products/KERRY-PARK?variant=47915109941386</t>
  </si>
  <si>
    <t>https://rtg-275.myshopify.com/products/BRADFORD-HILL?variant=47915110137994</t>
  </si>
  <si>
    <t>https://rtg-275.myshopify.com/products/NORTHGATE?variant=47915110236298</t>
  </si>
  <si>
    <t>https://rtg-275.myshopify.com/products/BRIERWOOD?variant=47915110432906</t>
  </si>
  <si>
    <t>https://rtg-275.myshopify.com/products/CASTLE-ROCK?variant=47915110727818</t>
  </si>
  <si>
    <t>https://rtg-275.myshopify.com/products/PEBBLEBROOK?variant=47915110957194</t>
  </si>
  <si>
    <t>https://rtg-275.myshopify.com/products/SERIES-ONE-EXTRA-FIRM?variant=47915111153802</t>
  </si>
  <si>
    <t>https://rtg-275.myshopify.com/products/SERIES-TWO-MEDIUM?variant=47915111350410</t>
  </si>
  <si>
    <t>https://rtg-275.myshopify.com/products/SERIES-THREE-PLUSH-PILLOW-TOP?variant=47915111579786</t>
  </si>
  <si>
    <t>https://rtg-275.myshopify.com/products/ESTATE-FIRM-TT?variant=47915111776394</t>
  </si>
  <si>
    <t>https://rtg-275.myshopify.com/products/ESTATE-FIRM-PT?variant=47915111973002</t>
  </si>
  <si>
    <t>https://rtg-275.myshopify.com/products/LUX-ESTATE-ELITE?variant=47915112071306</t>
  </si>
  <si>
    <t>https://rtg-275.myshopify.com/products/HELIX-MIDNIGHT-LUXE?variant=47915112267914</t>
  </si>
  <si>
    <t>https://rtg-275.myshopify.com/products/HELIX-MIDNIGHT-ELITE?variant=47915112497290</t>
  </si>
  <si>
    <t>https://rtg-275.myshopify.com/products/BASELOGIC-SILVER?variant=47915114365066</t>
  </si>
  <si>
    <t>https://rtg-275.myshopify.com/products/BASELOGIC-PLATINUM?variant=47915114561674</t>
  </si>
  <si>
    <t>https://rtg-275.myshopify.com/products/TEMPUR-ERGO-3-0?variant=47915114791050</t>
  </si>
  <si>
    <t>https://rtg-275.myshopify.com/products/TEMPUR-ERGO-3-0-SMART?variant=47915115020426</t>
  </si>
  <si>
    <t>https://rtg-275.myshopify.com/products/TEMPUR-ERGO-PROSMART?variant=47915115217034</t>
  </si>
  <si>
    <t>https://rtg-275.myshopify.com/products/RTG-SLEEP-2900?variant=47915115413642</t>
  </si>
  <si>
    <t>https://rtg-275.myshopify.com/products/RTG-SLEEP-3900?variant=47915115610250</t>
  </si>
  <si>
    <t>https://rtg-275.myshopify.com/products/RTG-SLEEP-5900?variant=47915115708554</t>
  </si>
  <si>
    <t>https://rtg-275.myshopify.com/products/EASE-4-0?variant=47915114135690</t>
  </si>
  <si>
    <t>https://rtg-275.myshopify.com/products/CASPER-CLOUD-ONE?variant=47915101651082</t>
  </si>
  <si>
    <t>https://rtg-275.myshopify.com/products/CASPER-SNOW-2-0?variant=47915101847690</t>
  </si>
  <si>
    <t>https://rtg-275.myshopify.com/products/CASPER-SNOW-MAX?variant=47915102077066</t>
  </si>
  <si>
    <t>https://rtg-275.myshopify.com/products/CASPER-ONYX-2-0?variant=47915102306442</t>
  </si>
  <si>
    <t>https://rtg-275.myshopify.com/products/SMART-MATCH-2-0?variant=47915102601354</t>
  </si>
  <si>
    <t>https://rtg-275.myshopify.com/products/ADAPT-2-0-MEDIUM?variant=47915102896266</t>
  </si>
  <si>
    <t>https://rtg-275.myshopify.com/products/ADAPT-2-0-MEDIUM-HYBRID?variant=47915103256714</t>
  </si>
  <si>
    <t>https://rtg-275.myshopify.com/products/PROADAPT-2-0-FIRM?variant=47915103584394</t>
  </si>
  <si>
    <t>https://rtg-275.myshopify.com/products/PROBREEZE-2-0-MEDIUM-HYBRID?variant=47915104108682</t>
  </si>
  <si>
    <t>https://rtg-275.myshopify.com/products/PROADAPT-2-0-MEDIUM?variant=47915104436362</t>
  </si>
  <si>
    <t>https://rtg-275.myshopify.com/products/PROADAPT-2-0-SOFT?variant=47915104698506</t>
  </si>
  <si>
    <t>https://rtg-275.myshopify.com/products/PROADAPT-2-0-MEDIUM-HYBRID?variant=47915105026186</t>
  </si>
  <si>
    <t>https://rtg-275.myshopify.com/products/LUXEADAPT-2-0-SOFT?variant=47915105222794</t>
  </si>
  <si>
    <t>https://rtg-275.myshopify.com/products/LUXEADAPT-2-0-MEDIUM-HYBRID?variant=47915105452170</t>
  </si>
  <si>
    <t>https://rtg-275.myshopify.com/products/LUXEBREEZE-2-0-FIRM?variant=47915105648778</t>
  </si>
  <si>
    <t>https://rtg-275.myshopify.com/products/TUFT-NEEDLE-STITCH-TN3-1?variant=47915106041994</t>
  </si>
  <si>
    <t>https://rtg-275.myshopify.com/products/TUFT-NEEDLE-STITCH-TN5-1?variant=47915106271370</t>
  </si>
  <si>
    <t>https://rtg-275.myshopify.com/products/TUFT-NEEDLE-STITCH-TN9-1?variant=47915106697354</t>
  </si>
  <si>
    <t>https://rtg-275.myshopify.com/products/TUFT-NEEDLE-TN1?variant=47915106959498</t>
  </si>
  <si>
    <t>https://rtg-275.myshopify.com/products/MOLECULE-CORE?variant=47915107221642</t>
  </si>
  <si>
    <t>https://rtg-275.myshopify.com/products/BROAD-PEAK-MEDIUM-HYBRID?variant=47915107418250</t>
  </si>
  <si>
    <t>https://rtg-275.myshopify.com/products/FORESTER?variant=47915108204682</t>
  </si>
  <si>
    <t>https://rtg-275.myshopify.com/products/DARLINGTON?variant=47915108434058</t>
  </si>
  <si>
    <t>https://rtg-275.myshopify.com/products/HASTINGS?variant=47915108597898</t>
  </si>
  <si>
    <t>https://rtg-275.myshopify.com/products/KAANAPALI?variant=47915108696202</t>
  </si>
  <si>
    <t>https://rtg-275.myshopify.com/products/LEDO?variant=47915108794506</t>
  </si>
  <si>
    <t>https://rtg-275.myshopify.com/products/CAPERTEE?variant=47915108892810</t>
  </si>
  <si>
    <t>https://rtg-275.myshopify.com/products/ARADA-CANYON?variant=47915108991114</t>
  </si>
  <si>
    <t>https://rtg-275.myshopify.com/products/OCEANA-MIST?variant=47915109154954</t>
  </si>
  <si>
    <t>https://rtg-275.myshopify.com/products/LEVEL-THREE-PLUSH?variant=47915109351562</t>
  </si>
  <si>
    <t>https://rtg-275.myshopify.com/products/LEVEL-THREE-MEDIUM-PILLOWTOP?variant=47915109548170</t>
  </si>
  <si>
    <t>https://rtg-275.myshopify.com/products/LEVEL-FOUR-PLUSH-PILLOWTOP?variant=47915109744778</t>
  </si>
  <si>
    <t>https://rtg-275.myshopify.com/products/KERRY-PARK?variant=47915109974154</t>
  </si>
  <si>
    <t>https://rtg-275.myshopify.com/products/BRADFORD-HILL?variant=47915110170762</t>
  </si>
  <si>
    <t>https://rtg-275.myshopify.com/products/NORTHGATE?variant=47915110269066</t>
  </si>
  <si>
    <t>https://rtg-275.myshopify.com/products/BRIERWOOD?variant=47915110465674</t>
  </si>
  <si>
    <t>https://rtg-275.myshopify.com/products/CASTLE-ROCK?variant=47915110760586</t>
  </si>
  <si>
    <t>https://rtg-275.myshopify.com/products/PEBBLEBROOK?variant=47915110989962</t>
  </si>
  <si>
    <t>https://rtg-275.myshopify.com/products/SERIES-ONE-EXTRA-FIRM?variant=47915111186570</t>
  </si>
  <si>
    <t>https://rtg-275.myshopify.com/products/SERIES-TWO-MEDIUM?variant=47915111383178</t>
  </si>
  <si>
    <t>https://rtg-275.myshopify.com/products/SERIES-THREE-PLUSH-PILLOW-TOP?variant=47915111612554</t>
  </si>
  <si>
    <t>https://rtg-275.myshopify.com/products/ESTATE-FIRM-TT?variant=47915111809162</t>
  </si>
  <si>
    <t>https://rtg-275.myshopify.com/products/ESTATE-FIRM-PT?variant=47915112005770</t>
  </si>
  <si>
    <t>https://rtg-275.myshopify.com/products/LUX-ESTATE-ELITE?variant=47915112104074</t>
  </si>
  <si>
    <t>https://rtg-275.myshopify.com/products/HELIX-MIDNIGHT-LUXE?variant=47915112300682</t>
  </si>
  <si>
    <t>https://rtg-275.myshopify.com/products/HELIX-MIDNIGHT-ELITE?variant=47915112530058</t>
  </si>
  <si>
    <t>https://rtg-275.myshopify.com/products/BASELOGIC-SILVER?variant=47915114397834</t>
  </si>
  <si>
    <t>https://rtg-275.myshopify.com/products/BASELOGIC-PLATINUM?variant=47915114594442</t>
  </si>
  <si>
    <t>https://rtg-275.myshopify.com/products/TEMPUR-ERGO-3-0?variant=47915114823818</t>
  </si>
  <si>
    <t>https://rtg-275.myshopify.com/products/TEMPUR-ERGO-3-0-SMART?variant=47915115053194</t>
  </si>
  <si>
    <t>https://rtg-275.myshopify.com/products/TEMPUR-ERGO-PROSMART?variant=47915115249802</t>
  </si>
  <si>
    <t>https://rtg-275.myshopify.com/products/RTG-SLEEP-2900?variant=47915115446410</t>
  </si>
  <si>
    <t>https://rtg-275.myshopify.com/products/RTG-SLEEP-3900?variant=47915115643018</t>
  </si>
  <si>
    <t>https://rtg-275.myshopify.com/products/RTG-SLEEP-5900?variant=47915115741322</t>
  </si>
  <si>
    <t>https://rtg-275.myshopify.com/products/EASE-4-0?variant=47915114168458</t>
  </si>
  <si>
    <t>https://rtg-275.myshopify.com/products/BASELOGIC-SILVER?variant=47915114430602</t>
  </si>
  <si>
    <t>https://rtg-275.myshopify.com/products/BASELOGIC-PLATINUM?variant=47915114627210</t>
  </si>
  <si>
    <t>https://rtg-275.myshopify.com/products/TEMPUR-ERGO-3-0?variant=47915114856586</t>
  </si>
  <si>
    <t>https://rtg-275.myshopify.com/products/TEMPUR-ERGO-3-0-SMART?variant=47915115085962</t>
  </si>
  <si>
    <t>https://rtg-275.myshopify.com/products/TEMPUR-ERGO-PROSMART?variant=47915115282570</t>
  </si>
  <si>
    <t>https://rtg-275.myshopify.com/products/RTG-SLEEP-2900?variant=47915115479178</t>
  </si>
  <si>
    <t>https://rtg-275.myshopify.com/products/RTG-SLEEP-3900?variant=47915115675786</t>
  </si>
  <si>
    <t>https://rtg-275.myshopify.com/products/RTG-SLEEP-5900?variant=47915115774090</t>
  </si>
  <si>
    <t>https://rtg-275.myshopify.com/products/IPROTECT-PROTECTOR?variant=47915115839626</t>
  </si>
  <si>
    <t>https://rtg-275.myshopify.com/products/IPROTECT-PROTECTOR?variant=47915115872394</t>
  </si>
  <si>
    <t>https://rtg-275.myshopify.com/products/IPROTECT-PROTECTOR?variant=47915115905162</t>
  </si>
  <si>
    <t>https://rtg-275.myshopify.com/products/IPROTECT-PROTECTOR?variant=47915115937930</t>
  </si>
  <si>
    <t>https://rtg-275.myshopify.com/products/IPROTECT-PROTECTOR?variant=47915115970698</t>
  </si>
  <si>
    <t>https://rtg-275.myshopify.com/products/IPROTECT-PROTECTOR?variant=47915116003466</t>
  </si>
  <si>
    <t>https://rtg-275.myshopify.com/products/DRI-TEC-CRIB-PROTECTOR?variant=47915116167306</t>
  </si>
  <si>
    <t>https://rtg-275.myshopify.com/products/VER-TEX-CRIB-PROTECTOR?variant=47915116232842</t>
  </si>
  <si>
    <t>https://rtg-275.myshopify.com/products/VER-TEX-PROTECTOR?variant=47915116462218</t>
  </si>
  <si>
    <t>https://rtg-275.myshopify.com/products/VER-TEX-PROTECTOR?variant=47915116494986</t>
  </si>
  <si>
    <t>https://rtg-275.myshopify.com/products/VER-TEX-PROTECTOR?variant=47915116527754</t>
  </si>
  <si>
    <t>https://rtg-275.myshopify.com/products/VER-TEX-PROTECTOR?variant=47915116560522</t>
  </si>
  <si>
    <t>https://rtg-275.myshopify.com/products/VER-TEX-PROTECTOR?variant=47915116593290</t>
  </si>
  <si>
    <t>https://rtg-275.myshopify.com/products/VER-TEX-PROTECTOR?variant=47915116626058</t>
  </si>
  <si>
    <t>https://rtg-275.myshopify.com/products/VER-TEX-PROTECTOR?variant=47915116658826</t>
  </si>
  <si>
    <t>https://rtg-275.myshopify.com/products/VER-TEX-PROTECTOR?variant=47915116691594</t>
  </si>
  <si>
    <t>https://rtg-275.myshopify.com/products/EASE-4-0?variant=47915114201226</t>
  </si>
  <si>
    <t>https://rtg-275.myshopify.com/products/IPROTECT-PILLOW-PROTECTOR?variant=47915116789898</t>
  </si>
  <si>
    <t>https://rtg-275.myshopify.com/products/IPROTECT-PILLOW-PROTECTOR?variant=47915116822666</t>
  </si>
  <si>
    <t>https://rtg-275.myshopify.com/products/CASPER-CLOUD-ONE?variant=47915101683850</t>
  </si>
  <si>
    <t>https://rtg-275.myshopify.com/products/CASPER-SNOW-2-0?variant=47915101880458</t>
  </si>
  <si>
    <t>https://rtg-275.myshopify.com/products/CASPER-SNOW-MAX?variant=47915102109834</t>
  </si>
  <si>
    <t>https://rtg-275.myshopify.com/products/CASPER-ONYX-2-0?variant=47915102339210</t>
  </si>
  <si>
    <t>https://rtg-275.myshopify.com/products/SMART-MATCH-2-0?variant=47915102634122</t>
  </si>
  <si>
    <t>https://rtg-275.myshopify.com/products/ADAPT-2-0-MEDIUM?variant=47915102929034</t>
  </si>
  <si>
    <t>https://rtg-275.myshopify.com/products/ADAPT-2-0-MEDIUM-HYBRID?variant=47915103289482</t>
  </si>
  <si>
    <t>https://rtg-275.myshopify.com/products/PROADAPT-2-0-FIRM?variant=47915103617162</t>
  </si>
  <si>
    <t>https://rtg-275.myshopify.com/products/PROBREEZE-2-0-MEDIUM-HYBRID?variant=47915104141450</t>
  </si>
  <si>
    <t>https://rtg-275.myshopify.com/products/PROADAPT-2-0-MEDIUM?variant=47915104469130</t>
  </si>
  <si>
    <t>https://rtg-275.myshopify.com/products/PROADAPT-2-0-SOFT?variant=47915104731274</t>
  </si>
  <si>
    <t>https://rtg-275.myshopify.com/products/PROADAPT-2-0-MEDIUM-HYBRID?variant=47915105058954</t>
  </si>
  <si>
    <t>https://rtg-275.myshopify.com/products/LUXEADAPT-2-0-SOFT?variant=47915105255562</t>
  </si>
  <si>
    <t>https://rtg-275.myshopify.com/products/LUXEADAPT-2-0-MEDIUM-HYBRID?variant=47915105484938</t>
  </si>
  <si>
    <t>https://rtg-275.myshopify.com/products/LUXEBREEZE-2-0-FIRM?variant=47915105681546</t>
  </si>
  <si>
    <t>https://rtg-275.myshopify.com/products/TUFT-NEEDLE-STITCH-TN3-1?variant=47915106074762</t>
  </si>
  <si>
    <t>https://rtg-275.myshopify.com/products/TUFT-NEEDLE-STITCH-TN5-1?variant=47915106304138</t>
  </si>
  <si>
    <t>https://rtg-275.myshopify.com/products/TUFT-NEEDLE-STITCH-TN9-1?variant=47915106730122</t>
  </si>
  <si>
    <t>https://rtg-275.myshopify.com/products/TUFT-NEEDLE-TN1?variant=47915106992266</t>
  </si>
  <si>
    <t>https://rtg-275.myshopify.com/products/BROAD-PEAK-MEDIUM-HYBRID?variant=47915107451018</t>
  </si>
  <si>
    <t>https://rtg-275.myshopify.com/products/OCEANA-MIST?variant=47915109187722</t>
  </si>
  <si>
    <t>https://rtg-275.myshopify.com/products/LEVEL-THREE-PLUSH?variant=47915109384330</t>
  </si>
  <si>
    <t>https://rtg-275.myshopify.com/products/LEVEL-THREE-MEDIUM-PILLOWTOP?variant=47915109580938</t>
  </si>
  <si>
    <t>https://rtg-275.myshopify.com/products/LEVEL-FOUR-PLUSH-PILLOWTOP?variant=47915109777546</t>
  </si>
  <si>
    <t>https://rtg-275.myshopify.com/products/KERRY-PARK?variant=47915110006922</t>
  </si>
  <si>
    <t>https://rtg-275.myshopify.com/products/NORTHGATE?variant=47915110301834</t>
  </si>
  <si>
    <t>https://rtg-275.myshopify.com/products/BRIERWOOD?variant=47915110498442</t>
  </si>
  <si>
    <t>https://rtg-275.myshopify.com/products/CASTLE-ROCK?variant=47915110793354</t>
  </si>
  <si>
    <t>https://rtg-275.myshopify.com/products/PEBBLEBROOK?variant=47915111022730</t>
  </si>
  <si>
    <t>https://rtg-275.myshopify.com/products/SERIES-ONE-EXTRA-FIRM?variant=47915111219338</t>
  </si>
  <si>
    <t>https://rtg-275.myshopify.com/products/SERIES-TWO-MEDIUM?variant=47915111415946</t>
  </si>
  <si>
    <t>https://rtg-275.myshopify.com/products/SERIES-THREE-PLUSH-PILLOW-TOP?variant=47915111645322</t>
  </si>
  <si>
    <t>https://rtg-275.myshopify.com/products/ESTATE-FIRM-TT?variant=47915111841930</t>
  </si>
  <si>
    <t>https://rtg-275.myshopify.com/products/LUX-ESTATE-FIRM-PT?variant=47915116920970</t>
  </si>
  <si>
    <t>https://rtg-275.myshopify.com/products/LUX-ESTATE-ELITE?variant=47915112136842</t>
  </si>
  <si>
    <t>https://rtg-275.myshopify.com/products/HELIX-MIDNIGHT-LUXE?variant=47915112333450</t>
  </si>
  <si>
    <t>https://rtg-275.myshopify.com/products/HELIX-MIDNIGHT-ELITE?variant=47915112562826</t>
  </si>
  <si>
    <t>https://rtg-275.myshopify.com/products/BASELOGIC-SILVER?variant=47915114463370</t>
  </si>
  <si>
    <t>https://rtg-275.myshopify.com/products/BASELOGIC-PLATINUM?variant=47915114659978</t>
  </si>
  <si>
    <t>https://rtg-275.myshopify.com/products/ADAPT-2-0-MEDIUM?variant=47915102961802</t>
  </si>
  <si>
    <t>https://rtg-275.myshopify.com/products/ADAPT-2-0-MEDIUM-HYBRID?variant=47915103322250</t>
  </si>
  <si>
    <t>https://rtg-275.myshopify.com/products/PROADAPT-2-0-FIRM?variant=47915103649930</t>
  </si>
  <si>
    <t>https://rtg-275.myshopify.com/products/PROBREEZE-2-0-MEDIUM-HYBRID?variant=47915104174218</t>
  </si>
  <si>
    <t>https://rtg-275.myshopify.com/products/PROADAPT-2-0-MEDIUM?variant=47915104501898</t>
  </si>
  <si>
    <t>https://rtg-275.myshopify.com/products/PROADAPT-2-0-SOFT?variant=47915104764042</t>
  </si>
  <si>
    <t>https://rtg-275.myshopify.com/products/PROADAPT-2-0-MEDIUM-HYBRID?variant=47915105091722</t>
  </si>
  <si>
    <t>https://rtg-275.myshopify.com/products/LUXEADAPT-2-0-SOFT?variant=47915105288330</t>
  </si>
  <si>
    <t>https://rtg-275.myshopify.com/products/LUXEBREEZE-2-0-FIRM?variant=47915105714314</t>
  </si>
  <si>
    <t>https://rtg-275.myshopify.com/products/TEMPUR-ERGO-3-0?variant=47915114889354</t>
  </si>
  <si>
    <t>https://rtg-275.myshopify.com/products/TEMPUR-ERGO-3-0-SMART?variant=47915115118730</t>
  </si>
  <si>
    <t>https://rtg-275.myshopify.com/products/TEMPUR-ERGO-PROSMART?variant=47915115315338</t>
  </si>
  <si>
    <t>https://rtg-275.myshopify.com/products/EASE-4-0?variant=47915114233994</t>
  </si>
  <si>
    <t>https://rtg-275.myshopify.com/products/SERIES-ONE-EXTRA-FIRM?variant=47915111252106</t>
  </si>
  <si>
    <t>https://rtg-275.myshopify.com/products/SERIES-THREE-PLUSH-PILLOW-TOP?variant=47915111678090</t>
  </si>
  <si>
    <t>https://rtg-275.myshopify.com/products/ESTATE-FIRM-TT?variant=47915111874698</t>
  </si>
  <si>
    <t>https://rtg-275.myshopify.com/products/TEMPUR-ERGO-3-0?variant=47915114922122</t>
  </si>
  <si>
    <t>https://rtg-275.myshopify.com/products/TEMPUR-ERGO-3-0-SMART?variant=47915115151498</t>
  </si>
  <si>
    <t>https://rtg-275.myshopify.com/products/TEMPUR-ERGO-PROSMART?variant=47915115348106</t>
  </si>
  <si>
    <t>https://rtg-275.myshopify.com/products/EASE-4-0?variant=47915114266762</t>
  </si>
  <si>
    <t>https://rtg-275.myshopify.com/products/LUXEBREEZE-2-0-FIRM?variant=47915105747082</t>
  </si>
  <si>
    <t>https://rtg-275.myshopify.com/products/CASPER-SNOW-PILLOW?variant=47915117117578</t>
  </si>
  <si>
    <t>https://rtg-275.myshopify.com/products/CASPER-SNOW-PILLOW?variant=47915117150346</t>
  </si>
  <si>
    <t>https://rtg-275.myshopify.com/products/FRAMES?variant=47915117215882</t>
  </si>
  <si>
    <t>https://rtg-275.myshopify.com/products/FRAMES?variant=47915117248650</t>
  </si>
  <si>
    <t>https://rtg-275.myshopify.com/products/STEARNS-AND-FOSTER-LATEX?variant=47915117314186</t>
  </si>
  <si>
    <t>https://rtg-275.myshopify.com/products/ADAPT-PROADJUST?variant=47915117379722</t>
  </si>
  <si>
    <t>https://rtg-275.myshopify.com/products/ADAPT-PROADJUST?variant=47915117412490</t>
  </si>
  <si>
    <t>https://rtg-275.myshopify.com/products/ADAPT-PRO-LO-2-0?variant=47915117478026</t>
  </si>
  <si>
    <t>https://rtg-275.myshopify.com/products/ADAPT-PRO-LO-2-0?variant=47915117510794</t>
  </si>
  <si>
    <t>https://rtg-275.myshopify.com/products/ADAPT-PRO-HI-2-0?variant=47915117576330</t>
  </si>
  <si>
    <t>https://rtg-275.myshopify.com/products/ADAPT-PRO-HI-2-0?variant=47915117609098</t>
  </si>
  <si>
    <t>https://rtg-275.myshopify.com/products/BREEZE-PRO-LO-2-0?variant=47915117772938</t>
  </si>
  <si>
    <t>https://rtg-275.myshopify.com/products/BREEZE-PRO-LO-2-0-KG?variant=47915117838474</t>
  </si>
  <si>
    <t>https://rtg-275.myshopify.com/products/BREEZE-PRO-HI-2-0?variant=47915117904010</t>
  </si>
  <si>
    <t>https://rtg-275.myshopify.com/products/BREEZE-PRO-HI-2-0-KG?variant=47915117969546</t>
  </si>
  <si>
    <t>product_handle</t>
  </si>
  <si>
    <t>product_title</t>
  </si>
  <si>
    <t>variant_id</t>
  </si>
  <si>
    <t>size</t>
  </si>
  <si>
    <t>variant_url</t>
  </si>
  <si>
    <t>Tuft &amp; Needle Stitch Tn3.1</t>
  </si>
  <si>
    <t>Tuft &amp; Needle Stitch Tn5.1</t>
  </si>
  <si>
    <t>Tuft &amp; Needle Stitch Tn9.1</t>
  </si>
  <si>
    <t>Hastings</t>
  </si>
  <si>
    <t>Tuft &amp; Needle Kids Glee</t>
  </si>
  <si>
    <t>Tempur-Kids</t>
  </si>
  <si>
    <t>Tempur-Ergo 3.0</t>
  </si>
  <si>
    <t>Tempur-Ergo 3.0 Smart</t>
  </si>
  <si>
    <t>Tempur-Ergo Prosmart</t>
  </si>
  <si>
    <t>Rtg-Sleep 2900</t>
  </si>
  <si>
    <t>Rtg-Sleep 3900</t>
  </si>
  <si>
    <t>Rtg-Sleep 5900</t>
  </si>
  <si>
    <t>Iprotect Crib Protector</t>
  </si>
  <si>
    <t>Default Title</t>
  </si>
  <si>
    <t>https://rtg-275.myshopify.com/products/IPROTECT-CRIB-PROTECTOR?variant=47915116069002</t>
  </si>
  <si>
    <t>Dri-Tec Crib Protector</t>
  </si>
  <si>
    <t>Ver-Tex Crib Protector</t>
  </si>
  <si>
    <t>Ver-Tex Protector</t>
  </si>
  <si>
    <t>Iprotect Pillow Protector</t>
  </si>
  <si>
    <t>Casper Snow Pillow</t>
  </si>
  <si>
    <t>Stearns And Foster Latex</t>
  </si>
  <si>
    <t>Adapt Pro Lo 2.0</t>
  </si>
  <si>
    <t>Adapt Pro Hi 2.0</t>
  </si>
  <si>
    <t>Breeze Pro-Lo 2.0</t>
  </si>
  <si>
    <t>Breeze Pro-Lo 2.0 Kg</t>
  </si>
  <si>
    <t>Breeze Pro-Hi 2.0</t>
  </si>
  <si>
    <t>Breeze Pro-Hi 2.0 Kg</t>
  </si>
  <si>
    <t>Lux Estate Firm Pt</t>
  </si>
  <si>
    <t>https://assets.roomstogo.com/product/casper-cloud-one-twin-xl-mattress_50000543_image-item</t>
  </si>
  <si>
    <t>https://assets.roomstogo.com/product/casper-cloud-one-twin-xl-mattress_50000543_alt-image-1</t>
  </si>
  <si>
    <t>https://assets.roomstogo.com/product/casper-snow-20-twin-xl-mattress_50000579_image-item</t>
  </si>
  <si>
    <t>https://assets.roomstogo.com/product/casper-snow-20-twin-xl-mattress_50000579_alt-image-1</t>
  </si>
  <si>
    <t>https://assets.roomstogo.com/product/casper-snow-max-twin-xl-mattress_50000581_image-item</t>
  </si>
  <si>
    <t>https://assets.roomstogo.com/product/casper-snow-max-twin-xl-mattress_50000581_alt-image-1</t>
  </si>
  <si>
    <t>https://assets.roomstogo.com/product/casper-onyx-20-twin-xl-mattress_50000682_image-item</t>
  </si>
  <si>
    <t>https://assets.roomstogo.com/product/casper-onyx-20-twin-xl-mattress_50000682_alt-image-1</t>
  </si>
  <si>
    <t>https://assets.roomstogo.com/product/kingsdown-smart-match-20-twin-xl-mattress_50001773_image-item</t>
  </si>
  <si>
    <t>https://assets.roomstogo.com/product/kingsdown-smart-match-20-twin-xl-mattress_50001773_alt-image-1</t>
  </si>
  <si>
    <t>https://assets.roomstogo.com/product/tempur-pedic-adapt-20-medium-twin-xl-mattress_50007460_image-item</t>
  </si>
  <si>
    <t>https://assets.roomstogo.com/product/tempur-pedic-adapt-20-medium-twin-xl-mattress_50007460_alt-image-1</t>
  </si>
  <si>
    <t>https://assets.roomstogo.com/product/tempur-pedic-adapt-20-medium-hybrid-twin-xl-mattress_50007472_image-item</t>
  </si>
  <si>
    <t>https://assets.roomstogo.com/product/tempur-pedic-adapt-20-medium-hybrid-twin-xl-mattress_50007472_alt-image-1</t>
  </si>
  <si>
    <t>https://assets.roomstogo.com/product/tempur-pedic-proadapt-20-firm-twin-xl-mattress_50007484_image-item</t>
  </si>
  <si>
    <t>https://assets.roomstogo.com/product/tempur-pedic-proadapt-20-firm-twin-xl-mattress_50007484_alt-image-1</t>
  </si>
  <si>
    <t>https://assets.roomstogo.com/product/tempur-pedic-probreeze-20-medium-hybrid-twin-xl-mattress_50007511_image-item</t>
  </si>
  <si>
    <t>https://assets.roomstogo.com/product/tempur-pedic-proadapt-20-medium-twin-xl-mattress_50007523_image-item</t>
  </si>
  <si>
    <t>https://assets.roomstogo.com/product/tempur-pedic-proadapt-20-medium-twin-xl-mattress_50007523_alt-image-1</t>
  </si>
  <si>
    <t>https://assets.roomstogo.com/product/tempur-pedic-proadapt-20-soft-twin-xl-mattress_50007535_image-item</t>
  </si>
  <si>
    <t>https://assets.roomstogo.com/product/tempur-pedic-proadapt-20-soft-twin-xl-mattress_50007535_alt-image-1</t>
  </si>
  <si>
    <t>https://assets.roomstogo.com/product/tempur-pedic-proadapt-20-medium-hybrid-twin-xl-mattress_50007559_image-item</t>
  </si>
  <si>
    <t>https://assets.roomstogo.com/product/tempur-pedic-proadapt-20-medium-hybrid-twin-xl-mattress_50007559_alt-image-1</t>
  </si>
  <si>
    <t>https://assets.roomstogo.com/product/tempur-pedic-luxeadapt-20-soft-twin-xl-mattress_50007561_image-item</t>
  </si>
  <si>
    <t>https://assets.roomstogo.com/product/tempur-pedic-luxeadapt-20-soft-twin-xl-mattress_50007561_alt-image-1</t>
  </si>
  <si>
    <t>https://assets.roomstogo.com/product/tempur-pedic-luxeadapt-20-medium-hybrid-twin-xl-mattress_50007585_image-item</t>
  </si>
  <si>
    <t>https://assets.roomstogo.com/product/tempur-pedic-luxeadapt-20-medium-hybrid-twin-xl-mattress_50007585_alt-image-1</t>
  </si>
  <si>
    <t>https://assets.roomstogo.com/product/tempur-pedic-luxebreeze-20-firm-twin-xl-mattress_50007624_image-item</t>
  </si>
  <si>
    <t>https://assets.roomstogo.com/product/tuft-needle-stitch-tn31-twin-xl-mattress_50009870_image-item</t>
  </si>
  <si>
    <t>https://assets.roomstogo.com/product/tuft-needle-stitch-tn31-twin-xl-mattress_50009870_alt-image-1</t>
  </si>
  <si>
    <t>https://assets.roomstogo.com/product/tuft-needle-stitch-tn51-twin-xl-mattress_50009882_image-item</t>
  </si>
  <si>
    <t>https://assets.roomstogo.com/product/tuft-needle-stitch-tn51-twin-xl-mattress_50009882_alt-image-1</t>
  </si>
  <si>
    <t>https://assets.roomstogo.com/product/tuft-needle-stitch-tn91-twin-xl-mattress_50009907_image-item</t>
  </si>
  <si>
    <t>https://assets.roomstogo.com/product/tuft-needle-stitch-tn91-twin-xl-mattress_50009907_alt-image-1</t>
  </si>
  <si>
    <t>https://assets.roomstogo.com/product/tuft-needle-tn1-twin-xl-mattress_50009933_image-item</t>
  </si>
  <si>
    <t>https://assets.roomstogo.com/product/tuft-needle-tn1-twin-xl-mattress_50009933_alt-image-1</t>
  </si>
  <si>
    <t>https://assets.roomstogo.com/product/molecule-core-twin-xl-mattress_50010570_image-item</t>
  </si>
  <si>
    <t>https://assets.roomstogo.com/product/molecule-core-twin-xl-mattress_50010570_alt-image-1</t>
  </si>
  <si>
    <t>https://assets.roomstogo.com/product/beautyrest-select-broad-peak-medium-hybrid-twin-xl-mattress_50010671_image-item</t>
  </si>
  <si>
    <t>https://assets.roomstogo.com/product/beautyrest-select-broad-peak-medium-hybrid-twin-xl-mattress_50010671_alt-image-1</t>
  </si>
  <si>
    <t>https://assets.roomstogo.com/product/tommy-bahama-bay-dreamer-twin-mattress_50111055_image-item</t>
  </si>
  <si>
    <t>https://assets.roomstogo.com/product/tommy-bahama-bay-dreamer-twin-mattress_50111055_alt-image-1</t>
  </si>
  <si>
    <t>https://assets.roomstogo.com/product/tommy-bahama-make-waves-twin-mattress_50111067_image-item</t>
  </si>
  <si>
    <t>https://assets.roomstogo.com/product/tommy-bahama-make-waves-twin-mattress_50111067_alt-image-1</t>
  </si>
  <si>
    <t>https://assets.roomstogo.com/product/tommy-bahama-seaside-serenity-twin-mattress_50111079_image-item</t>
  </si>
  <si>
    <t>https://assets.roomstogo.com/product/tommy-bahama-seaside-serenity-twin-mattress_50111079_alt-image-1</t>
  </si>
  <si>
    <t>https://assets.roomstogo.com/product/therapedic-forester-twin-xl-mattress_50011344_image-item</t>
  </si>
  <si>
    <t>https://assets.roomstogo.com/product/therapedic-forester-twin-xl-mattress_50011344_alt-image-1</t>
  </si>
  <si>
    <t>https://assets.roomstogo.com/product/therapedic-darlington-twin-xl-mattress_50011368_image-item</t>
  </si>
  <si>
    <t>https://assets.roomstogo.com/product/therapedic-darlington-twin-xl-mattress_50011368_alt-image-1</t>
  </si>
  <si>
    <t>https://assets.roomstogo.com/product/therapedic-hastings-twin-xl-mattress_50011382_image-item</t>
  </si>
  <si>
    <t>https://assets.roomstogo.com/product/therapedic-hastings-twin-xl-mattress_50011382_alt-image-1</t>
  </si>
  <si>
    <t>https://assets.roomstogo.com/product/therapedic-kaanapali-twin-xl-mattress_50011457_image-item</t>
  </si>
  <si>
    <t>https://assets.roomstogo.com/product/therapedic-kaanapali-twin-xl-mattress_50011457_alt-image-1</t>
  </si>
  <si>
    <t>https://assets.roomstogo.com/product/therapedic-ledo-twin-xl-mattress_50011495_image-item</t>
  </si>
  <si>
    <t>https://assets.roomstogo.com/product/therapedic-ledo-twin-xl-mattress_50011495_alt-image-1</t>
  </si>
  <si>
    <t>https://assets.roomstogo.com/product/drew-jonathan-capertee-twin-xl-mattress_50020862_image-item</t>
  </si>
  <si>
    <t>https://assets.roomstogo.com/product/drew-jonathan-capertee-twin-xl-mattress_50020862_alt-image-1</t>
  </si>
  <si>
    <t>https://assets.roomstogo.com/product/drew-jonathan-arada-canyon-twin-xl-mattress_50020925_image-item</t>
  </si>
  <si>
    <t>https://assets.roomstogo.com/product/drew-jonathan-arada-canyon-twin-xl-mattress_50020925_alt-image-1</t>
  </si>
  <si>
    <t>https://assets.roomstogo.com/product/beauty-sleep-oceana-mist-medium-hybrid-twin-xl-mattress_50022210_image-item</t>
  </si>
  <si>
    <t>https://assets.roomstogo.com/product/beauty-sleep-oceana-mist-medium-hybrid-twin-xl-mattress_50022210_alt-image-8</t>
  </si>
  <si>
    <t>https://assets.roomstogo.com/product/beautyrest-world-class-level-three-plush-twin-xl-mattress_50025747_image-item</t>
  </si>
  <si>
    <t>https://assets.roomstogo.com/product/beautyrest-world-class-level-three-plush-twin-xl-mattress_50025747_alt-image-13</t>
  </si>
  <si>
    <t>https://assets.roomstogo.com/product/beautyrest-world-class-level-three-medium-pillow-top-twin-xl-mattress_50025759_image-item</t>
  </si>
  <si>
    <t>https://assets.roomstogo.com/product/beautyrest-world-class-level-three-medium-pillow-top-twin-xl-mattress_50025759_alt-image-13</t>
  </si>
  <si>
    <t>https://assets.roomstogo.com/product/beautyrest-world-class-level-four-plush-pillow-top-twin-xl-mattress_50025800_image-item</t>
  </si>
  <si>
    <t>https://assets.roomstogo.com/product/beautyrest-world-class-level-four-plush-pillow-top-twin-xl-mattress_50025800_alt-image-13</t>
  </si>
  <si>
    <t>https://assets.roomstogo.com/product/sealy-correct-comfort-kerry-park-twin-xl-mattress_50028957_image-item</t>
  </si>
  <si>
    <t>https://assets.roomstogo.com/product/sealy-correct-comfort-kerry-park-twin-xl-mattress_50028957_alt-image-1</t>
  </si>
  <si>
    <t>https://assets.roomstogo.com/product/sealy-correct-comfort-bradford-hill-twin-xl-mattress_50028969_image-item</t>
  </si>
  <si>
    <t>https://assets.roomstogo.com/product/sealy-correct-comfort-bradford-hill-twin-xl-mattress_50028969_alt-image-1</t>
  </si>
  <si>
    <t>https://assets.roomstogo.com/product/posturepedic-northgate-twin-xl-mattress_50028971_image-item</t>
  </si>
  <si>
    <t>https://assets.roomstogo.com/product/posturepedic-northgate-twin-xl-mattress_50028971_alt-image-1</t>
  </si>
  <si>
    <t>https://assets.roomstogo.com/product/sealy-posturepedic-brierwood-twin-xl-mattress_50029175_image-item</t>
  </si>
  <si>
    <t>https://assets.roomstogo.com/product/sealy-posturepedic-brierwood-twin-xl-mattress_50029175_alt-image-1</t>
  </si>
  <si>
    <t>https://assets.roomstogo.com/product/sealy-posturepedic-castle-rock-twin-xl-mattress_50029202_image-item</t>
  </si>
  <si>
    <t>https://assets.roomstogo.com/product/sealy-posturepedic-castle-rock-twin-xl-mattress_50029202_alt-image-1</t>
  </si>
  <si>
    <t>https://assets.roomstogo.com/product/sealy-posturepedic-pebblebrook-twin-xl-mattress_50029214_image-item</t>
  </si>
  <si>
    <t>https://assets.roomstogo.com/product/sealy-posturepedic-pebblebrook-twin-xl-mattress_50029214_alt-image-1</t>
  </si>
  <si>
    <t>https://assets.roomstogo.com/product/beautyrest-black-series-one-extra-firm-twin-xl-mattress_50037057_image-item</t>
  </si>
  <si>
    <t>https://assets.roomstogo.com/product/beautyrest-black-series-one-extra-firm-twin-xl-mattress_50037057_alt-image-1</t>
  </si>
  <si>
    <t>https://assets.roomstogo.com/product/beautyrest-black-series-two-medium-twin-xl-mattress_50037134_image-item</t>
  </si>
  <si>
    <t>https://assets.roomstogo.com/product/beautyrest-black-series-two-medium-twin-xl-mattress_50037134_alt-image-1</t>
  </si>
  <si>
    <t>https://assets.roomstogo.com/product/beautyrest-black-series-three-plush-pillow-top-twin-xl-mattress_50037223_image-item</t>
  </si>
  <si>
    <t>https://assets.roomstogo.com/product/beautyrest-black-series-three-plush-pillow-top-twin-xl-mattress_50037223_alt-image-1</t>
  </si>
  <si>
    <t>https://assets.roomstogo.com/product/stearns-and-foster-estate-firm-tight-top-twin-xl-mattress_50048036_image-item</t>
  </si>
  <si>
    <t>https://assets.roomstogo.com/product/stearns-and-foster-estate-firm-tight-top-twin-xl-mattress_50048036_alt-image-1</t>
  </si>
  <si>
    <t>https://assets.roomstogo.com/product/stearns-and-foster-estate-firm-pillow-top-twin-xl-mattress_50048050_image-item</t>
  </si>
  <si>
    <t>https://assets.roomstogo.com/product/stearns-and-foster-estate-firm-pillow-top-twin-xl-mattress_50048050_alt-image-1</t>
  </si>
  <si>
    <t>https://assets.roomstogo.com/product/stearns-and-foster-lux-estate-elite-medium-pillow-top-twin-xl-mattress_50048276_image-item</t>
  </si>
  <si>
    <t>https://assets.roomstogo.com/product/stearns-and-foster-lux-estate-elite-medium-pillow-top-twin-xl-mattress_50048276_alt-image-1</t>
  </si>
  <si>
    <t>https://assets.roomstogo.com/product/helix-midnight-luxe-twin-xl-mattress_50070110_image-item</t>
  </si>
  <si>
    <t>https://assets.roomstogo.com/product/helix-midnight-luxe-twin-xl-mattress_50070110_alt-image-1</t>
  </si>
  <si>
    <t>https://assets.roomstogo.com/product/helix-midnight-elite-twin-xl-mattress_50070122_image-item</t>
  </si>
  <si>
    <t>https://assets.roomstogo.com/product/helix-midnight-elite-twin-xl-mattress_50070122_alt-image-1</t>
  </si>
  <si>
    <t>https://assets.roomstogo.com/product/kingsdown-turnbull-twin-mattress_50102260_image-item</t>
  </si>
  <si>
    <t>https://assets.roomstogo.com/product/kingsdown-turnbull-twin-mattress_50102260_alt-image-1</t>
  </si>
  <si>
    <t>https://assets.roomstogo.com/product/kingsdown-hawke-twin-mattress_50102284_image-item</t>
  </si>
  <si>
    <t>https://assets.roomstogo.com/product/kingsdown-hawke-twin-mattress_50102284_alt-image-1</t>
  </si>
  <si>
    <t>https://assets.roomstogo.com/product/kingsdown-grenson-twin-mattress_50102296_image-item</t>
  </si>
  <si>
    <t>https://assets.roomstogo.com/product/kingsdown-grenson-twin-mattress_50102296_alt-image-1</t>
  </si>
  <si>
    <t>https://assets.roomstogo.com/product/tuft-needle-kids-glee-twin-mattress_50109923_image-item</t>
  </si>
  <si>
    <t>https://assets.roomstogo.com/product/tuft-needle-kids-glee-twin-mattress_50109923_alt-image-1</t>
  </si>
  <si>
    <t>https://assets.roomstogo.com/product/simmons-kids-delight-twin-mattress_50110938_image-item</t>
  </si>
  <si>
    <t>https://assets.roomstogo.com/product/simmons-kids-delight-twin-mattress_50110938_alt-image-1</t>
  </si>
  <si>
    <t>https://assets.roomstogo.com/product/simmons-kids-glad-twin-mattress_50110940_image-item</t>
  </si>
  <si>
    <t>https://assets.roomstogo.com/product/simmons-kids-glad-twin-mattress_50110940_alt-image-1</t>
  </si>
  <si>
    <t>https://assets.roomstogo.com/product/simmons-kids-happy-twin-mattress_50110952_image-item</t>
  </si>
  <si>
    <t>https://assets.roomstogo.com/product/simmons-kids-happy-twin-mattress_50110952_alt-image-1</t>
  </si>
  <si>
    <t>https://assets.roomstogo.com/product/therapedic-alder-twin-mattress_50111144_image-item</t>
  </si>
  <si>
    <t>https://assets.roomstogo.com/product/therapedic-alder-twin-mattress_50111144_alt-image-1</t>
  </si>
  <si>
    <t>https://assets.roomstogo.com/product/therapedic-creekmore-twin-mattress_50111168_image-item</t>
  </si>
  <si>
    <t>https://assets.roomstogo.com/product/therapedic-creekmore-twin-mattress_50111168_alt-image-1</t>
  </si>
  <si>
    <t>https://assets.roomstogo.com/product/therapedic-flourish-2-sided-twin-mattress_50111170_image-item</t>
  </si>
  <si>
    <t>https://assets.roomstogo.com/product/therapedic-flourish-2-sided-twin-mattress_50111170_alt-image-1</t>
  </si>
  <si>
    <t>https://assets.roomstogo.com/product/therapedic-hamell-twin-mattress_50111233_image-item</t>
  </si>
  <si>
    <t>https://assets.roomstogo.com/product/therapedic-hamell-twin-mattress_50111233_alt-image-1</t>
  </si>
  <si>
    <t>https://assets.roomstogo.com/product/therapedic-impreza-twin-mattress_50111269_image-item</t>
  </si>
  <si>
    <t>https://assets.roomstogo.com/product/therapedic-impreza-twin-mattress_50111269_alt-image-1</t>
  </si>
  <si>
    <t>https://assets.roomstogo.com/product/tempur-kids-twin-mattress_50134116_image-item</t>
  </si>
  <si>
    <t>https://assets.roomstogo.com/product/tempur-kids-project-z-twin-mattress_50134116_alt-image-1</t>
  </si>
  <si>
    <t>https://assets.roomstogo.com/product/sealy-kids-z-305-twin-mattress_50152570_image-item</t>
  </si>
  <si>
    <t>https://assets.roomstogo.com/product/sealy-kids-z-305-twin-mattress_50152570_alt-image-1</t>
  </si>
  <si>
    <t>https://assets.roomstogo.com/product/sealy-kids-z-505-twin-mattress_50152582_image-item</t>
  </si>
  <si>
    <t>https://assets.roomstogo.com/product/sealy-kids-z-505-twin-mattress_50152582_alt-image-1</t>
  </si>
  <si>
    <t>https://assets.roomstogo.com/product/helix-kids-twin-mattress_50170047_image-item</t>
  </si>
  <si>
    <t>https://assets.roomstogo.com/product/helix-kids-twin-mattress_50170047_alt-image-6</t>
  </si>
  <si>
    <t>https://assets.roomstogo.com/product/sealy-ease-40-twin-xl-adjustable-base_50818609_image-item</t>
  </si>
  <si>
    <t>https://assets.roomstogo.com/product/sealy-ease-40-twin-xl-adjustable-base_50818609_alt-image-1</t>
  </si>
  <si>
    <t>https://assets.roomstogo.com/product/beautyrest-baselogic-silver-twin-xl-adjustable-base_50800486_image-item</t>
  </si>
  <si>
    <t>https://assets.roomstogo.com/product/beautyrest-baselogic-silver-twin-xl-adjustable-base_50800486_dim-image</t>
  </si>
  <si>
    <t>https://assets.roomstogo.com/product/beautyrest-baselogic-platinum-twin-xl-adjustable-base_50800513_image-item</t>
  </si>
  <si>
    <t>https://assets.roomstogo.com/product/beautyrest-baselogic-platinum-twin-xl-adjustable-base_50800513_alt-image-1</t>
  </si>
  <si>
    <t>https://assets.roomstogo.com/product/tempur-pedic-ergo-30-twin-xl-adjustable-base_50808165_image-item</t>
  </si>
  <si>
    <t>https://assets.roomstogo.com/product/tempur-pedic-ergo-30-twin-xl-adjustable-base_50808165_alt-image-1</t>
  </si>
  <si>
    <t>https://assets.roomstogo.com/product/tempur-pedic-ergo-30-smart-twin-xl-adjustable-base_50808189_image-item</t>
  </si>
  <si>
    <t>https://assets.roomstogo.com/product/tempur-pedic-ergo-30-smart-twin-xl-adjustable-base_50808189_alt-image-1</t>
  </si>
  <si>
    <t>https://assets.roomstogo.com/product/tempur-pedic-ergo-prosmart-twin-xl-adjustable-base_50808191_image-item</t>
  </si>
  <si>
    <t>https://assets.roomstogo.com/product/tempur-pedic-ergo-prosmart-twin-xl-adjustable-base_50808191_alt-image-1</t>
  </si>
  <si>
    <t>https://assets.roomstogo.com/product/rtg-sleep-2900-twin-xl-head-up-only-adjustable-base_50808836_image-item</t>
  </si>
  <si>
    <t>https://assets.roomstogo.com/product/rtg-sleep-2900-twin-xl-head-up-only-adjustable-base_50808836_alt-image-1</t>
  </si>
  <si>
    <t>https://assets.roomstogo.com/product/rtg-sleep-3900-twin-xl-adjustable-base_50808898_image-item</t>
  </si>
  <si>
    <t>https://assets.roomstogo.com/product/rtg-sleep-3900-twin-xl-adjustable-base_50808898_dim-image</t>
  </si>
  <si>
    <t>https://assets.roomstogo.com/product/rtg-sleep-5900-twin-xl-adjustable-base_50808951_image-item</t>
  </si>
  <si>
    <t>https://assets.roomstogo.com/product/rtg-sleep-5900-twin-xl-adjustable-base_50808951_alt-image-4</t>
  </si>
  <si>
    <t>https://bedgear.com/cdn/shop/files/01-IPROTECT-Main.jpg</t>
  </si>
  <si>
    <t>https://bedgear.com/products/iprotect-mattress-protector</t>
  </si>
  <si>
    <t>https://bedgear.com/cdn/shop/collections/BG-WEB-NAV-IMG-302x160-BabyKids-CribProtector.jpg</t>
  </si>
  <si>
    <t>https://bedgear.com/collections/crib-protectors</t>
  </si>
  <si>
    <t>https://bedgear.com/cdn/shop/files/01-DT-Main.jpg</t>
  </si>
  <si>
    <t>https://bedgear.com/cdn/shop/files/01-VT-Main_ba2fd5b4-a14e-47c0-942b-e9c2aea9a2f6.jpg</t>
  </si>
  <si>
    <t>https://bedgear.com/products/dri-tec-mattress-protector</t>
  </si>
  <si>
    <t>https://bedgear.com/products/ver-tex-mattress-protector</t>
  </si>
  <si>
    <t>https://bedgear.com/cdn/shop/collections/BG-WEB-NAV-IMG-302x160-Protectors-SofaBedProtect.jpg</t>
  </si>
  <si>
    <t>https://bedgear.com/collections/sofa-bed-protectors</t>
  </si>
  <si>
    <t>https://bedgear.com/cdn/shop/files/iPROTECT-PP-01-ProductShot-Main_07a57982-54a7-462b-a090-cb92f6110793.jpg</t>
  </si>
  <si>
    <t>https://bedgear.com/products/iprotect-pillow-protector</t>
  </si>
  <si>
    <t>https://assets.roomstogo.com/product/stearns-and-foster-lux-estate-firm-pillow-top-twin-xl-mattress_50048101_image-item</t>
  </si>
  <si>
    <t>https://assets.roomstogo.com/product/stearns-and-foster-lux-estate-firm-pillow-top-twin-xl-mattress_50048101_alt-image-1</t>
  </si>
  <si>
    <t>https://www.beautyrest.com/adobe/assets/urn:aaid:aem:82e5d4d3-96f4-47c6-992a-ab9de4bfc48b/as/2504-BR-DeluxeDownAlt-Pillow-PDP-Loftvisuals.jpg</t>
  </si>
  <si>
    <t>https://www.beautyrest.com/products/beautyrest-black-luxury-foam-pillow</t>
  </si>
  <si>
    <t>https://bedgear.com/cdn/shop/files/ASPEN-PILLOW-01-Main_75db6ada-94b5-4d22-88a1-edf843444220.jpg</t>
  </si>
  <si>
    <t>https://bedgear.com/products/aspen-performance-pillow</t>
  </si>
  <si>
    <t>https://bedgear.com/cdn/shop/files/01-STORM-1.0-ProductShot-Main_4039e18e-00ff-4c78-8705-b11a60a00744.jpg</t>
  </si>
  <si>
    <t>https://bedgear.com/products/storm-performance-pillow</t>
  </si>
  <si>
    <t>https://bedgear.com/cdn/shop/files/01-NIGHT_ICE-1.0-ProductShot-Main_0432e2a4-3a2f-40bb-b3f0-48674c79b69d.jpg</t>
  </si>
  <si>
    <t>https://bedgear.com/products/night-ice-performance-pillow</t>
  </si>
  <si>
    <t>https://bedgear.com/cdn/shop/files/01-Grey-ProductShot-Stack_de9d1597-1c50-403a-a9af-2923ed02cd42.jpg</t>
  </si>
  <si>
    <t>https://bedgear.com/products/dri-tec-sheet-set</t>
  </si>
  <si>
    <t>https://bedgear.com/cdn/shop/files/Medium_Beige-01-ProductShot-Stack_e8704345-f3db-4f47-af72-515431ff0e9a.jpg</t>
  </si>
  <si>
    <t>https://bedgear.com/products/basic-sheet-set</t>
  </si>
  <si>
    <t>https://bedgear.com/cdn/shop/files/01-Deep_Teal-ProductShot-Stack_f961bca3-7fcb-42f6-81f6-67472a9025f5.jpg</t>
  </si>
  <si>
    <t>https://bedgear.com/products/hyper-cotton-sheet-set</t>
  </si>
  <si>
    <t>https://bedgear.com/cdn/shop/files/01-MistyBlue-ProductShot-Stack_1af20743-1dcb-43b8-bd89-409acf86c5b2.jpg</t>
  </si>
  <si>
    <t>https://bedgear.com/products/ver-tex-sheet-set</t>
  </si>
  <si>
    <t>https://casper.com/cdn/shop/files/Foam-Snow-Pillow-Feel-Scale.jpg</t>
  </si>
  <si>
    <t>https://casper.com/products/foam-snow-pillow</t>
  </si>
  <si>
    <t>https://assets.roomstogo.com/product/glideaway-metal-twin-full-frame-with-glides_59951004_image-item</t>
  </si>
  <si>
    <t>https://assets.roomstogo.com/product/glideaway-metal-twin-full-frame-with-glides_59951004_dim-image</t>
  </si>
  <si>
    <t>https://assets.roomstogo.com/product/glideaway-q-k-ckg-frame-with-glides_59951016_image-item</t>
  </si>
  <si>
    <t>https://assets.roomstogo.com/product/glideaway-q-k-ckg-frame-with-glides_59951016_dim-image</t>
  </si>
  <si>
    <t>https://assets.roomstogo.com/product/stearns-and-foster-standard-latex-pillow_59953084_image-item</t>
  </si>
  <si>
    <t>https://assets.roomstogo.com/product/stearns-and-foster-standard-latex-pillow_59953084_alt-image-1</t>
  </si>
  <si>
    <t>https://assets-www.tempurpedic.com/media/images/TEMPUR_Pillow_Adapt_ProAdjust_Styled_MAR24_04.original.jpg</t>
  </si>
  <si>
    <t>https://www.tempurpedic.com/shop-pillows/adapt-pillows/</t>
  </si>
  <si>
    <t>https://assets-www.tempurpedic.com/media/images/TEMPUR_Pillow_Breeze_ProLo_Styled_MAR24_03.original.jpg</t>
  </si>
  <si>
    <t>https://www.tempurpedic.com/shop-pillows/breeze-pillows/</t>
  </si>
  <si>
    <t>Photo1</t>
  </si>
  <si>
    <t>Photo2</t>
  </si>
  <si>
    <t>Category</t>
  </si>
  <si>
    <t>SKU</t>
  </si>
  <si>
    <t>Description</t>
  </si>
  <si>
    <t>Brand</t>
  </si>
  <si>
    <t>MATTRESS PROTECTORS</t>
  </si>
  <si>
    <t>CRIB PROTECTORS</t>
  </si>
  <si>
    <t>SLEEPER PROTECTORS</t>
  </si>
  <si>
    <t>PILLOW PROTECTORS</t>
  </si>
  <si>
    <t>SHEET SETS</t>
  </si>
  <si>
    <t>PILLOWS</t>
  </si>
  <si>
    <t>NIGHT ICE  0.0 KING PILLOW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</si>
</sst>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2">
    <font>
      <sz val="10.0"/>
      <color rgb="FF000000"/>
      <name val="Arial"/>
      <scheme val="minor"/>
    </font>
    <font>
      <sz val="11.0"/>
      <color rgb="FF000000"/>
      <name val="&quot;Aptos Narrow&quot;"/>
    </font>
    <font>
      <color theme="1"/>
      <name val="Arial"/>
      <scheme val="minor"/>
    </font>
    <font>
      <u/>
      <color rgb="FF0000FF"/>
    </font>
    <font>
      <sz val="11.0"/>
      <color rgb="FF000000"/>
      <name val="Arial"/>
    </font>
    <font>
      <color theme="1"/>
      <name val="Arial"/>
    </font>
    <font>
      <u/>
      <color rgb="FF1155CC"/>
      <name val="Arial"/>
    </font>
    <font>
      <u/>
      <color rgb="FF1155CC"/>
      <name val="Arial"/>
    </font>
    <font>
      <u/>
      <color rgb="FF1155CC"/>
      <name val="Arial"/>
    </font>
    <font>
      <sz val="11.0"/>
      <color theme="1"/>
      <name val="Aptos Narrow"/>
    </font>
    <font>
      <sz val="11.0"/>
      <color theme="1"/>
      <name val="Arial"/>
    </font>
    <font>
      <u/>
      <sz val="11.0"/>
      <color rgb="FF467886"/>
      <name val="Aptos Narrow"/>
    </font>
  </fonts>
  <fills count="4">
    <fill>
      <patternFill patternType="none"/>
    </fill>
    <fill>
      <patternFill patternType="lightGray"/>
    </fill>
    <fill>
      <patternFill patternType="solid">
        <fgColor rgb="FFBFBFBF"/>
        <bgColor rgb="FFBFBFBF"/>
      </patternFill>
    </fill>
    <fill>
      <patternFill patternType="solid">
        <fgColor rgb="FFFFFF00"/>
        <bgColor rgb="FFFF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0" xfId="0" applyAlignment="1" applyFont="1">
      <alignment readingOrder="0"/>
    </xf>
    <xf borderId="0" fillId="0" fontId="1" numFmtId="0" xfId="0" applyAlignment="1" applyFont="1">
      <alignment horizontal="right" readingOrder="0" shrinkToFit="0" vertical="bottom" wrapText="0"/>
    </xf>
    <xf borderId="0" fillId="2" fontId="1" numFmtId="0" xfId="0" applyAlignment="1" applyFont="1">
      <alignment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shrinkToFit="0" vertical="bottom" wrapText="0"/>
    </xf>
    <xf borderId="0" fillId="0" fontId="3" numFmtId="0" xfId="0" applyFont="1"/>
    <xf borderId="0" fillId="2" fontId="1" numFmtId="0" xfId="0" applyAlignment="1" applyFont="1">
      <alignment horizontal="right" readingOrder="0" shrinkToFit="0" vertical="bottom" wrapText="0"/>
    </xf>
    <xf borderId="0" fillId="2" fontId="1" numFmtId="3" xfId="0" applyAlignment="1" applyFont="1" applyNumberFormat="1">
      <alignment horizontal="right" readingOrder="0" shrinkToFit="0" vertical="bottom" wrapText="0"/>
    </xf>
    <xf borderId="0" fillId="0" fontId="2" numFmtId="0" xfId="0" applyFont="1"/>
    <xf borderId="0" fillId="2" fontId="1" numFmtId="0" xfId="0" applyAlignment="1" applyFont="1">
      <alignment horizontal="center" readingOrder="0" shrinkToFit="0" vertical="bottom" wrapText="0"/>
    </xf>
    <xf borderId="0" fillId="3" fontId="4" numFmtId="0" xfId="0" applyAlignment="1" applyFill="1" applyFont="1">
      <alignment readingOrder="0" shrinkToFit="0" vertical="bottom" wrapText="0"/>
    </xf>
    <xf borderId="0" fillId="2" fontId="4" numFmtId="0" xfId="0" applyAlignment="1" applyFont="1">
      <alignment readingOrder="0" shrinkToFit="0" vertical="bottom" wrapText="0"/>
    </xf>
    <xf borderId="0" fillId="0" fontId="2" numFmtId="0" xfId="0" applyFont="1"/>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xf borderId="0" fillId="0" fontId="7" numFmtId="0" xfId="0" applyAlignment="1" applyFont="1">
      <alignment horizontal="left" vertical="bottom"/>
    </xf>
    <xf borderId="0" fillId="0" fontId="8" numFmtId="164" xfId="0" applyAlignment="1" applyFont="1" applyNumberFormat="1">
      <alignment horizontal="lef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vertical="bottom"/>
    </xf>
    <xf borderId="0" fillId="0" fontId="9" numFmtId="0" xfId="0" applyAlignment="1" applyFont="1">
      <alignment horizontal="right" vertical="bottom"/>
    </xf>
    <xf borderId="0" fillId="0" fontId="9"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rtg-275.myshopify.com/products/ADAPT-2-0-MEDIUM-HYBRID?variant=47915103256714" TargetMode="External"/><Relationship Id="rId190" Type="http://schemas.openxmlformats.org/officeDocument/2006/relationships/hyperlink" Target="https://rtg-275.myshopify.com/products/KERRY-PARK?variant=47915109941386" TargetMode="External"/><Relationship Id="rId42" Type="http://schemas.openxmlformats.org/officeDocument/2006/relationships/hyperlink" Target="https://rtg-275.myshopify.com/products/ADAPT-2-0-MEDIUM-HYBRID?variant=47915103322250" TargetMode="External"/><Relationship Id="rId41" Type="http://schemas.openxmlformats.org/officeDocument/2006/relationships/hyperlink" Target="https://rtg-275.myshopify.com/products/ADAPT-2-0-MEDIUM-HYBRID?variant=47915103289482" TargetMode="External"/><Relationship Id="rId44" Type="http://schemas.openxmlformats.org/officeDocument/2006/relationships/hyperlink" Target="https://rtg-275.myshopify.com/products/PROADAPT-2-0-FIRM?variant=47915103486090" TargetMode="External"/><Relationship Id="rId194" Type="http://schemas.openxmlformats.org/officeDocument/2006/relationships/hyperlink" Target="https://rtg-275.myshopify.com/products/BRADFORD-HILL?variant=47915110072458" TargetMode="External"/><Relationship Id="rId43" Type="http://schemas.openxmlformats.org/officeDocument/2006/relationships/hyperlink" Target="https://rtg-275.myshopify.com/products/PROADAPT-2-0-FIRM?variant=47915103453322" TargetMode="External"/><Relationship Id="rId193" Type="http://schemas.openxmlformats.org/officeDocument/2006/relationships/hyperlink" Target="https://rtg-275.myshopify.com/products/BRADFORD-HILL?variant=47915110039690" TargetMode="External"/><Relationship Id="rId46" Type="http://schemas.openxmlformats.org/officeDocument/2006/relationships/hyperlink" Target="https://rtg-275.myshopify.com/products/PROADAPT-2-0-FIRM?variant=47915103551626" TargetMode="External"/><Relationship Id="rId192" Type="http://schemas.openxmlformats.org/officeDocument/2006/relationships/hyperlink" Target="https://rtg-275.myshopify.com/products/KERRY-PARK?variant=47915110006922" TargetMode="External"/><Relationship Id="rId45" Type="http://schemas.openxmlformats.org/officeDocument/2006/relationships/hyperlink" Target="https://rtg-275.myshopify.com/products/PROADAPT-2-0-FIRM?variant=47915103518858" TargetMode="External"/><Relationship Id="rId191" Type="http://schemas.openxmlformats.org/officeDocument/2006/relationships/hyperlink" Target="https://rtg-275.myshopify.com/products/KERRY-PARK?variant=47915109974154" TargetMode="External"/><Relationship Id="rId48" Type="http://schemas.openxmlformats.org/officeDocument/2006/relationships/hyperlink" Target="https://rtg-275.myshopify.com/products/PROADAPT-2-0-FIRM?variant=47915103617162" TargetMode="External"/><Relationship Id="rId187" Type="http://schemas.openxmlformats.org/officeDocument/2006/relationships/hyperlink" Target="https://rtg-275.myshopify.com/products/KERRY-PARK?variant=47915109843082" TargetMode="External"/><Relationship Id="rId47" Type="http://schemas.openxmlformats.org/officeDocument/2006/relationships/hyperlink" Target="https://rtg-275.myshopify.com/products/PROADAPT-2-0-FIRM?variant=47915103584394" TargetMode="External"/><Relationship Id="rId186" Type="http://schemas.openxmlformats.org/officeDocument/2006/relationships/hyperlink" Target="https://rtg-275.myshopify.com/products/LEVEL-FOUR-PLUSH-PILLOWTOP?variant=47915109777546" TargetMode="External"/><Relationship Id="rId185" Type="http://schemas.openxmlformats.org/officeDocument/2006/relationships/hyperlink" Target="https://rtg-275.myshopify.com/products/LEVEL-FOUR-PLUSH-PILLOWTOP?variant=47915109744778" TargetMode="External"/><Relationship Id="rId49" Type="http://schemas.openxmlformats.org/officeDocument/2006/relationships/hyperlink" Target="https://rtg-275.myshopify.com/products/PROADAPT-2-0-FIRM?variant=47915103649930" TargetMode="External"/><Relationship Id="rId184" Type="http://schemas.openxmlformats.org/officeDocument/2006/relationships/hyperlink" Target="https://rtg-275.myshopify.com/products/LEVEL-FOUR-PLUSH-PILLOWTOP?variant=47915109712010" TargetMode="External"/><Relationship Id="rId189" Type="http://schemas.openxmlformats.org/officeDocument/2006/relationships/hyperlink" Target="https://rtg-275.myshopify.com/products/KERRY-PARK?variant=47915109908618" TargetMode="External"/><Relationship Id="rId188" Type="http://schemas.openxmlformats.org/officeDocument/2006/relationships/hyperlink" Target="https://rtg-275.myshopify.com/products/KERRY-PARK?variant=47915109875850" TargetMode="External"/><Relationship Id="rId31" Type="http://schemas.openxmlformats.org/officeDocument/2006/relationships/hyperlink" Target="https://rtg-275.myshopify.com/products/ADAPT-2-0-MEDIUM?variant=47915102830730" TargetMode="External"/><Relationship Id="rId30" Type="http://schemas.openxmlformats.org/officeDocument/2006/relationships/hyperlink" Target="https://rtg-275.myshopify.com/products/ADAPT-2-0-MEDIUM?variant=47915102797962" TargetMode="External"/><Relationship Id="rId33" Type="http://schemas.openxmlformats.org/officeDocument/2006/relationships/hyperlink" Target="https://rtg-275.myshopify.com/products/ADAPT-2-0-MEDIUM?variant=47915102896266" TargetMode="External"/><Relationship Id="rId183" Type="http://schemas.openxmlformats.org/officeDocument/2006/relationships/hyperlink" Target="https://rtg-275.myshopify.com/products/LEVEL-FOUR-PLUSH-PILLOWTOP?variant=47915109679242" TargetMode="External"/><Relationship Id="rId32" Type="http://schemas.openxmlformats.org/officeDocument/2006/relationships/hyperlink" Target="https://rtg-275.myshopify.com/products/ADAPT-2-0-MEDIUM?variant=47915102863498" TargetMode="External"/><Relationship Id="rId182" Type="http://schemas.openxmlformats.org/officeDocument/2006/relationships/hyperlink" Target="https://rtg-275.myshopify.com/products/LEVEL-FOUR-PLUSH-PILLOWTOP?variant=47915109646474" TargetMode="External"/><Relationship Id="rId35" Type="http://schemas.openxmlformats.org/officeDocument/2006/relationships/hyperlink" Target="https://rtg-275.myshopify.com/products/ADAPT-2-0-MEDIUM?variant=47915102961802" TargetMode="External"/><Relationship Id="rId181" Type="http://schemas.openxmlformats.org/officeDocument/2006/relationships/hyperlink" Target="https://rtg-275.myshopify.com/products/LEVEL-FOUR-PLUSH-PILLOWTOP?variant=47915109613706" TargetMode="External"/><Relationship Id="rId34" Type="http://schemas.openxmlformats.org/officeDocument/2006/relationships/hyperlink" Target="https://rtg-275.myshopify.com/products/ADAPT-2-0-MEDIUM?variant=47915102929034" TargetMode="External"/><Relationship Id="rId180" Type="http://schemas.openxmlformats.org/officeDocument/2006/relationships/hyperlink" Target="https://rtg-275.myshopify.com/products/LEVEL-THREE-MEDIUM-PILLOWTOP?variant=47915109580938" TargetMode="External"/><Relationship Id="rId37" Type="http://schemas.openxmlformats.org/officeDocument/2006/relationships/hyperlink" Target="https://rtg-275.myshopify.com/products/ADAPT-2-0-MEDIUM-HYBRID?variant=47915103158410" TargetMode="External"/><Relationship Id="rId176" Type="http://schemas.openxmlformats.org/officeDocument/2006/relationships/hyperlink" Target="https://rtg-275.myshopify.com/products/LEVEL-THREE-MEDIUM-PILLOWTOP?variant=47915109449866" TargetMode="External"/><Relationship Id="rId297" Type="http://schemas.openxmlformats.org/officeDocument/2006/relationships/hyperlink" Target="https://rtg-275.myshopify.com/products/EASE-4-0?variant=47915114135690" TargetMode="External"/><Relationship Id="rId36" Type="http://schemas.openxmlformats.org/officeDocument/2006/relationships/hyperlink" Target="https://rtg-275.myshopify.com/products/ADAPT-2-0-MEDIUM-HYBRID?variant=47915103125642" TargetMode="External"/><Relationship Id="rId175" Type="http://schemas.openxmlformats.org/officeDocument/2006/relationships/hyperlink" Target="https://rtg-275.myshopify.com/products/LEVEL-THREE-MEDIUM-PILLOWTOP?variant=47915109417098" TargetMode="External"/><Relationship Id="rId296" Type="http://schemas.openxmlformats.org/officeDocument/2006/relationships/hyperlink" Target="https://rtg-275.myshopify.com/products/EASE-4-0?variant=47915114102922" TargetMode="External"/><Relationship Id="rId39" Type="http://schemas.openxmlformats.org/officeDocument/2006/relationships/hyperlink" Target="https://rtg-275.myshopify.com/products/ADAPT-2-0-MEDIUM-HYBRID?variant=47915103223946" TargetMode="External"/><Relationship Id="rId174" Type="http://schemas.openxmlformats.org/officeDocument/2006/relationships/hyperlink" Target="https://rtg-275.myshopify.com/products/LEVEL-THREE-PLUSH?variant=47915109384330" TargetMode="External"/><Relationship Id="rId295" Type="http://schemas.openxmlformats.org/officeDocument/2006/relationships/hyperlink" Target="https://rtg-275.myshopify.com/products/EASE-4-0?variant=47915114070154" TargetMode="External"/><Relationship Id="rId38" Type="http://schemas.openxmlformats.org/officeDocument/2006/relationships/hyperlink" Target="https://rtg-275.myshopify.com/products/ADAPT-2-0-MEDIUM-HYBRID?variant=47915103191178" TargetMode="External"/><Relationship Id="rId173" Type="http://schemas.openxmlformats.org/officeDocument/2006/relationships/hyperlink" Target="https://rtg-275.myshopify.com/products/LEVEL-THREE-PLUSH?variant=47915109351562" TargetMode="External"/><Relationship Id="rId294" Type="http://schemas.openxmlformats.org/officeDocument/2006/relationships/hyperlink" Target="https://rtg-275.myshopify.com/products/HELIX-KIDS?variant=47915114004618" TargetMode="External"/><Relationship Id="rId179" Type="http://schemas.openxmlformats.org/officeDocument/2006/relationships/hyperlink" Target="https://rtg-275.myshopify.com/products/LEVEL-THREE-MEDIUM-PILLOWTOP?variant=47915109548170" TargetMode="External"/><Relationship Id="rId178" Type="http://schemas.openxmlformats.org/officeDocument/2006/relationships/hyperlink" Target="https://rtg-275.myshopify.com/products/LEVEL-THREE-MEDIUM-PILLOWTOP?variant=47915109515402" TargetMode="External"/><Relationship Id="rId299" Type="http://schemas.openxmlformats.org/officeDocument/2006/relationships/hyperlink" Target="https://rtg-275.myshopify.com/products/EASE-4-0?variant=47915114201226" TargetMode="External"/><Relationship Id="rId177" Type="http://schemas.openxmlformats.org/officeDocument/2006/relationships/hyperlink" Target="https://rtg-275.myshopify.com/products/LEVEL-THREE-MEDIUM-PILLOWTOP?variant=47915109482634" TargetMode="External"/><Relationship Id="rId298" Type="http://schemas.openxmlformats.org/officeDocument/2006/relationships/hyperlink" Target="https://rtg-275.myshopify.com/products/EASE-4-0?variant=47915114168458" TargetMode="External"/><Relationship Id="rId20" Type="http://schemas.openxmlformats.org/officeDocument/2006/relationships/hyperlink" Target="https://rtg-275.myshopify.com/products/CASPER-ONYX-2-0?variant=47915102273674" TargetMode="External"/><Relationship Id="rId22" Type="http://schemas.openxmlformats.org/officeDocument/2006/relationships/hyperlink" Target="https://rtg-275.myshopify.com/products/CASPER-ONYX-2-0?variant=47915102339210" TargetMode="External"/><Relationship Id="rId21" Type="http://schemas.openxmlformats.org/officeDocument/2006/relationships/hyperlink" Target="https://rtg-275.myshopify.com/products/CASPER-ONYX-2-0?variant=47915102306442" TargetMode="External"/><Relationship Id="rId24" Type="http://schemas.openxmlformats.org/officeDocument/2006/relationships/hyperlink" Target="https://rtg-275.myshopify.com/products/SMART-MATCH-2-0?variant=47915102503050" TargetMode="External"/><Relationship Id="rId23" Type="http://schemas.openxmlformats.org/officeDocument/2006/relationships/hyperlink" Target="https://rtg-275.myshopify.com/products/SMART-MATCH-2-0?variant=47915102470282" TargetMode="External"/><Relationship Id="rId26" Type="http://schemas.openxmlformats.org/officeDocument/2006/relationships/hyperlink" Target="https://rtg-275.myshopify.com/products/SMART-MATCH-2-0?variant=47915102568586" TargetMode="External"/><Relationship Id="rId25" Type="http://schemas.openxmlformats.org/officeDocument/2006/relationships/hyperlink" Target="https://rtg-275.myshopify.com/products/SMART-MATCH-2-0?variant=47915102535818" TargetMode="External"/><Relationship Id="rId28" Type="http://schemas.openxmlformats.org/officeDocument/2006/relationships/hyperlink" Target="https://rtg-275.myshopify.com/products/SMART-MATCH-2-0?variant=47915102634122" TargetMode="External"/><Relationship Id="rId27" Type="http://schemas.openxmlformats.org/officeDocument/2006/relationships/hyperlink" Target="https://rtg-275.myshopify.com/products/SMART-MATCH-2-0?variant=47915102601354" TargetMode="External"/><Relationship Id="rId29" Type="http://schemas.openxmlformats.org/officeDocument/2006/relationships/hyperlink" Target="https://rtg-275.myshopify.com/products/ADAPT-2-0-MEDIUM?variant=47915102765194" TargetMode="External"/><Relationship Id="rId11" Type="http://schemas.openxmlformats.org/officeDocument/2006/relationships/hyperlink" Target="https://rtg-275.myshopify.com/products/CASPER-SNOW-2-0?variant=47915101880458" TargetMode="External"/><Relationship Id="rId10" Type="http://schemas.openxmlformats.org/officeDocument/2006/relationships/hyperlink" Target="https://rtg-275.myshopify.com/products/CASPER-SNOW-2-0?variant=47915101847690" TargetMode="External"/><Relationship Id="rId13" Type="http://schemas.openxmlformats.org/officeDocument/2006/relationships/hyperlink" Target="https://rtg-275.myshopify.com/products/CASPER-SNOW-MAX?variant=47915102011530" TargetMode="External"/><Relationship Id="rId12" Type="http://schemas.openxmlformats.org/officeDocument/2006/relationships/hyperlink" Target="https://rtg-275.myshopify.com/products/CASPER-SNOW-MAX?variant=47915101978762" TargetMode="External"/><Relationship Id="rId15" Type="http://schemas.openxmlformats.org/officeDocument/2006/relationships/hyperlink" Target="https://rtg-275.myshopify.com/products/CASPER-SNOW-MAX?variant=47915102077066" TargetMode="External"/><Relationship Id="rId198" Type="http://schemas.openxmlformats.org/officeDocument/2006/relationships/hyperlink" Target="https://rtg-275.myshopify.com/products/NORTHGATE?variant=47915110203530" TargetMode="External"/><Relationship Id="rId14" Type="http://schemas.openxmlformats.org/officeDocument/2006/relationships/hyperlink" Target="https://rtg-275.myshopify.com/products/CASPER-SNOW-MAX?variant=47915102044298" TargetMode="External"/><Relationship Id="rId197" Type="http://schemas.openxmlformats.org/officeDocument/2006/relationships/hyperlink" Target="https://rtg-275.myshopify.com/products/BRADFORD-HILL?variant=47915110170762" TargetMode="External"/><Relationship Id="rId17" Type="http://schemas.openxmlformats.org/officeDocument/2006/relationships/hyperlink" Target="https://rtg-275.myshopify.com/products/CASPER-ONYX-2-0?variant=47915102175370" TargetMode="External"/><Relationship Id="rId196" Type="http://schemas.openxmlformats.org/officeDocument/2006/relationships/hyperlink" Target="https://rtg-275.myshopify.com/products/BRADFORD-HILL?variant=47915110137994" TargetMode="External"/><Relationship Id="rId16" Type="http://schemas.openxmlformats.org/officeDocument/2006/relationships/hyperlink" Target="https://rtg-275.myshopify.com/products/CASPER-SNOW-MAX?variant=47915102109834" TargetMode="External"/><Relationship Id="rId195" Type="http://schemas.openxmlformats.org/officeDocument/2006/relationships/hyperlink" Target="https://rtg-275.myshopify.com/products/BRADFORD-HILL?variant=47915110105226" TargetMode="External"/><Relationship Id="rId19" Type="http://schemas.openxmlformats.org/officeDocument/2006/relationships/hyperlink" Target="https://rtg-275.myshopify.com/products/CASPER-ONYX-2-0?variant=47915102240906" TargetMode="External"/><Relationship Id="rId18" Type="http://schemas.openxmlformats.org/officeDocument/2006/relationships/hyperlink" Target="https://rtg-275.myshopify.com/products/CASPER-ONYX-2-0?variant=47915102208138" TargetMode="External"/><Relationship Id="rId199" Type="http://schemas.openxmlformats.org/officeDocument/2006/relationships/hyperlink" Target="https://rtg-275.myshopify.com/products/NORTHGATE?variant=47915110236298" TargetMode="External"/><Relationship Id="rId84" Type="http://schemas.openxmlformats.org/officeDocument/2006/relationships/hyperlink" Target="https://rtg-275.myshopify.com/products/LUXEADAPT-2-0-MEDIUM-HYBRID?variant=47915105484938" TargetMode="External"/><Relationship Id="rId83" Type="http://schemas.openxmlformats.org/officeDocument/2006/relationships/hyperlink" Target="https://rtg-275.myshopify.com/products/LUXEADAPT-2-0-MEDIUM-HYBRID?variant=47915105452170" TargetMode="External"/><Relationship Id="rId86" Type="http://schemas.openxmlformats.org/officeDocument/2006/relationships/hyperlink" Target="https://rtg-275.myshopify.com/products/LUXEBREEZE-2-0-FIRM?variant=47915105616010" TargetMode="External"/><Relationship Id="rId85" Type="http://schemas.openxmlformats.org/officeDocument/2006/relationships/hyperlink" Target="https://rtg-275.myshopify.com/products/LUXEBREEZE-2-0-FIRM?variant=47915105583242" TargetMode="External"/><Relationship Id="rId88" Type="http://schemas.openxmlformats.org/officeDocument/2006/relationships/hyperlink" Target="https://rtg-275.myshopify.com/products/LUXEBREEZE-2-0-FIRM?variant=47915105681546" TargetMode="External"/><Relationship Id="rId150" Type="http://schemas.openxmlformats.org/officeDocument/2006/relationships/hyperlink" Target="https://rtg-275.myshopify.com/products/HASTINGS?variant=47915108597898" TargetMode="External"/><Relationship Id="rId271" Type="http://schemas.openxmlformats.org/officeDocument/2006/relationships/hyperlink" Target="https://rtg-275.myshopify.com/products/SIMMONS-KIDS-DELIGHT?variant=47915112890506" TargetMode="External"/><Relationship Id="rId87" Type="http://schemas.openxmlformats.org/officeDocument/2006/relationships/hyperlink" Target="https://rtg-275.myshopify.com/products/LUXEBREEZE-2-0-FIRM?variant=47915105648778" TargetMode="External"/><Relationship Id="rId270" Type="http://schemas.openxmlformats.org/officeDocument/2006/relationships/hyperlink" Target="https://rtg-275.myshopify.com/products/TUFT-NEEDLE-KIDS-GLEE?variant=47915112857738" TargetMode="External"/><Relationship Id="rId89" Type="http://schemas.openxmlformats.org/officeDocument/2006/relationships/hyperlink" Target="https://rtg-275.myshopify.com/products/LUXEBREEZE-2-0-FIRM?variant=47915105714314" TargetMode="External"/><Relationship Id="rId80" Type="http://schemas.openxmlformats.org/officeDocument/2006/relationships/hyperlink" Target="https://rtg-275.myshopify.com/products/LUXEADAPT-2-0-SOFT?variant=47915105288330" TargetMode="External"/><Relationship Id="rId82" Type="http://schemas.openxmlformats.org/officeDocument/2006/relationships/hyperlink" Target="https://rtg-275.myshopify.com/products/LUXEADAPT-2-0-MEDIUM-HYBRID?variant=47915105419402" TargetMode="External"/><Relationship Id="rId81" Type="http://schemas.openxmlformats.org/officeDocument/2006/relationships/hyperlink" Target="https://rtg-275.myshopify.com/products/LUXEADAPT-2-0-MEDIUM-HYBRID?variant=47915105386634" TargetMode="External"/><Relationship Id="rId1" Type="http://schemas.openxmlformats.org/officeDocument/2006/relationships/hyperlink" Target="https://rtg-275.myshopify.com/products/CASPER-CLOUD-ONE?variant=47915101520010" TargetMode="External"/><Relationship Id="rId2" Type="http://schemas.openxmlformats.org/officeDocument/2006/relationships/hyperlink" Target="https://rtg-275.myshopify.com/products/CASPER-CLOUD-ONE?variant=47915101552778" TargetMode="External"/><Relationship Id="rId3" Type="http://schemas.openxmlformats.org/officeDocument/2006/relationships/hyperlink" Target="https://rtg-275.myshopify.com/products/CASPER-CLOUD-ONE?variant=47915101585546" TargetMode="External"/><Relationship Id="rId149" Type="http://schemas.openxmlformats.org/officeDocument/2006/relationships/hyperlink" Target="https://rtg-275.myshopify.com/products/HASTINGS?variant=47915108565130" TargetMode="External"/><Relationship Id="rId4" Type="http://schemas.openxmlformats.org/officeDocument/2006/relationships/hyperlink" Target="https://rtg-275.myshopify.com/products/CASPER-CLOUD-ONE?variant=47915101618314" TargetMode="External"/><Relationship Id="rId148" Type="http://schemas.openxmlformats.org/officeDocument/2006/relationships/hyperlink" Target="https://rtg-275.myshopify.com/products/HASTINGS?variant=47915108532362" TargetMode="External"/><Relationship Id="rId269" Type="http://schemas.openxmlformats.org/officeDocument/2006/relationships/hyperlink" Target="https://rtg-275.myshopify.com/products/TUFT-NEEDLE-KIDS-GLEE?variant=47915112824970" TargetMode="External"/><Relationship Id="rId9" Type="http://schemas.openxmlformats.org/officeDocument/2006/relationships/hyperlink" Target="https://rtg-275.myshopify.com/products/CASPER-SNOW-2-0?variant=47915101814922" TargetMode="External"/><Relationship Id="rId143" Type="http://schemas.openxmlformats.org/officeDocument/2006/relationships/hyperlink" Target="https://rtg-275.myshopify.com/products/DARLINGTON?variant=47915108302986" TargetMode="External"/><Relationship Id="rId264" Type="http://schemas.openxmlformats.org/officeDocument/2006/relationships/hyperlink" Target="https://rtg-275.myshopify.com/products/TURNBULL?variant=47915112628362" TargetMode="External"/><Relationship Id="rId142" Type="http://schemas.openxmlformats.org/officeDocument/2006/relationships/hyperlink" Target="https://rtg-275.myshopify.com/products/FORESTER?variant=47915108204682" TargetMode="External"/><Relationship Id="rId263" Type="http://schemas.openxmlformats.org/officeDocument/2006/relationships/hyperlink" Target="https://rtg-275.myshopify.com/products/TURNBULL?variant=47915112595594" TargetMode="External"/><Relationship Id="rId141" Type="http://schemas.openxmlformats.org/officeDocument/2006/relationships/hyperlink" Target="https://rtg-275.myshopify.com/products/FORESTER?variant=47915108171914" TargetMode="External"/><Relationship Id="rId262" Type="http://schemas.openxmlformats.org/officeDocument/2006/relationships/hyperlink" Target="https://rtg-275.myshopify.com/products/HELIX-MIDNIGHT-ELITE?variant=47915112562826" TargetMode="External"/><Relationship Id="rId140" Type="http://schemas.openxmlformats.org/officeDocument/2006/relationships/hyperlink" Target="https://rtg-275.myshopify.com/products/FORESTER?variant=47915108139146" TargetMode="External"/><Relationship Id="rId261" Type="http://schemas.openxmlformats.org/officeDocument/2006/relationships/hyperlink" Target="https://rtg-275.myshopify.com/products/HELIX-MIDNIGHT-ELITE?variant=47915112530058" TargetMode="External"/><Relationship Id="rId5" Type="http://schemas.openxmlformats.org/officeDocument/2006/relationships/hyperlink" Target="https://rtg-275.myshopify.com/products/CASPER-CLOUD-ONE?variant=47915101651082" TargetMode="External"/><Relationship Id="rId147" Type="http://schemas.openxmlformats.org/officeDocument/2006/relationships/hyperlink" Target="https://rtg-275.myshopify.com/products/DARLINGTON?variant=47915108434058" TargetMode="External"/><Relationship Id="rId268" Type="http://schemas.openxmlformats.org/officeDocument/2006/relationships/hyperlink" Target="https://rtg-275.myshopify.com/products/GRENSON?variant=47915112792202" TargetMode="External"/><Relationship Id="rId6" Type="http://schemas.openxmlformats.org/officeDocument/2006/relationships/hyperlink" Target="https://rtg-275.myshopify.com/products/CASPER-CLOUD-ONE?variant=47915101683850" TargetMode="External"/><Relationship Id="rId146" Type="http://schemas.openxmlformats.org/officeDocument/2006/relationships/hyperlink" Target="https://rtg-275.myshopify.com/products/DARLINGTON?variant=47915108401290" TargetMode="External"/><Relationship Id="rId267" Type="http://schemas.openxmlformats.org/officeDocument/2006/relationships/hyperlink" Target="https://rtg-275.myshopify.com/products/GRENSON?variant=47915112759434" TargetMode="External"/><Relationship Id="rId7" Type="http://schemas.openxmlformats.org/officeDocument/2006/relationships/hyperlink" Target="https://rtg-275.myshopify.com/products/CASPER-SNOW-2-0?variant=47915101749386" TargetMode="External"/><Relationship Id="rId145" Type="http://schemas.openxmlformats.org/officeDocument/2006/relationships/hyperlink" Target="https://rtg-275.myshopify.com/products/DARLINGTON?variant=47915108368522" TargetMode="External"/><Relationship Id="rId266" Type="http://schemas.openxmlformats.org/officeDocument/2006/relationships/hyperlink" Target="https://rtg-275.myshopify.com/products/HAWKE?variant=47915112726666" TargetMode="External"/><Relationship Id="rId8" Type="http://schemas.openxmlformats.org/officeDocument/2006/relationships/hyperlink" Target="https://rtg-275.myshopify.com/products/CASPER-SNOW-2-0?variant=47915101782154" TargetMode="External"/><Relationship Id="rId144" Type="http://schemas.openxmlformats.org/officeDocument/2006/relationships/hyperlink" Target="https://rtg-275.myshopify.com/products/DARLINGTON?variant=47915108335754" TargetMode="External"/><Relationship Id="rId265" Type="http://schemas.openxmlformats.org/officeDocument/2006/relationships/hyperlink" Target="https://rtg-275.myshopify.com/products/HAWKE?variant=47915112693898" TargetMode="External"/><Relationship Id="rId73" Type="http://schemas.openxmlformats.org/officeDocument/2006/relationships/hyperlink" Target="https://rtg-275.myshopify.com/products/PROADAPT-2-0-MEDIUM-HYBRID?variant=47915105026186" TargetMode="External"/><Relationship Id="rId72" Type="http://schemas.openxmlformats.org/officeDocument/2006/relationships/hyperlink" Target="https://rtg-275.myshopify.com/products/PROADAPT-2-0-MEDIUM-HYBRID?variant=47915104993418" TargetMode="External"/><Relationship Id="rId75" Type="http://schemas.openxmlformats.org/officeDocument/2006/relationships/hyperlink" Target="https://rtg-275.myshopify.com/products/PROADAPT-2-0-MEDIUM-HYBRID?variant=47915105091722" TargetMode="External"/><Relationship Id="rId74" Type="http://schemas.openxmlformats.org/officeDocument/2006/relationships/hyperlink" Target="https://rtg-275.myshopify.com/products/PROADAPT-2-0-MEDIUM-HYBRID?variant=47915105058954" TargetMode="External"/><Relationship Id="rId77" Type="http://schemas.openxmlformats.org/officeDocument/2006/relationships/hyperlink" Target="https://rtg-275.myshopify.com/products/LUXEADAPT-2-0-SOFT?variant=47915105190026" TargetMode="External"/><Relationship Id="rId260" Type="http://schemas.openxmlformats.org/officeDocument/2006/relationships/hyperlink" Target="https://rtg-275.myshopify.com/products/HELIX-MIDNIGHT-ELITE?variant=47915112497290" TargetMode="External"/><Relationship Id="rId76" Type="http://schemas.openxmlformats.org/officeDocument/2006/relationships/hyperlink" Target="https://rtg-275.myshopify.com/products/LUXEADAPT-2-0-SOFT?variant=47915105157258" TargetMode="External"/><Relationship Id="rId79" Type="http://schemas.openxmlformats.org/officeDocument/2006/relationships/hyperlink" Target="https://rtg-275.myshopify.com/products/LUXEADAPT-2-0-SOFT?variant=47915105255562" TargetMode="External"/><Relationship Id="rId78" Type="http://schemas.openxmlformats.org/officeDocument/2006/relationships/hyperlink" Target="https://rtg-275.myshopify.com/products/LUXEADAPT-2-0-SOFT?variant=47915105222794" TargetMode="External"/><Relationship Id="rId71" Type="http://schemas.openxmlformats.org/officeDocument/2006/relationships/hyperlink" Target="https://rtg-275.myshopify.com/products/PROADAPT-2-0-MEDIUM-HYBRID?variant=47915104960650" TargetMode="External"/><Relationship Id="rId70" Type="http://schemas.openxmlformats.org/officeDocument/2006/relationships/hyperlink" Target="https://rtg-275.myshopify.com/products/PROADAPT-2-0-MEDIUM-HYBRID?variant=47915104927882" TargetMode="External"/><Relationship Id="rId139" Type="http://schemas.openxmlformats.org/officeDocument/2006/relationships/hyperlink" Target="https://rtg-275.myshopify.com/products/FORESTER?variant=47915108106378" TargetMode="External"/><Relationship Id="rId138" Type="http://schemas.openxmlformats.org/officeDocument/2006/relationships/hyperlink" Target="https://rtg-275.myshopify.com/products/FORESTER?variant=47915108073610" TargetMode="External"/><Relationship Id="rId259" Type="http://schemas.openxmlformats.org/officeDocument/2006/relationships/hyperlink" Target="https://rtg-275.myshopify.com/products/HELIX-MIDNIGHT-ELITE?variant=47915112464522" TargetMode="External"/><Relationship Id="rId137" Type="http://schemas.openxmlformats.org/officeDocument/2006/relationships/hyperlink" Target="https://rtg-275.myshopify.com/products/SEASIDE-SERENITY?variant=47915107975306" TargetMode="External"/><Relationship Id="rId258" Type="http://schemas.openxmlformats.org/officeDocument/2006/relationships/hyperlink" Target="https://rtg-275.myshopify.com/products/HELIX-MIDNIGHT-ELITE?variant=47915112431754" TargetMode="External"/><Relationship Id="rId132" Type="http://schemas.openxmlformats.org/officeDocument/2006/relationships/hyperlink" Target="https://rtg-275.myshopify.com/products/MAKE-WAVES?variant=47915107778698" TargetMode="External"/><Relationship Id="rId253" Type="http://schemas.openxmlformats.org/officeDocument/2006/relationships/hyperlink" Target="https://rtg-275.myshopify.com/products/HELIX-MIDNIGHT-LUXE?variant=47915112235146" TargetMode="External"/><Relationship Id="rId131" Type="http://schemas.openxmlformats.org/officeDocument/2006/relationships/hyperlink" Target="https://rtg-275.myshopify.com/products/MAKE-WAVES?variant=47915107745930" TargetMode="External"/><Relationship Id="rId252" Type="http://schemas.openxmlformats.org/officeDocument/2006/relationships/hyperlink" Target="https://rtg-275.myshopify.com/products/HELIX-MIDNIGHT-LUXE?variant=47915112202378" TargetMode="External"/><Relationship Id="rId373" Type="http://schemas.openxmlformats.org/officeDocument/2006/relationships/drawing" Target="../drawings/drawing4.xml"/><Relationship Id="rId130" Type="http://schemas.openxmlformats.org/officeDocument/2006/relationships/hyperlink" Target="https://rtg-275.myshopify.com/products/MAKE-WAVES?variant=47915107713162" TargetMode="External"/><Relationship Id="rId251" Type="http://schemas.openxmlformats.org/officeDocument/2006/relationships/hyperlink" Target="https://rtg-275.myshopify.com/products/HELIX-MIDNIGHT-LUXE?variant=47915112169610" TargetMode="External"/><Relationship Id="rId372" Type="http://schemas.openxmlformats.org/officeDocument/2006/relationships/hyperlink" Target="https://rtg-275.myshopify.com/products/LUX-ESTATE-FIRM-PT?variant=47915116920970" TargetMode="External"/><Relationship Id="rId250" Type="http://schemas.openxmlformats.org/officeDocument/2006/relationships/hyperlink" Target="https://rtg-275.myshopify.com/products/LUX-ESTATE-ELITE?variant=47915112136842" TargetMode="External"/><Relationship Id="rId371" Type="http://schemas.openxmlformats.org/officeDocument/2006/relationships/hyperlink" Target="https://rtg-275.myshopify.com/products/BREEZE-PRO-HI-2-0-KG?variant=47915117969546" TargetMode="External"/><Relationship Id="rId136" Type="http://schemas.openxmlformats.org/officeDocument/2006/relationships/hyperlink" Target="https://rtg-275.myshopify.com/products/SEASIDE-SERENITY?variant=47915107942538" TargetMode="External"/><Relationship Id="rId257" Type="http://schemas.openxmlformats.org/officeDocument/2006/relationships/hyperlink" Target="https://rtg-275.myshopify.com/products/HELIX-MIDNIGHT-ELITE?variant=47915112398986" TargetMode="External"/><Relationship Id="rId135" Type="http://schemas.openxmlformats.org/officeDocument/2006/relationships/hyperlink" Target="https://rtg-275.myshopify.com/products/SEASIDE-SERENITY?variant=47915107909770" TargetMode="External"/><Relationship Id="rId256" Type="http://schemas.openxmlformats.org/officeDocument/2006/relationships/hyperlink" Target="https://rtg-275.myshopify.com/products/HELIX-MIDNIGHT-LUXE?variant=47915112333450" TargetMode="External"/><Relationship Id="rId134" Type="http://schemas.openxmlformats.org/officeDocument/2006/relationships/hyperlink" Target="https://rtg-275.myshopify.com/products/SEASIDE-SERENITY?variant=47915107877002" TargetMode="External"/><Relationship Id="rId255" Type="http://schemas.openxmlformats.org/officeDocument/2006/relationships/hyperlink" Target="https://rtg-275.myshopify.com/products/HELIX-MIDNIGHT-LUXE?variant=47915112300682" TargetMode="External"/><Relationship Id="rId133" Type="http://schemas.openxmlformats.org/officeDocument/2006/relationships/hyperlink" Target="https://rtg-275.myshopify.com/products/MAKE-WAVES?variant=47915107811466" TargetMode="External"/><Relationship Id="rId254" Type="http://schemas.openxmlformats.org/officeDocument/2006/relationships/hyperlink" Target="https://rtg-275.myshopify.com/products/HELIX-MIDNIGHT-LUXE?variant=47915112267914" TargetMode="External"/><Relationship Id="rId62" Type="http://schemas.openxmlformats.org/officeDocument/2006/relationships/hyperlink" Target="https://rtg-275.myshopify.com/products/PROADAPT-2-0-SOFT?variant=47915104567434" TargetMode="External"/><Relationship Id="rId61" Type="http://schemas.openxmlformats.org/officeDocument/2006/relationships/hyperlink" Target="https://rtg-275.myshopify.com/products/PROADAPT-2-0-MEDIUM?variant=47915104501898" TargetMode="External"/><Relationship Id="rId64" Type="http://schemas.openxmlformats.org/officeDocument/2006/relationships/hyperlink" Target="https://rtg-275.myshopify.com/products/PROADAPT-2-0-SOFT?variant=47915104632970" TargetMode="External"/><Relationship Id="rId63" Type="http://schemas.openxmlformats.org/officeDocument/2006/relationships/hyperlink" Target="https://rtg-275.myshopify.com/products/PROADAPT-2-0-SOFT?variant=47915104600202" TargetMode="External"/><Relationship Id="rId66" Type="http://schemas.openxmlformats.org/officeDocument/2006/relationships/hyperlink" Target="https://rtg-275.myshopify.com/products/PROADAPT-2-0-SOFT?variant=47915104698506" TargetMode="External"/><Relationship Id="rId172" Type="http://schemas.openxmlformats.org/officeDocument/2006/relationships/hyperlink" Target="https://rtg-275.myshopify.com/products/LEVEL-THREE-PLUSH?variant=47915109318794" TargetMode="External"/><Relationship Id="rId293" Type="http://schemas.openxmlformats.org/officeDocument/2006/relationships/hyperlink" Target="https://rtg-275.myshopify.com/products/HELIX-KIDS?variant=47915113971850" TargetMode="External"/><Relationship Id="rId65" Type="http://schemas.openxmlformats.org/officeDocument/2006/relationships/hyperlink" Target="https://rtg-275.myshopify.com/products/PROADAPT-2-0-SOFT?variant=47915104665738" TargetMode="External"/><Relationship Id="rId171" Type="http://schemas.openxmlformats.org/officeDocument/2006/relationships/hyperlink" Target="https://rtg-275.myshopify.com/products/LEVEL-THREE-PLUSH?variant=47915109286026" TargetMode="External"/><Relationship Id="rId292" Type="http://schemas.openxmlformats.org/officeDocument/2006/relationships/hyperlink" Target="https://rtg-275.myshopify.com/products/Z-505?variant=47915113709706" TargetMode="External"/><Relationship Id="rId68" Type="http://schemas.openxmlformats.org/officeDocument/2006/relationships/hyperlink" Target="https://rtg-275.myshopify.com/products/PROADAPT-2-0-SOFT?variant=47915104764042" TargetMode="External"/><Relationship Id="rId170" Type="http://schemas.openxmlformats.org/officeDocument/2006/relationships/hyperlink" Target="https://rtg-275.myshopify.com/products/LEVEL-THREE-PLUSH?variant=47915109253258" TargetMode="External"/><Relationship Id="rId291" Type="http://schemas.openxmlformats.org/officeDocument/2006/relationships/hyperlink" Target="https://rtg-275.myshopify.com/products/Z-505?variant=47915113676938" TargetMode="External"/><Relationship Id="rId67" Type="http://schemas.openxmlformats.org/officeDocument/2006/relationships/hyperlink" Target="https://rtg-275.myshopify.com/products/PROADAPT-2-0-SOFT?variant=47915104731274" TargetMode="External"/><Relationship Id="rId290" Type="http://schemas.openxmlformats.org/officeDocument/2006/relationships/hyperlink" Target="https://rtg-275.myshopify.com/products/Z-305?variant=47915113611402" TargetMode="External"/><Relationship Id="rId60" Type="http://schemas.openxmlformats.org/officeDocument/2006/relationships/hyperlink" Target="https://rtg-275.myshopify.com/products/PROADAPT-2-0-MEDIUM?variant=47915104469130" TargetMode="External"/><Relationship Id="rId165" Type="http://schemas.openxmlformats.org/officeDocument/2006/relationships/hyperlink" Target="https://rtg-275.myshopify.com/products/OCEANA-MIST?variant=47915109089418" TargetMode="External"/><Relationship Id="rId286" Type="http://schemas.openxmlformats.org/officeDocument/2006/relationships/hyperlink" Target="https://rtg-275.myshopify.com/products/IMPREZA?variant=47915113447562" TargetMode="External"/><Relationship Id="rId69" Type="http://schemas.openxmlformats.org/officeDocument/2006/relationships/hyperlink" Target="https://rtg-275.myshopify.com/products/PROADAPT-2-0-MEDIUM-HYBRID?variant=47915104895114" TargetMode="External"/><Relationship Id="rId164" Type="http://schemas.openxmlformats.org/officeDocument/2006/relationships/hyperlink" Target="https://rtg-275.myshopify.com/products/OCEANA-MIST?variant=47915109056650" TargetMode="External"/><Relationship Id="rId285" Type="http://schemas.openxmlformats.org/officeDocument/2006/relationships/hyperlink" Target="https://rtg-275.myshopify.com/products/IMPREZA?variant=47915113414794" TargetMode="External"/><Relationship Id="rId163" Type="http://schemas.openxmlformats.org/officeDocument/2006/relationships/hyperlink" Target="https://rtg-275.myshopify.com/products/OCEANA-MIST?variant=47915109023882" TargetMode="External"/><Relationship Id="rId284" Type="http://schemas.openxmlformats.org/officeDocument/2006/relationships/hyperlink" Target="https://rtg-275.myshopify.com/products/HAMEL?variant=47915113382026" TargetMode="External"/><Relationship Id="rId162" Type="http://schemas.openxmlformats.org/officeDocument/2006/relationships/hyperlink" Target="https://rtg-275.myshopify.com/products/ARADA-CANYON?variant=47915108991114" TargetMode="External"/><Relationship Id="rId283" Type="http://schemas.openxmlformats.org/officeDocument/2006/relationships/hyperlink" Target="https://rtg-275.myshopify.com/products/HAMEL?variant=47915113349258" TargetMode="External"/><Relationship Id="rId169" Type="http://schemas.openxmlformats.org/officeDocument/2006/relationships/hyperlink" Target="https://rtg-275.myshopify.com/products/LEVEL-THREE-PLUSH?variant=47915109220490" TargetMode="External"/><Relationship Id="rId168" Type="http://schemas.openxmlformats.org/officeDocument/2006/relationships/hyperlink" Target="https://rtg-275.myshopify.com/products/OCEANA-MIST?variant=47915109187722" TargetMode="External"/><Relationship Id="rId289" Type="http://schemas.openxmlformats.org/officeDocument/2006/relationships/hyperlink" Target="https://rtg-275.myshopify.com/products/Z-305?variant=47915113578634" TargetMode="External"/><Relationship Id="rId167" Type="http://schemas.openxmlformats.org/officeDocument/2006/relationships/hyperlink" Target="https://rtg-275.myshopify.com/products/OCEANA-MIST?variant=47915109154954" TargetMode="External"/><Relationship Id="rId288" Type="http://schemas.openxmlformats.org/officeDocument/2006/relationships/hyperlink" Target="https://rtg-275.myshopify.com/products/TEMPUR-KIDS?variant=47915113513098" TargetMode="External"/><Relationship Id="rId166" Type="http://schemas.openxmlformats.org/officeDocument/2006/relationships/hyperlink" Target="https://rtg-275.myshopify.com/products/OCEANA-MIST?variant=47915109122186" TargetMode="External"/><Relationship Id="rId287" Type="http://schemas.openxmlformats.org/officeDocument/2006/relationships/hyperlink" Target="https://rtg-275.myshopify.com/products/TEMPUR-KIDS?variant=47915113480330" TargetMode="External"/><Relationship Id="rId51" Type="http://schemas.openxmlformats.org/officeDocument/2006/relationships/hyperlink" Target="https://rtg-275.myshopify.com/products/PROBREEZE-2-0-MEDIUM-HYBRID?variant=47915104075914" TargetMode="External"/><Relationship Id="rId50" Type="http://schemas.openxmlformats.org/officeDocument/2006/relationships/hyperlink" Target="https://rtg-275.myshopify.com/products/PROBREEZE-2-0-MEDIUM-HYBRID?variant=47915104043146" TargetMode="External"/><Relationship Id="rId53" Type="http://schemas.openxmlformats.org/officeDocument/2006/relationships/hyperlink" Target="https://rtg-275.myshopify.com/products/PROBREEZE-2-0-MEDIUM-HYBRID?variant=47915104141450" TargetMode="External"/><Relationship Id="rId52" Type="http://schemas.openxmlformats.org/officeDocument/2006/relationships/hyperlink" Target="https://rtg-275.myshopify.com/products/PROBREEZE-2-0-MEDIUM-HYBRID?variant=47915104108682" TargetMode="External"/><Relationship Id="rId55" Type="http://schemas.openxmlformats.org/officeDocument/2006/relationships/hyperlink" Target="https://rtg-275.myshopify.com/products/PROADAPT-2-0-MEDIUM?variant=47915104305290" TargetMode="External"/><Relationship Id="rId161" Type="http://schemas.openxmlformats.org/officeDocument/2006/relationships/hyperlink" Target="https://rtg-275.myshopify.com/products/ARADA-CANYON?variant=47915108958346" TargetMode="External"/><Relationship Id="rId282" Type="http://schemas.openxmlformats.org/officeDocument/2006/relationships/hyperlink" Target="https://rtg-275.myshopify.com/products/FLOURISH?variant=47915113316490" TargetMode="External"/><Relationship Id="rId54" Type="http://schemas.openxmlformats.org/officeDocument/2006/relationships/hyperlink" Target="https://rtg-275.myshopify.com/products/PROBREEZE-2-0-MEDIUM-HYBRID?variant=47915104174218" TargetMode="External"/><Relationship Id="rId160" Type="http://schemas.openxmlformats.org/officeDocument/2006/relationships/hyperlink" Target="https://rtg-275.myshopify.com/products/ARADA-CANYON?variant=47915108925578" TargetMode="External"/><Relationship Id="rId281" Type="http://schemas.openxmlformats.org/officeDocument/2006/relationships/hyperlink" Target="https://rtg-275.myshopify.com/products/FLOURISH?variant=47915113283722" TargetMode="External"/><Relationship Id="rId57" Type="http://schemas.openxmlformats.org/officeDocument/2006/relationships/hyperlink" Target="https://rtg-275.myshopify.com/products/PROADAPT-2-0-MEDIUM?variant=47915104370826" TargetMode="External"/><Relationship Id="rId280" Type="http://schemas.openxmlformats.org/officeDocument/2006/relationships/hyperlink" Target="https://rtg-275.myshopify.com/products/CREEKMORE?variant=47915113218186" TargetMode="External"/><Relationship Id="rId56" Type="http://schemas.openxmlformats.org/officeDocument/2006/relationships/hyperlink" Target="https://rtg-275.myshopify.com/products/PROADAPT-2-0-MEDIUM?variant=47915104338058" TargetMode="External"/><Relationship Id="rId159" Type="http://schemas.openxmlformats.org/officeDocument/2006/relationships/hyperlink" Target="https://rtg-275.myshopify.com/products/CAPERTEE?variant=47915108892810" TargetMode="External"/><Relationship Id="rId59" Type="http://schemas.openxmlformats.org/officeDocument/2006/relationships/hyperlink" Target="https://rtg-275.myshopify.com/products/PROADAPT-2-0-MEDIUM?variant=47915104436362" TargetMode="External"/><Relationship Id="rId154" Type="http://schemas.openxmlformats.org/officeDocument/2006/relationships/hyperlink" Target="https://rtg-275.myshopify.com/products/LEDO?variant=47915108728970" TargetMode="External"/><Relationship Id="rId275" Type="http://schemas.openxmlformats.org/officeDocument/2006/relationships/hyperlink" Target="https://rtg-275.myshopify.com/products/SIMMONS-KIDS-HAPPY?variant=47915113021578" TargetMode="External"/><Relationship Id="rId58" Type="http://schemas.openxmlformats.org/officeDocument/2006/relationships/hyperlink" Target="https://rtg-275.myshopify.com/products/PROADAPT-2-0-MEDIUM?variant=47915104403594" TargetMode="External"/><Relationship Id="rId153" Type="http://schemas.openxmlformats.org/officeDocument/2006/relationships/hyperlink" Target="https://rtg-275.myshopify.com/products/KAANAPALI?variant=47915108696202" TargetMode="External"/><Relationship Id="rId274" Type="http://schemas.openxmlformats.org/officeDocument/2006/relationships/hyperlink" Target="https://rtg-275.myshopify.com/products/SIMMONS-KIDS-GLAD?variant=47915112988810" TargetMode="External"/><Relationship Id="rId152" Type="http://schemas.openxmlformats.org/officeDocument/2006/relationships/hyperlink" Target="https://rtg-275.myshopify.com/products/KAANAPALI?variant=47915108663434" TargetMode="External"/><Relationship Id="rId273" Type="http://schemas.openxmlformats.org/officeDocument/2006/relationships/hyperlink" Target="https://rtg-275.myshopify.com/products/SIMMONS-KIDS-GLAD?variant=47915112956042" TargetMode="External"/><Relationship Id="rId151" Type="http://schemas.openxmlformats.org/officeDocument/2006/relationships/hyperlink" Target="https://rtg-275.myshopify.com/products/KAANAPALI?variant=47915108630666" TargetMode="External"/><Relationship Id="rId272" Type="http://schemas.openxmlformats.org/officeDocument/2006/relationships/hyperlink" Target="https://rtg-275.myshopify.com/products/SIMMONS-KIDS-DELIGHT?variant=47915112923274" TargetMode="External"/><Relationship Id="rId158" Type="http://schemas.openxmlformats.org/officeDocument/2006/relationships/hyperlink" Target="https://rtg-275.myshopify.com/products/CAPERTEE?variant=47915108860042" TargetMode="External"/><Relationship Id="rId279" Type="http://schemas.openxmlformats.org/officeDocument/2006/relationships/hyperlink" Target="https://rtg-275.myshopify.com/products/CREEKMORE?variant=47915113185418" TargetMode="External"/><Relationship Id="rId157" Type="http://schemas.openxmlformats.org/officeDocument/2006/relationships/hyperlink" Target="https://rtg-275.myshopify.com/products/CAPERTEE?variant=47915108827274" TargetMode="External"/><Relationship Id="rId278" Type="http://schemas.openxmlformats.org/officeDocument/2006/relationships/hyperlink" Target="https://rtg-275.myshopify.com/products/ALDER?variant=47915113152650" TargetMode="External"/><Relationship Id="rId156" Type="http://schemas.openxmlformats.org/officeDocument/2006/relationships/hyperlink" Target="https://rtg-275.myshopify.com/products/LEDO?variant=47915108794506" TargetMode="External"/><Relationship Id="rId277" Type="http://schemas.openxmlformats.org/officeDocument/2006/relationships/hyperlink" Target="https://rtg-275.myshopify.com/products/ALDER?variant=47915113119882" TargetMode="External"/><Relationship Id="rId155" Type="http://schemas.openxmlformats.org/officeDocument/2006/relationships/hyperlink" Target="https://rtg-275.myshopify.com/products/LEDO?variant=47915108761738" TargetMode="External"/><Relationship Id="rId276" Type="http://schemas.openxmlformats.org/officeDocument/2006/relationships/hyperlink" Target="https://rtg-275.myshopify.com/products/SIMMONS-KIDS-HAPPY?variant=47915113054346" TargetMode="External"/><Relationship Id="rId107" Type="http://schemas.openxmlformats.org/officeDocument/2006/relationships/hyperlink" Target="https://rtg-275.myshopify.com/products/TUFT-NEEDLE-STITCH-TN9-1?variant=47915106697354" TargetMode="External"/><Relationship Id="rId228" Type="http://schemas.openxmlformats.org/officeDocument/2006/relationships/hyperlink" Target="https://rtg-275.myshopify.com/products/SERIES-TWO-MEDIUM?variant=47915111350410" TargetMode="External"/><Relationship Id="rId349" Type="http://schemas.openxmlformats.org/officeDocument/2006/relationships/hyperlink" Target="https://rtg-275.myshopify.com/products/VER-TEX-PROTECTOR?variant=47915116527754" TargetMode="External"/><Relationship Id="rId106" Type="http://schemas.openxmlformats.org/officeDocument/2006/relationships/hyperlink" Target="https://rtg-275.myshopify.com/products/TUFT-NEEDLE-STITCH-TN9-1?variant=47915106664586" TargetMode="External"/><Relationship Id="rId227" Type="http://schemas.openxmlformats.org/officeDocument/2006/relationships/hyperlink" Target="https://rtg-275.myshopify.com/products/SERIES-TWO-MEDIUM?variant=47915111317642" TargetMode="External"/><Relationship Id="rId348" Type="http://schemas.openxmlformats.org/officeDocument/2006/relationships/hyperlink" Target="https://rtg-275.myshopify.com/products/VER-TEX-PROTECTOR?variant=47915116494986" TargetMode="External"/><Relationship Id="rId105" Type="http://schemas.openxmlformats.org/officeDocument/2006/relationships/hyperlink" Target="https://rtg-275.myshopify.com/products/TUFT-NEEDLE-STITCH-TN9-1?variant=47915106631818" TargetMode="External"/><Relationship Id="rId226" Type="http://schemas.openxmlformats.org/officeDocument/2006/relationships/hyperlink" Target="https://rtg-275.myshopify.com/products/SERIES-TWO-MEDIUM?variant=47915111284874" TargetMode="External"/><Relationship Id="rId347" Type="http://schemas.openxmlformats.org/officeDocument/2006/relationships/hyperlink" Target="https://rtg-275.myshopify.com/products/VER-TEX-PROTECTOR?variant=47915116462218" TargetMode="External"/><Relationship Id="rId104" Type="http://schemas.openxmlformats.org/officeDocument/2006/relationships/hyperlink" Target="https://rtg-275.myshopify.com/products/TUFT-NEEDLE-STITCH-TN9-1?variant=47915106599050" TargetMode="External"/><Relationship Id="rId225" Type="http://schemas.openxmlformats.org/officeDocument/2006/relationships/hyperlink" Target="https://rtg-275.myshopify.com/products/SERIES-ONE-EXTRA-FIRM?variant=47915111252106" TargetMode="External"/><Relationship Id="rId346" Type="http://schemas.openxmlformats.org/officeDocument/2006/relationships/hyperlink" Target="https://rtg-275.myshopify.com/products/VER-TEX-CRIB-PROTECTOR?variant=47915116232842" TargetMode="External"/><Relationship Id="rId109" Type="http://schemas.openxmlformats.org/officeDocument/2006/relationships/hyperlink" Target="https://rtg-275.myshopify.com/products/TUFT-NEEDLE-TN1?variant=47915106828426" TargetMode="External"/><Relationship Id="rId108" Type="http://schemas.openxmlformats.org/officeDocument/2006/relationships/hyperlink" Target="https://rtg-275.myshopify.com/products/TUFT-NEEDLE-STITCH-TN9-1?variant=47915106730122" TargetMode="External"/><Relationship Id="rId229" Type="http://schemas.openxmlformats.org/officeDocument/2006/relationships/hyperlink" Target="https://rtg-275.myshopify.com/products/SERIES-TWO-MEDIUM?variant=47915111383178" TargetMode="External"/><Relationship Id="rId220" Type="http://schemas.openxmlformats.org/officeDocument/2006/relationships/hyperlink" Target="https://rtg-275.myshopify.com/products/SERIES-ONE-EXTRA-FIRM?variant=47915111088266" TargetMode="External"/><Relationship Id="rId341" Type="http://schemas.openxmlformats.org/officeDocument/2006/relationships/hyperlink" Target="https://rtg-275.myshopify.com/products/IPROTECT-PROTECTOR?variant=47915115937930" TargetMode="External"/><Relationship Id="rId340" Type="http://schemas.openxmlformats.org/officeDocument/2006/relationships/hyperlink" Target="https://rtg-275.myshopify.com/products/IPROTECT-PROTECTOR?variant=47915115905162" TargetMode="External"/><Relationship Id="rId103" Type="http://schemas.openxmlformats.org/officeDocument/2006/relationships/hyperlink" Target="https://rtg-275.myshopify.com/products/TUFT-NEEDLE-STITCH-TN9-1?variant=47915106566282" TargetMode="External"/><Relationship Id="rId224" Type="http://schemas.openxmlformats.org/officeDocument/2006/relationships/hyperlink" Target="https://rtg-275.myshopify.com/products/SERIES-ONE-EXTRA-FIRM?variant=47915111219338" TargetMode="External"/><Relationship Id="rId345" Type="http://schemas.openxmlformats.org/officeDocument/2006/relationships/hyperlink" Target="https://rtg-275.myshopify.com/products/DRI-TEC-CRIB-PROTECTOR?variant=47915116167306" TargetMode="External"/><Relationship Id="rId102" Type="http://schemas.openxmlformats.org/officeDocument/2006/relationships/hyperlink" Target="https://rtg-275.myshopify.com/products/TUFT-NEEDLE-STITCH-TN5-1?variant=47915106304138" TargetMode="External"/><Relationship Id="rId223" Type="http://schemas.openxmlformats.org/officeDocument/2006/relationships/hyperlink" Target="https://rtg-275.myshopify.com/products/SERIES-ONE-EXTRA-FIRM?variant=47915111186570" TargetMode="External"/><Relationship Id="rId344" Type="http://schemas.openxmlformats.org/officeDocument/2006/relationships/hyperlink" Target="https://rtg-275.myshopify.com/products/IPROTECT-CRIB-PROTECTOR?variant=47915116069002" TargetMode="External"/><Relationship Id="rId101" Type="http://schemas.openxmlformats.org/officeDocument/2006/relationships/hyperlink" Target="https://rtg-275.myshopify.com/products/TUFT-NEEDLE-STITCH-TN5-1?variant=47915106271370" TargetMode="External"/><Relationship Id="rId222" Type="http://schemas.openxmlformats.org/officeDocument/2006/relationships/hyperlink" Target="https://rtg-275.myshopify.com/products/SERIES-ONE-EXTRA-FIRM?variant=47915111153802" TargetMode="External"/><Relationship Id="rId343" Type="http://schemas.openxmlformats.org/officeDocument/2006/relationships/hyperlink" Target="https://rtg-275.myshopify.com/products/IPROTECT-PROTECTOR?variant=47915116003466" TargetMode="External"/><Relationship Id="rId100" Type="http://schemas.openxmlformats.org/officeDocument/2006/relationships/hyperlink" Target="https://rtg-275.myshopify.com/products/TUFT-NEEDLE-STITCH-TN5-1?variant=47915106238602" TargetMode="External"/><Relationship Id="rId221" Type="http://schemas.openxmlformats.org/officeDocument/2006/relationships/hyperlink" Target="https://rtg-275.myshopify.com/products/SERIES-ONE-EXTRA-FIRM?variant=47915111121034" TargetMode="External"/><Relationship Id="rId342" Type="http://schemas.openxmlformats.org/officeDocument/2006/relationships/hyperlink" Target="https://rtg-275.myshopify.com/products/IPROTECT-PROTECTOR?variant=47915115970698" TargetMode="External"/><Relationship Id="rId217" Type="http://schemas.openxmlformats.org/officeDocument/2006/relationships/hyperlink" Target="https://rtg-275.myshopify.com/products/PEBBLEBROOK?variant=47915110957194" TargetMode="External"/><Relationship Id="rId338" Type="http://schemas.openxmlformats.org/officeDocument/2006/relationships/hyperlink" Target="https://rtg-275.myshopify.com/products/IPROTECT-PROTECTOR?variant=47915115839626" TargetMode="External"/><Relationship Id="rId216" Type="http://schemas.openxmlformats.org/officeDocument/2006/relationships/hyperlink" Target="https://rtg-275.myshopify.com/products/PEBBLEBROOK?variant=47915110924426" TargetMode="External"/><Relationship Id="rId337" Type="http://schemas.openxmlformats.org/officeDocument/2006/relationships/hyperlink" Target="https://rtg-275.myshopify.com/products/RTG-SLEEP-5900?variant=47915115774090" TargetMode="External"/><Relationship Id="rId215" Type="http://schemas.openxmlformats.org/officeDocument/2006/relationships/hyperlink" Target="https://rtg-275.myshopify.com/products/PEBBLEBROOK?variant=47915110891658" TargetMode="External"/><Relationship Id="rId336" Type="http://schemas.openxmlformats.org/officeDocument/2006/relationships/hyperlink" Target="https://rtg-275.myshopify.com/products/RTG-SLEEP-5900?variant=47915115741322" TargetMode="External"/><Relationship Id="rId214" Type="http://schemas.openxmlformats.org/officeDocument/2006/relationships/hyperlink" Target="https://rtg-275.myshopify.com/products/PEBBLEBROOK?variant=47915110858890" TargetMode="External"/><Relationship Id="rId335" Type="http://schemas.openxmlformats.org/officeDocument/2006/relationships/hyperlink" Target="https://rtg-275.myshopify.com/products/RTG-SLEEP-5900?variant=47915115708554" TargetMode="External"/><Relationship Id="rId219" Type="http://schemas.openxmlformats.org/officeDocument/2006/relationships/hyperlink" Target="https://rtg-275.myshopify.com/products/PEBBLEBROOK?variant=47915111022730" TargetMode="External"/><Relationship Id="rId218" Type="http://schemas.openxmlformats.org/officeDocument/2006/relationships/hyperlink" Target="https://rtg-275.myshopify.com/products/PEBBLEBROOK?variant=47915110989962" TargetMode="External"/><Relationship Id="rId339" Type="http://schemas.openxmlformats.org/officeDocument/2006/relationships/hyperlink" Target="https://rtg-275.myshopify.com/products/IPROTECT-PROTECTOR?variant=47915115872394" TargetMode="External"/><Relationship Id="rId330" Type="http://schemas.openxmlformats.org/officeDocument/2006/relationships/hyperlink" Target="https://rtg-275.myshopify.com/products/RTG-SLEEP-2900?variant=47915115446410" TargetMode="External"/><Relationship Id="rId213" Type="http://schemas.openxmlformats.org/officeDocument/2006/relationships/hyperlink" Target="https://rtg-275.myshopify.com/products/CASTLE-ROCK?variant=47915110793354" TargetMode="External"/><Relationship Id="rId334" Type="http://schemas.openxmlformats.org/officeDocument/2006/relationships/hyperlink" Target="https://rtg-275.myshopify.com/products/RTG-SLEEP-3900?variant=47915115675786" TargetMode="External"/><Relationship Id="rId212" Type="http://schemas.openxmlformats.org/officeDocument/2006/relationships/hyperlink" Target="https://rtg-275.myshopify.com/products/CASTLE-ROCK?variant=47915110760586" TargetMode="External"/><Relationship Id="rId333" Type="http://schemas.openxmlformats.org/officeDocument/2006/relationships/hyperlink" Target="https://rtg-275.myshopify.com/products/RTG-SLEEP-3900?variant=47915115643018" TargetMode="External"/><Relationship Id="rId211" Type="http://schemas.openxmlformats.org/officeDocument/2006/relationships/hyperlink" Target="https://rtg-275.myshopify.com/products/CASTLE-ROCK?variant=47915110727818" TargetMode="External"/><Relationship Id="rId332" Type="http://schemas.openxmlformats.org/officeDocument/2006/relationships/hyperlink" Target="https://rtg-275.myshopify.com/products/RTG-SLEEP-3900?variant=47915115610250" TargetMode="External"/><Relationship Id="rId210" Type="http://schemas.openxmlformats.org/officeDocument/2006/relationships/hyperlink" Target="https://rtg-275.myshopify.com/products/CASTLE-ROCK?variant=47915110695050" TargetMode="External"/><Relationship Id="rId331" Type="http://schemas.openxmlformats.org/officeDocument/2006/relationships/hyperlink" Target="https://rtg-275.myshopify.com/products/RTG-SLEEP-2900?variant=47915115479178" TargetMode="External"/><Relationship Id="rId370" Type="http://schemas.openxmlformats.org/officeDocument/2006/relationships/hyperlink" Target="https://rtg-275.myshopify.com/products/BREEZE-PRO-HI-2-0?variant=47915117904010" TargetMode="External"/><Relationship Id="rId129" Type="http://schemas.openxmlformats.org/officeDocument/2006/relationships/hyperlink" Target="https://rtg-275.myshopify.com/products/BAY-DREAMER?variant=47915107614858" TargetMode="External"/><Relationship Id="rId128" Type="http://schemas.openxmlformats.org/officeDocument/2006/relationships/hyperlink" Target="https://rtg-275.myshopify.com/products/BAY-DREAMER?variant=47915107582090" TargetMode="External"/><Relationship Id="rId249" Type="http://schemas.openxmlformats.org/officeDocument/2006/relationships/hyperlink" Target="https://rtg-275.myshopify.com/products/LUX-ESTATE-ELITE?variant=47915112104074" TargetMode="External"/><Relationship Id="rId127" Type="http://schemas.openxmlformats.org/officeDocument/2006/relationships/hyperlink" Target="https://rtg-275.myshopify.com/products/BAY-DREAMER?variant=47915107549322" TargetMode="External"/><Relationship Id="rId248" Type="http://schemas.openxmlformats.org/officeDocument/2006/relationships/hyperlink" Target="https://rtg-275.myshopify.com/products/LUX-ESTATE-ELITE?variant=47915112071306" TargetMode="External"/><Relationship Id="rId369" Type="http://schemas.openxmlformats.org/officeDocument/2006/relationships/hyperlink" Target="https://rtg-275.myshopify.com/products/BREEZE-PRO-LO-2-0-KG?variant=47915117838474" TargetMode="External"/><Relationship Id="rId126" Type="http://schemas.openxmlformats.org/officeDocument/2006/relationships/hyperlink" Target="https://rtg-275.myshopify.com/products/BAY-DREAMER?variant=47915107516554" TargetMode="External"/><Relationship Id="rId247" Type="http://schemas.openxmlformats.org/officeDocument/2006/relationships/hyperlink" Target="https://rtg-275.myshopify.com/products/LUX-ESTATE-ELITE?variant=47915112038538" TargetMode="External"/><Relationship Id="rId368" Type="http://schemas.openxmlformats.org/officeDocument/2006/relationships/hyperlink" Target="https://rtg-275.myshopify.com/products/BREEZE-PRO-LO-2-0?variant=47915117772938" TargetMode="External"/><Relationship Id="rId121" Type="http://schemas.openxmlformats.org/officeDocument/2006/relationships/hyperlink" Target="https://rtg-275.myshopify.com/products/BROAD-PEAK-MEDIUM-HYBRID?variant=47915107319946" TargetMode="External"/><Relationship Id="rId242" Type="http://schemas.openxmlformats.org/officeDocument/2006/relationships/hyperlink" Target="https://rtg-275.myshopify.com/products/ESTATE-FIRM-TT?variant=47915111874698" TargetMode="External"/><Relationship Id="rId363" Type="http://schemas.openxmlformats.org/officeDocument/2006/relationships/hyperlink" Target="https://rtg-275.myshopify.com/products/ADAPT-PROADJUST?variant=47915117412490" TargetMode="External"/><Relationship Id="rId120" Type="http://schemas.openxmlformats.org/officeDocument/2006/relationships/hyperlink" Target="https://rtg-275.myshopify.com/products/BROAD-PEAK-MEDIUM-HYBRID?variant=47915107287178" TargetMode="External"/><Relationship Id="rId241" Type="http://schemas.openxmlformats.org/officeDocument/2006/relationships/hyperlink" Target="https://rtg-275.myshopify.com/products/ESTATE-FIRM-TT?variant=47915111841930" TargetMode="External"/><Relationship Id="rId362" Type="http://schemas.openxmlformats.org/officeDocument/2006/relationships/hyperlink" Target="https://rtg-275.myshopify.com/products/ADAPT-PROADJUST?variant=47915117379722" TargetMode="External"/><Relationship Id="rId240" Type="http://schemas.openxmlformats.org/officeDocument/2006/relationships/hyperlink" Target="https://rtg-275.myshopify.com/products/ESTATE-FIRM-TT?variant=47915111809162" TargetMode="External"/><Relationship Id="rId361" Type="http://schemas.openxmlformats.org/officeDocument/2006/relationships/hyperlink" Target="https://rtg-275.myshopify.com/products/STEARNS-AND-FOSTER-LATEX?variant=47915117314186" TargetMode="External"/><Relationship Id="rId360" Type="http://schemas.openxmlformats.org/officeDocument/2006/relationships/hyperlink" Target="https://rtg-275.myshopify.com/products/FRAMES?variant=47915117248650" TargetMode="External"/><Relationship Id="rId125" Type="http://schemas.openxmlformats.org/officeDocument/2006/relationships/hyperlink" Target="https://rtg-275.myshopify.com/products/BROAD-PEAK-MEDIUM-HYBRID?variant=47915107451018" TargetMode="External"/><Relationship Id="rId246" Type="http://schemas.openxmlformats.org/officeDocument/2006/relationships/hyperlink" Target="https://rtg-275.myshopify.com/products/ESTATE-FIRM-PT?variant=47915112005770" TargetMode="External"/><Relationship Id="rId367" Type="http://schemas.openxmlformats.org/officeDocument/2006/relationships/hyperlink" Target="https://rtg-275.myshopify.com/products/ADAPT-PRO-HI-2-0?variant=47915117609098" TargetMode="External"/><Relationship Id="rId124" Type="http://schemas.openxmlformats.org/officeDocument/2006/relationships/hyperlink" Target="https://rtg-275.myshopify.com/products/BROAD-PEAK-MEDIUM-HYBRID?variant=47915107418250" TargetMode="External"/><Relationship Id="rId245" Type="http://schemas.openxmlformats.org/officeDocument/2006/relationships/hyperlink" Target="https://rtg-275.myshopify.com/products/ESTATE-FIRM-PT?variant=47915111973002" TargetMode="External"/><Relationship Id="rId366" Type="http://schemas.openxmlformats.org/officeDocument/2006/relationships/hyperlink" Target="https://rtg-275.myshopify.com/products/ADAPT-PRO-HI-2-0?variant=47915117576330" TargetMode="External"/><Relationship Id="rId123" Type="http://schemas.openxmlformats.org/officeDocument/2006/relationships/hyperlink" Target="https://rtg-275.myshopify.com/products/BROAD-PEAK-MEDIUM-HYBRID?variant=47915107385482" TargetMode="External"/><Relationship Id="rId244" Type="http://schemas.openxmlformats.org/officeDocument/2006/relationships/hyperlink" Target="https://rtg-275.myshopify.com/products/ESTATE-FIRM-PT?variant=47915111940234" TargetMode="External"/><Relationship Id="rId365" Type="http://schemas.openxmlformats.org/officeDocument/2006/relationships/hyperlink" Target="https://rtg-275.myshopify.com/products/ADAPT-PRO-LO-2-0?variant=47915117510794" TargetMode="External"/><Relationship Id="rId122" Type="http://schemas.openxmlformats.org/officeDocument/2006/relationships/hyperlink" Target="https://rtg-275.myshopify.com/products/BROAD-PEAK-MEDIUM-HYBRID?variant=47915107352714" TargetMode="External"/><Relationship Id="rId243" Type="http://schemas.openxmlformats.org/officeDocument/2006/relationships/hyperlink" Target="https://rtg-275.myshopify.com/products/ESTATE-FIRM-PT?variant=47915111907466" TargetMode="External"/><Relationship Id="rId364" Type="http://schemas.openxmlformats.org/officeDocument/2006/relationships/hyperlink" Target="https://rtg-275.myshopify.com/products/ADAPT-PRO-LO-2-0?variant=47915117478026" TargetMode="External"/><Relationship Id="rId95" Type="http://schemas.openxmlformats.org/officeDocument/2006/relationships/hyperlink" Target="https://rtg-275.myshopify.com/products/TUFT-NEEDLE-STITCH-TN3-1?variant=47915106041994" TargetMode="External"/><Relationship Id="rId94" Type="http://schemas.openxmlformats.org/officeDocument/2006/relationships/hyperlink" Target="https://rtg-275.myshopify.com/products/TUFT-NEEDLE-STITCH-TN3-1?variant=47915106009226" TargetMode="External"/><Relationship Id="rId97" Type="http://schemas.openxmlformats.org/officeDocument/2006/relationships/hyperlink" Target="https://rtg-275.myshopify.com/products/TUFT-NEEDLE-STITCH-TN5-1?variant=47915106140298" TargetMode="External"/><Relationship Id="rId96" Type="http://schemas.openxmlformats.org/officeDocument/2006/relationships/hyperlink" Target="https://rtg-275.myshopify.com/products/TUFT-NEEDLE-STITCH-TN3-1?variant=47915106074762" TargetMode="External"/><Relationship Id="rId99" Type="http://schemas.openxmlformats.org/officeDocument/2006/relationships/hyperlink" Target="https://rtg-275.myshopify.com/products/TUFT-NEEDLE-STITCH-TN5-1?variant=47915106205834" TargetMode="External"/><Relationship Id="rId98" Type="http://schemas.openxmlformats.org/officeDocument/2006/relationships/hyperlink" Target="https://rtg-275.myshopify.com/products/TUFT-NEEDLE-STITCH-TN5-1?variant=47915106173066" TargetMode="External"/><Relationship Id="rId91" Type="http://schemas.openxmlformats.org/officeDocument/2006/relationships/hyperlink" Target="https://rtg-275.myshopify.com/products/TUFT-NEEDLE-STITCH-TN3-1?variant=47915105910922" TargetMode="External"/><Relationship Id="rId90" Type="http://schemas.openxmlformats.org/officeDocument/2006/relationships/hyperlink" Target="https://rtg-275.myshopify.com/products/LUXEBREEZE-2-0-FIRM?variant=47915105747082" TargetMode="External"/><Relationship Id="rId93" Type="http://schemas.openxmlformats.org/officeDocument/2006/relationships/hyperlink" Target="https://rtg-275.myshopify.com/products/TUFT-NEEDLE-STITCH-TN3-1?variant=47915105976458" TargetMode="External"/><Relationship Id="rId92" Type="http://schemas.openxmlformats.org/officeDocument/2006/relationships/hyperlink" Target="https://rtg-275.myshopify.com/products/TUFT-NEEDLE-STITCH-TN3-1?variant=47915105943690" TargetMode="External"/><Relationship Id="rId118" Type="http://schemas.openxmlformats.org/officeDocument/2006/relationships/hyperlink" Target="https://rtg-275.myshopify.com/products/MOLECULE-CORE?variant=47915107188874" TargetMode="External"/><Relationship Id="rId239" Type="http://schemas.openxmlformats.org/officeDocument/2006/relationships/hyperlink" Target="https://rtg-275.myshopify.com/products/ESTATE-FIRM-TT?variant=47915111776394" TargetMode="External"/><Relationship Id="rId117" Type="http://schemas.openxmlformats.org/officeDocument/2006/relationships/hyperlink" Target="https://rtg-275.myshopify.com/products/MOLECULE-CORE?variant=47915107156106" TargetMode="External"/><Relationship Id="rId238" Type="http://schemas.openxmlformats.org/officeDocument/2006/relationships/hyperlink" Target="https://rtg-275.myshopify.com/products/ESTATE-FIRM-TT?variant=47915111743626" TargetMode="External"/><Relationship Id="rId359" Type="http://schemas.openxmlformats.org/officeDocument/2006/relationships/hyperlink" Target="https://rtg-275.myshopify.com/products/FRAMES?variant=47915117215882" TargetMode="External"/><Relationship Id="rId116" Type="http://schemas.openxmlformats.org/officeDocument/2006/relationships/hyperlink" Target="https://rtg-275.myshopify.com/products/MOLECULE-CORE?variant=47915107123338" TargetMode="External"/><Relationship Id="rId237" Type="http://schemas.openxmlformats.org/officeDocument/2006/relationships/hyperlink" Target="https://rtg-275.myshopify.com/products/ESTATE-FIRM-TT?variant=47915111710858" TargetMode="External"/><Relationship Id="rId358" Type="http://schemas.openxmlformats.org/officeDocument/2006/relationships/hyperlink" Target="https://rtg-275.myshopify.com/products/CASPER-SNOW-PILLOW?variant=47915117150346" TargetMode="External"/><Relationship Id="rId115" Type="http://schemas.openxmlformats.org/officeDocument/2006/relationships/hyperlink" Target="https://rtg-275.myshopify.com/products/MOLECULE-CORE?variant=47915107090570" TargetMode="External"/><Relationship Id="rId236" Type="http://schemas.openxmlformats.org/officeDocument/2006/relationships/hyperlink" Target="https://rtg-275.myshopify.com/products/SERIES-THREE-PLUSH-PILLOW-TOP?variant=47915111678090" TargetMode="External"/><Relationship Id="rId357" Type="http://schemas.openxmlformats.org/officeDocument/2006/relationships/hyperlink" Target="https://rtg-275.myshopify.com/products/CASPER-SNOW-PILLOW?variant=47915117117578" TargetMode="External"/><Relationship Id="rId119" Type="http://schemas.openxmlformats.org/officeDocument/2006/relationships/hyperlink" Target="https://rtg-275.myshopify.com/products/MOLECULE-CORE?variant=47915107221642" TargetMode="External"/><Relationship Id="rId110" Type="http://schemas.openxmlformats.org/officeDocument/2006/relationships/hyperlink" Target="https://rtg-275.myshopify.com/products/TUFT-NEEDLE-TN1?variant=47915106861194" TargetMode="External"/><Relationship Id="rId231" Type="http://schemas.openxmlformats.org/officeDocument/2006/relationships/hyperlink" Target="https://rtg-275.myshopify.com/products/SERIES-THREE-PLUSH-PILLOW-TOP?variant=47915111514250" TargetMode="External"/><Relationship Id="rId352" Type="http://schemas.openxmlformats.org/officeDocument/2006/relationships/hyperlink" Target="https://rtg-275.myshopify.com/products/VER-TEX-PROTECTOR?variant=47915116626058" TargetMode="External"/><Relationship Id="rId230" Type="http://schemas.openxmlformats.org/officeDocument/2006/relationships/hyperlink" Target="https://rtg-275.myshopify.com/products/SERIES-TWO-MEDIUM?variant=47915111415946" TargetMode="External"/><Relationship Id="rId351" Type="http://schemas.openxmlformats.org/officeDocument/2006/relationships/hyperlink" Target="https://rtg-275.myshopify.com/products/VER-TEX-PROTECTOR?variant=47915116593290" TargetMode="External"/><Relationship Id="rId350" Type="http://schemas.openxmlformats.org/officeDocument/2006/relationships/hyperlink" Target="https://rtg-275.myshopify.com/products/VER-TEX-PROTECTOR?variant=47915116560522" TargetMode="External"/><Relationship Id="rId114" Type="http://schemas.openxmlformats.org/officeDocument/2006/relationships/hyperlink" Target="https://rtg-275.myshopify.com/products/TUFT-NEEDLE-TN1?variant=47915106992266" TargetMode="External"/><Relationship Id="rId235" Type="http://schemas.openxmlformats.org/officeDocument/2006/relationships/hyperlink" Target="https://rtg-275.myshopify.com/products/SERIES-THREE-PLUSH-PILLOW-TOP?variant=47915111645322" TargetMode="External"/><Relationship Id="rId356" Type="http://schemas.openxmlformats.org/officeDocument/2006/relationships/hyperlink" Target="https://rtg-275.myshopify.com/products/IPROTECT-PILLOW-PROTECTOR?variant=47915116822666" TargetMode="External"/><Relationship Id="rId113" Type="http://schemas.openxmlformats.org/officeDocument/2006/relationships/hyperlink" Target="https://rtg-275.myshopify.com/products/TUFT-NEEDLE-TN1?variant=47915106959498" TargetMode="External"/><Relationship Id="rId234" Type="http://schemas.openxmlformats.org/officeDocument/2006/relationships/hyperlink" Target="https://rtg-275.myshopify.com/products/SERIES-THREE-PLUSH-PILLOW-TOP?variant=47915111612554" TargetMode="External"/><Relationship Id="rId355" Type="http://schemas.openxmlformats.org/officeDocument/2006/relationships/hyperlink" Target="https://rtg-275.myshopify.com/products/IPROTECT-PILLOW-PROTECTOR?variant=47915116789898" TargetMode="External"/><Relationship Id="rId112" Type="http://schemas.openxmlformats.org/officeDocument/2006/relationships/hyperlink" Target="https://rtg-275.myshopify.com/products/TUFT-NEEDLE-TN1?variant=47915106926730" TargetMode="External"/><Relationship Id="rId233" Type="http://schemas.openxmlformats.org/officeDocument/2006/relationships/hyperlink" Target="https://rtg-275.myshopify.com/products/SERIES-THREE-PLUSH-PILLOW-TOP?variant=47915111579786" TargetMode="External"/><Relationship Id="rId354" Type="http://schemas.openxmlformats.org/officeDocument/2006/relationships/hyperlink" Target="https://rtg-275.myshopify.com/products/VER-TEX-PROTECTOR?variant=47915116691594" TargetMode="External"/><Relationship Id="rId111" Type="http://schemas.openxmlformats.org/officeDocument/2006/relationships/hyperlink" Target="https://rtg-275.myshopify.com/products/TUFT-NEEDLE-TN1?variant=47915106893962" TargetMode="External"/><Relationship Id="rId232" Type="http://schemas.openxmlformats.org/officeDocument/2006/relationships/hyperlink" Target="https://rtg-275.myshopify.com/products/SERIES-THREE-PLUSH-PILLOW-TOP?variant=47915111547018" TargetMode="External"/><Relationship Id="rId353" Type="http://schemas.openxmlformats.org/officeDocument/2006/relationships/hyperlink" Target="https://rtg-275.myshopify.com/products/VER-TEX-PROTECTOR?variant=47915116658826" TargetMode="External"/><Relationship Id="rId305" Type="http://schemas.openxmlformats.org/officeDocument/2006/relationships/hyperlink" Target="https://rtg-275.myshopify.com/products/BASELOGIC-SILVER?variant=47915114430602" TargetMode="External"/><Relationship Id="rId304" Type="http://schemas.openxmlformats.org/officeDocument/2006/relationships/hyperlink" Target="https://rtg-275.myshopify.com/products/BASELOGIC-SILVER?variant=47915114397834" TargetMode="External"/><Relationship Id="rId303" Type="http://schemas.openxmlformats.org/officeDocument/2006/relationships/hyperlink" Target="https://rtg-275.myshopify.com/products/BASELOGIC-SILVER?variant=47915114365066" TargetMode="External"/><Relationship Id="rId302" Type="http://schemas.openxmlformats.org/officeDocument/2006/relationships/hyperlink" Target="https://rtg-275.myshopify.com/products/BASELOGIC-SILVER?variant=47915114332298" TargetMode="External"/><Relationship Id="rId309" Type="http://schemas.openxmlformats.org/officeDocument/2006/relationships/hyperlink" Target="https://rtg-275.myshopify.com/products/BASELOGIC-PLATINUM?variant=47915114594442" TargetMode="External"/><Relationship Id="rId308" Type="http://schemas.openxmlformats.org/officeDocument/2006/relationships/hyperlink" Target="https://rtg-275.myshopify.com/products/BASELOGIC-PLATINUM?variant=47915114561674" TargetMode="External"/><Relationship Id="rId307" Type="http://schemas.openxmlformats.org/officeDocument/2006/relationships/hyperlink" Target="https://rtg-275.myshopify.com/products/BASELOGIC-PLATINUM?variant=47915114528906" TargetMode="External"/><Relationship Id="rId306" Type="http://schemas.openxmlformats.org/officeDocument/2006/relationships/hyperlink" Target="https://rtg-275.myshopify.com/products/BASELOGIC-SILVER?variant=47915114463370" TargetMode="External"/><Relationship Id="rId301" Type="http://schemas.openxmlformats.org/officeDocument/2006/relationships/hyperlink" Target="https://rtg-275.myshopify.com/products/EASE-4-0?variant=47915114266762" TargetMode="External"/><Relationship Id="rId300" Type="http://schemas.openxmlformats.org/officeDocument/2006/relationships/hyperlink" Target="https://rtg-275.myshopify.com/products/EASE-4-0?variant=47915114233994" TargetMode="External"/><Relationship Id="rId206" Type="http://schemas.openxmlformats.org/officeDocument/2006/relationships/hyperlink" Target="https://rtg-275.myshopify.com/products/BRIERWOOD?variant=47915110465674" TargetMode="External"/><Relationship Id="rId327" Type="http://schemas.openxmlformats.org/officeDocument/2006/relationships/hyperlink" Target="https://rtg-275.myshopify.com/products/TEMPUR-ERGO-PROSMART?variant=47915115315338" TargetMode="External"/><Relationship Id="rId205" Type="http://schemas.openxmlformats.org/officeDocument/2006/relationships/hyperlink" Target="https://rtg-275.myshopify.com/products/BRIERWOOD?variant=47915110432906" TargetMode="External"/><Relationship Id="rId326" Type="http://schemas.openxmlformats.org/officeDocument/2006/relationships/hyperlink" Target="https://rtg-275.myshopify.com/products/TEMPUR-ERGO-PROSMART?variant=47915115282570" TargetMode="External"/><Relationship Id="rId204" Type="http://schemas.openxmlformats.org/officeDocument/2006/relationships/hyperlink" Target="https://rtg-275.myshopify.com/products/BRIERWOOD?variant=47915110400138" TargetMode="External"/><Relationship Id="rId325" Type="http://schemas.openxmlformats.org/officeDocument/2006/relationships/hyperlink" Target="https://rtg-275.myshopify.com/products/TEMPUR-ERGO-PROSMART?variant=47915115249802" TargetMode="External"/><Relationship Id="rId203" Type="http://schemas.openxmlformats.org/officeDocument/2006/relationships/hyperlink" Target="https://rtg-275.myshopify.com/products/BRIERWOOD?variant=47915110367370" TargetMode="External"/><Relationship Id="rId324" Type="http://schemas.openxmlformats.org/officeDocument/2006/relationships/hyperlink" Target="https://rtg-275.myshopify.com/products/TEMPUR-ERGO-PROSMART?variant=47915115217034" TargetMode="External"/><Relationship Id="rId209" Type="http://schemas.openxmlformats.org/officeDocument/2006/relationships/hyperlink" Target="https://rtg-275.myshopify.com/products/CASTLE-ROCK?variant=47915110662282" TargetMode="External"/><Relationship Id="rId208" Type="http://schemas.openxmlformats.org/officeDocument/2006/relationships/hyperlink" Target="https://rtg-275.myshopify.com/products/CASTLE-ROCK?variant=47915110629514" TargetMode="External"/><Relationship Id="rId329" Type="http://schemas.openxmlformats.org/officeDocument/2006/relationships/hyperlink" Target="https://rtg-275.myshopify.com/products/RTG-SLEEP-2900?variant=47915115413642" TargetMode="External"/><Relationship Id="rId207" Type="http://schemas.openxmlformats.org/officeDocument/2006/relationships/hyperlink" Target="https://rtg-275.myshopify.com/products/BRIERWOOD?variant=47915110498442" TargetMode="External"/><Relationship Id="rId328" Type="http://schemas.openxmlformats.org/officeDocument/2006/relationships/hyperlink" Target="https://rtg-275.myshopify.com/products/TEMPUR-ERGO-PROSMART?variant=47915115348106" TargetMode="External"/><Relationship Id="rId202" Type="http://schemas.openxmlformats.org/officeDocument/2006/relationships/hyperlink" Target="https://rtg-275.myshopify.com/products/BRIERWOOD?variant=47915110334602" TargetMode="External"/><Relationship Id="rId323" Type="http://schemas.openxmlformats.org/officeDocument/2006/relationships/hyperlink" Target="https://rtg-275.myshopify.com/products/TEMPUR-ERGO-3-0-SMART?variant=47915115151498" TargetMode="External"/><Relationship Id="rId201" Type="http://schemas.openxmlformats.org/officeDocument/2006/relationships/hyperlink" Target="https://rtg-275.myshopify.com/products/NORTHGATE?variant=47915110301834" TargetMode="External"/><Relationship Id="rId322" Type="http://schemas.openxmlformats.org/officeDocument/2006/relationships/hyperlink" Target="https://rtg-275.myshopify.com/products/TEMPUR-ERGO-3-0-SMART?variant=47915115118730" TargetMode="External"/><Relationship Id="rId200" Type="http://schemas.openxmlformats.org/officeDocument/2006/relationships/hyperlink" Target="https://rtg-275.myshopify.com/products/NORTHGATE?variant=47915110269066" TargetMode="External"/><Relationship Id="rId321" Type="http://schemas.openxmlformats.org/officeDocument/2006/relationships/hyperlink" Target="https://rtg-275.myshopify.com/products/TEMPUR-ERGO-3-0-SMART?variant=47915115085962" TargetMode="External"/><Relationship Id="rId320" Type="http://schemas.openxmlformats.org/officeDocument/2006/relationships/hyperlink" Target="https://rtg-275.myshopify.com/products/TEMPUR-ERGO-3-0-SMART?variant=47915115053194" TargetMode="External"/><Relationship Id="rId316" Type="http://schemas.openxmlformats.org/officeDocument/2006/relationships/hyperlink" Target="https://rtg-275.myshopify.com/products/TEMPUR-ERGO-3-0?variant=47915114889354" TargetMode="External"/><Relationship Id="rId315" Type="http://schemas.openxmlformats.org/officeDocument/2006/relationships/hyperlink" Target="https://rtg-275.myshopify.com/products/TEMPUR-ERGO-3-0?variant=47915114856586" TargetMode="External"/><Relationship Id="rId314" Type="http://schemas.openxmlformats.org/officeDocument/2006/relationships/hyperlink" Target="https://rtg-275.myshopify.com/products/TEMPUR-ERGO-3-0?variant=47915114823818" TargetMode="External"/><Relationship Id="rId313" Type="http://schemas.openxmlformats.org/officeDocument/2006/relationships/hyperlink" Target="https://rtg-275.myshopify.com/products/TEMPUR-ERGO-3-0?variant=47915114791050" TargetMode="External"/><Relationship Id="rId319" Type="http://schemas.openxmlformats.org/officeDocument/2006/relationships/hyperlink" Target="https://rtg-275.myshopify.com/products/TEMPUR-ERGO-3-0-SMART?variant=47915115020426" TargetMode="External"/><Relationship Id="rId318" Type="http://schemas.openxmlformats.org/officeDocument/2006/relationships/hyperlink" Target="https://rtg-275.myshopify.com/products/TEMPUR-ERGO-3-0-SMART?variant=47915114987658" TargetMode="External"/><Relationship Id="rId317" Type="http://schemas.openxmlformats.org/officeDocument/2006/relationships/hyperlink" Target="https://rtg-275.myshopify.com/products/TEMPUR-ERGO-3-0?variant=47915114922122" TargetMode="External"/><Relationship Id="rId312" Type="http://schemas.openxmlformats.org/officeDocument/2006/relationships/hyperlink" Target="https://rtg-275.myshopify.com/products/TEMPUR-ERGO-3-0?variant=47915114758282" TargetMode="External"/><Relationship Id="rId311" Type="http://schemas.openxmlformats.org/officeDocument/2006/relationships/hyperlink" Target="https://rtg-275.myshopify.com/products/BASELOGIC-PLATINUM?variant=47915114659978" TargetMode="External"/><Relationship Id="rId310" Type="http://schemas.openxmlformats.org/officeDocument/2006/relationships/hyperlink" Target="https://rtg-275.myshopify.com/products/BASELOGIC-PLATINUM?variant=47915114627210"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assets.roomstogo.com/product/rtg-sleep-5900-twin-xl-adjustable-base_50808951_alt-image-4" TargetMode="External"/><Relationship Id="rId22" Type="http://schemas.openxmlformats.org/officeDocument/2006/relationships/hyperlink" Target="https://assets.roomstogo.com/product/rtg-sleep-2900-twin-xl-head-up-only-adjustable-base_50808836_alt-image-1" TargetMode="External"/><Relationship Id="rId21" Type="http://schemas.openxmlformats.org/officeDocument/2006/relationships/hyperlink" Target="https://assets.roomstogo.com/product/rtg-sleep-2900-twin-xl-head-up-only-adjustable-base_50808836_image-item" TargetMode="External"/><Relationship Id="rId24" Type="http://schemas.openxmlformats.org/officeDocument/2006/relationships/hyperlink" Target="https://assets.roomstogo.com/product/sealy-ease-40-twin-xl-adjustable-base_50818609_alt-image-1" TargetMode="External"/><Relationship Id="rId23" Type="http://schemas.openxmlformats.org/officeDocument/2006/relationships/hyperlink" Target="https://assets.roomstogo.com/product/sealy-ease-40-twin-xl-adjustable-base_50818609_image-item" TargetMode="External"/><Relationship Id="rId26" Type="http://schemas.openxmlformats.org/officeDocument/2006/relationships/hyperlink" Target="https://assets.roomstogo.com/product/glideaway-metal-twin-full-frame-with-glides_59951004_dim-image" TargetMode="External"/><Relationship Id="rId25" Type="http://schemas.openxmlformats.org/officeDocument/2006/relationships/hyperlink" Target="https://assets.roomstogo.com/product/glideaway-metal-twin-full-frame-with-glides_59951004_image-item" TargetMode="External"/><Relationship Id="rId28" Type="http://schemas.openxmlformats.org/officeDocument/2006/relationships/hyperlink" Target="https://assets.roomstogo.com/product/glideaway-q-k-ckg-frame-with-glides_59951016_dim-image" TargetMode="External"/><Relationship Id="rId27" Type="http://schemas.openxmlformats.org/officeDocument/2006/relationships/hyperlink" Target="https://assets.roomstogo.com/product/glideaway-q-k-ckg-frame-with-glides_59951016_image-item" TargetMode="External"/><Relationship Id="rId29" Type="http://schemas.openxmlformats.org/officeDocument/2006/relationships/drawing" Target="../drawings/drawing5.xml"/><Relationship Id="rId11" Type="http://schemas.openxmlformats.org/officeDocument/2006/relationships/hyperlink" Target="https://assets.roomstogo.com/product/sealy-ease-40-twin-xl-adjustable-base_50818609_image-item" TargetMode="External"/><Relationship Id="rId10" Type="http://schemas.openxmlformats.org/officeDocument/2006/relationships/hyperlink" Target="https://assets.roomstogo.com/product/tempur-pedic-ergo-30-smart-twin-xl-adjustable-base_50808189_alt-image-1" TargetMode="External"/><Relationship Id="rId13" Type="http://schemas.openxmlformats.org/officeDocument/2006/relationships/hyperlink" Target="https://assets.roomstogo.com/product/tempur-pedic-ergo-prosmart-twin-xl-adjustable-base_50808191_image-item" TargetMode="External"/><Relationship Id="rId12" Type="http://schemas.openxmlformats.org/officeDocument/2006/relationships/hyperlink" Target="https://assets.roomstogo.com/product/sealy-ease-40-twin-xl-adjustable-base_50818609_alt-image-1" TargetMode="External"/><Relationship Id="rId15" Type="http://schemas.openxmlformats.org/officeDocument/2006/relationships/hyperlink" Target="https://assets.roomstogo.com/product/rtg-sleep-2900-twin-xl-head-up-only-adjustable-base_50808836_image-item" TargetMode="External"/><Relationship Id="rId14" Type="http://schemas.openxmlformats.org/officeDocument/2006/relationships/hyperlink" Target="https://assets.roomstogo.com/product/tempur-pedic-ergo-prosmart-twin-xl-adjustable-base_50808191_alt-image-1" TargetMode="External"/><Relationship Id="rId17" Type="http://schemas.openxmlformats.org/officeDocument/2006/relationships/hyperlink" Target="https://assets.roomstogo.com/product/rtg-sleep-3900-twin-xl-adjustable-base_50808898_image-item" TargetMode="External"/><Relationship Id="rId16" Type="http://schemas.openxmlformats.org/officeDocument/2006/relationships/hyperlink" Target="https://assets.roomstogo.com/product/rtg-sleep-2900-twin-xl-head-up-only-adjustable-base_50808836_alt-image-1" TargetMode="External"/><Relationship Id="rId19" Type="http://schemas.openxmlformats.org/officeDocument/2006/relationships/hyperlink" Target="https://assets.roomstogo.com/product/rtg-sleep-5900-twin-xl-adjustable-base_50808951_image-item" TargetMode="External"/><Relationship Id="rId18" Type="http://schemas.openxmlformats.org/officeDocument/2006/relationships/hyperlink" Target="https://assets.roomstogo.com/product/rtg-sleep-3900-twin-xl-adjustable-base_50808898_dim-image" TargetMode="External"/><Relationship Id="rId1" Type="http://schemas.openxmlformats.org/officeDocument/2006/relationships/hyperlink" Target="https://assets.roomstogo.com/product/sealy-ease-40-twin-xl-adjustable-base_50818609_image-item" TargetMode="External"/><Relationship Id="rId2" Type="http://schemas.openxmlformats.org/officeDocument/2006/relationships/hyperlink" Target="https://assets.roomstogo.com/product/sealy-ease-40-twin-xl-adjustable-base_50818609_alt-image-1" TargetMode="External"/><Relationship Id="rId3" Type="http://schemas.openxmlformats.org/officeDocument/2006/relationships/hyperlink" Target="https://assets.roomstogo.com/product/beautyrest-baselogic-silver-twin-xl-adjustable-base_50800486_image-item" TargetMode="External"/><Relationship Id="rId4" Type="http://schemas.openxmlformats.org/officeDocument/2006/relationships/hyperlink" Target="https://assets.roomstogo.com/product/beautyrest-baselogic-silver-twin-xl-adjustable-base_50800486_dim-image" TargetMode="External"/><Relationship Id="rId9" Type="http://schemas.openxmlformats.org/officeDocument/2006/relationships/hyperlink" Target="https://assets.roomstogo.com/product/tempur-pedic-ergo-30-smart-twin-xl-adjustable-base_50808189_image-item" TargetMode="External"/><Relationship Id="rId5" Type="http://schemas.openxmlformats.org/officeDocument/2006/relationships/hyperlink" Target="https://assets.roomstogo.com/product/beautyrest-baselogic-platinum-twin-xl-adjustable-base_50800513_image-item" TargetMode="External"/><Relationship Id="rId6" Type="http://schemas.openxmlformats.org/officeDocument/2006/relationships/hyperlink" Target="https://assets.roomstogo.com/product/beautyrest-baselogic-platinum-twin-xl-adjustable-base_50800513_alt-image-1" TargetMode="External"/><Relationship Id="rId7" Type="http://schemas.openxmlformats.org/officeDocument/2006/relationships/hyperlink" Target="https://assets.roomstogo.com/product/tempur-pedic-ergo-30-twin-xl-adjustable-base_50808165_image-item" TargetMode="External"/><Relationship Id="rId8" Type="http://schemas.openxmlformats.org/officeDocument/2006/relationships/hyperlink" Target="https://assets.roomstogo.com/product/tempur-pedic-ergo-30-twin-xl-adjustable-base_50808165_alt-image-1"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assets.roomstogo.com/product/molecule-core-twin-xl-mattress_50010570_alt-image-1" TargetMode="External"/><Relationship Id="rId42" Type="http://schemas.openxmlformats.org/officeDocument/2006/relationships/hyperlink" Target="https://assets.roomstogo.com/product/beautyrest-select-broad-peak-medium-hybrid-twin-xl-mattress_50010671_alt-image-1" TargetMode="External"/><Relationship Id="rId41" Type="http://schemas.openxmlformats.org/officeDocument/2006/relationships/hyperlink" Target="https://assets.roomstogo.com/product/beautyrest-select-broad-peak-medium-hybrid-twin-xl-mattress_50010671_image-item" TargetMode="External"/><Relationship Id="rId44" Type="http://schemas.openxmlformats.org/officeDocument/2006/relationships/hyperlink" Target="https://assets.roomstogo.com/product/tommy-bahama-bay-dreamer-twin-mattress_50111055_alt-image-1" TargetMode="External"/><Relationship Id="rId43" Type="http://schemas.openxmlformats.org/officeDocument/2006/relationships/hyperlink" Target="https://assets.roomstogo.com/product/tommy-bahama-bay-dreamer-twin-mattress_50111055_image-item" TargetMode="External"/><Relationship Id="rId46" Type="http://schemas.openxmlformats.org/officeDocument/2006/relationships/hyperlink" Target="https://assets.roomstogo.com/product/tommy-bahama-make-waves-twin-mattress_50111067_alt-image-1" TargetMode="External"/><Relationship Id="rId45" Type="http://schemas.openxmlformats.org/officeDocument/2006/relationships/hyperlink" Target="https://assets.roomstogo.com/product/tommy-bahama-make-waves-twin-mattress_50111067_image-item" TargetMode="External"/><Relationship Id="rId48" Type="http://schemas.openxmlformats.org/officeDocument/2006/relationships/hyperlink" Target="https://assets.roomstogo.com/product/tommy-bahama-seaside-serenity-twin-mattress_50111079_alt-image-1" TargetMode="External"/><Relationship Id="rId47" Type="http://schemas.openxmlformats.org/officeDocument/2006/relationships/hyperlink" Target="https://assets.roomstogo.com/product/tommy-bahama-seaside-serenity-twin-mattress_50111079_image-item" TargetMode="External"/><Relationship Id="rId49" Type="http://schemas.openxmlformats.org/officeDocument/2006/relationships/hyperlink" Target="https://assets.roomstogo.com/product/therapedic-forester-twin-xl-mattress_50011344_image-item" TargetMode="External"/><Relationship Id="rId31" Type="http://schemas.openxmlformats.org/officeDocument/2006/relationships/hyperlink" Target="https://assets.roomstogo.com/product/tuft-needle-stitch-tn31-twin-xl-mattress_50009870_image-item" TargetMode="External"/><Relationship Id="rId30" Type="http://schemas.openxmlformats.org/officeDocument/2006/relationships/hyperlink" Target="https://assets.roomstogo.com/product/tempur-pedic-luxebreeze-20-firm-twin-xl-mattress_50007624_image-item" TargetMode="External"/><Relationship Id="rId33" Type="http://schemas.openxmlformats.org/officeDocument/2006/relationships/hyperlink" Target="https://assets.roomstogo.com/product/tuft-needle-stitch-tn51-twin-xl-mattress_50009882_image-item" TargetMode="External"/><Relationship Id="rId32" Type="http://schemas.openxmlformats.org/officeDocument/2006/relationships/hyperlink" Target="https://assets.roomstogo.com/product/tuft-needle-stitch-tn31-twin-xl-mattress_50009870_alt-image-1" TargetMode="External"/><Relationship Id="rId35" Type="http://schemas.openxmlformats.org/officeDocument/2006/relationships/hyperlink" Target="https://assets.roomstogo.com/product/tuft-needle-stitch-tn91-twin-xl-mattress_50009907_image-item" TargetMode="External"/><Relationship Id="rId34" Type="http://schemas.openxmlformats.org/officeDocument/2006/relationships/hyperlink" Target="https://assets.roomstogo.com/product/tuft-needle-stitch-tn51-twin-xl-mattress_50009882_alt-image-1" TargetMode="External"/><Relationship Id="rId37" Type="http://schemas.openxmlformats.org/officeDocument/2006/relationships/hyperlink" Target="https://assets.roomstogo.com/product/tuft-needle-tn1-twin-xl-mattress_50009933_image-item" TargetMode="External"/><Relationship Id="rId36" Type="http://schemas.openxmlformats.org/officeDocument/2006/relationships/hyperlink" Target="https://assets.roomstogo.com/product/tuft-needle-stitch-tn91-twin-xl-mattress_50009907_alt-image-1" TargetMode="External"/><Relationship Id="rId39" Type="http://schemas.openxmlformats.org/officeDocument/2006/relationships/hyperlink" Target="https://assets.roomstogo.com/product/molecule-core-twin-xl-mattress_50010570_image-item" TargetMode="External"/><Relationship Id="rId38" Type="http://schemas.openxmlformats.org/officeDocument/2006/relationships/hyperlink" Target="https://assets.roomstogo.com/product/tuft-needle-tn1-twin-xl-mattress_50009933_alt-image-1" TargetMode="External"/><Relationship Id="rId20" Type="http://schemas.openxmlformats.org/officeDocument/2006/relationships/hyperlink" Target="https://assets.roomstogo.com/product/tempur-pedic-proadapt-20-medium-twin-xl-mattress_50007523_alt-image-1" TargetMode="External"/><Relationship Id="rId22" Type="http://schemas.openxmlformats.org/officeDocument/2006/relationships/hyperlink" Target="https://assets.roomstogo.com/product/tempur-pedic-proadapt-20-soft-twin-xl-mattress_50007535_alt-image-1" TargetMode="External"/><Relationship Id="rId21" Type="http://schemas.openxmlformats.org/officeDocument/2006/relationships/hyperlink" Target="https://assets.roomstogo.com/product/tempur-pedic-proadapt-20-soft-twin-xl-mattress_50007535_image-item" TargetMode="External"/><Relationship Id="rId24" Type="http://schemas.openxmlformats.org/officeDocument/2006/relationships/hyperlink" Target="https://assets.roomstogo.com/product/tempur-pedic-proadapt-20-medium-hybrid-twin-xl-mattress_50007559_alt-image-1" TargetMode="External"/><Relationship Id="rId23" Type="http://schemas.openxmlformats.org/officeDocument/2006/relationships/hyperlink" Target="https://assets.roomstogo.com/product/tempur-pedic-proadapt-20-medium-hybrid-twin-xl-mattress_50007559_image-item" TargetMode="External"/><Relationship Id="rId26" Type="http://schemas.openxmlformats.org/officeDocument/2006/relationships/hyperlink" Target="https://assets.roomstogo.com/product/tempur-pedic-luxeadapt-20-soft-twin-xl-mattress_50007561_alt-image-1" TargetMode="External"/><Relationship Id="rId25" Type="http://schemas.openxmlformats.org/officeDocument/2006/relationships/hyperlink" Target="https://assets.roomstogo.com/product/tempur-pedic-luxeadapt-20-soft-twin-xl-mattress_50007561_image-item" TargetMode="External"/><Relationship Id="rId28" Type="http://schemas.openxmlformats.org/officeDocument/2006/relationships/hyperlink" Target="https://assets.roomstogo.com/product/tempur-pedic-luxeadapt-20-medium-hybrid-twin-xl-mattress_50007585_alt-image-1" TargetMode="External"/><Relationship Id="rId27" Type="http://schemas.openxmlformats.org/officeDocument/2006/relationships/hyperlink" Target="https://assets.roomstogo.com/product/tempur-pedic-luxeadapt-20-medium-hybrid-twin-xl-mattress_50007585_image-item" TargetMode="External"/><Relationship Id="rId29" Type="http://schemas.openxmlformats.org/officeDocument/2006/relationships/hyperlink" Target="https://assets.roomstogo.com/product/tempur-pedic-luxebreeze-20-firm-twin-xl-mattress_50007624_image-item" TargetMode="External"/><Relationship Id="rId11" Type="http://schemas.openxmlformats.org/officeDocument/2006/relationships/hyperlink" Target="https://assets.roomstogo.com/product/tempur-pedic-adapt-20-medium-twin-xl-mattress_50007460_image-item" TargetMode="External"/><Relationship Id="rId10" Type="http://schemas.openxmlformats.org/officeDocument/2006/relationships/hyperlink" Target="https://assets.roomstogo.com/product/kingsdown-smart-match-20-twin-xl-mattress_50001773_alt-image-1" TargetMode="External"/><Relationship Id="rId13" Type="http://schemas.openxmlformats.org/officeDocument/2006/relationships/hyperlink" Target="https://assets.roomstogo.com/product/tempur-pedic-adapt-20-medium-hybrid-twin-xl-mattress_50007472_image-item" TargetMode="External"/><Relationship Id="rId12" Type="http://schemas.openxmlformats.org/officeDocument/2006/relationships/hyperlink" Target="https://assets.roomstogo.com/product/tempur-pedic-adapt-20-medium-twin-xl-mattress_50007460_alt-image-1" TargetMode="External"/><Relationship Id="rId15" Type="http://schemas.openxmlformats.org/officeDocument/2006/relationships/hyperlink" Target="https://assets.roomstogo.com/product/tempur-pedic-proadapt-20-firm-twin-xl-mattress_50007484_image-item" TargetMode="External"/><Relationship Id="rId14" Type="http://schemas.openxmlformats.org/officeDocument/2006/relationships/hyperlink" Target="https://assets.roomstogo.com/product/tempur-pedic-adapt-20-medium-hybrid-twin-xl-mattress_50007472_alt-image-1" TargetMode="External"/><Relationship Id="rId17" Type="http://schemas.openxmlformats.org/officeDocument/2006/relationships/hyperlink" Target="https://assets.roomstogo.com/product/tempur-pedic-probreeze-20-medium-hybrid-twin-xl-mattress_50007511_image-item" TargetMode="External"/><Relationship Id="rId16" Type="http://schemas.openxmlformats.org/officeDocument/2006/relationships/hyperlink" Target="https://assets.roomstogo.com/product/tempur-pedic-proadapt-20-firm-twin-xl-mattress_50007484_alt-image-1" TargetMode="External"/><Relationship Id="rId19" Type="http://schemas.openxmlformats.org/officeDocument/2006/relationships/hyperlink" Target="https://assets.roomstogo.com/product/tempur-pedic-proadapt-20-medium-twin-xl-mattress_50007523_image-item" TargetMode="External"/><Relationship Id="rId18" Type="http://schemas.openxmlformats.org/officeDocument/2006/relationships/hyperlink" Target="https://assets.roomstogo.com/product/tempur-pedic-probreeze-20-medium-hybrid-twin-xl-mattress_50007511_image-item" TargetMode="External"/><Relationship Id="rId84" Type="http://schemas.openxmlformats.org/officeDocument/2006/relationships/hyperlink" Target="https://assets.roomstogo.com/product/beautyrest-black-series-one-extra-firm-twin-xl-mattress_50037057_alt-image-1" TargetMode="External"/><Relationship Id="rId83" Type="http://schemas.openxmlformats.org/officeDocument/2006/relationships/hyperlink" Target="https://assets.roomstogo.com/product/beautyrest-black-series-one-extra-firm-twin-xl-mattress_50037057_image-item" TargetMode="External"/><Relationship Id="rId86" Type="http://schemas.openxmlformats.org/officeDocument/2006/relationships/hyperlink" Target="https://assets.roomstogo.com/product/beautyrest-black-series-two-medium-twin-xl-mattress_50037134_alt-image-1" TargetMode="External"/><Relationship Id="rId85" Type="http://schemas.openxmlformats.org/officeDocument/2006/relationships/hyperlink" Target="https://assets.roomstogo.com/product/beautyrest-black-series-two-medium-twin-xl-mattress_50037134_image-item" TargetMode="External"/><Relationship Id="rId88" Type="http://schemas.openxmlformats.org/officeDocument/2006/relationships/hyperlink" Target="https://assets.roomstogo.com/product/beautyrest-black-series-three-plush-pillow-top-twin-xl-mattress_50037223_alt-image-1" TargetMode="External"/><Relationship Id="rId87" Type="http://schemas.openxmlformats.org/officeDocument/2006/relationships/hyperlink" Target="https://assets.roomstogo.com/product/beautyrest-black-series-three-plush-pillow-top-twin-xl-mattress_50037223_image-item" TargetMode="External"/><Relationship Id="rId89" Type="http://schemas.openxmlformats.org/officeDocument/2006/relationships/hyperlink" Target="https://assets.roomstogo.com/product/stearns-and-foster-estate-firm-tight-top-twin-xl-mattress_50048036_image-item" TargetMode="External"/><Relationship Id="rId80" Type="http://schemas.openxmlformats.org/officeDocument/2006/relationships/hyperlink" Target="https://assets.roomstogo.com/product/sealy-posturepedic-castle-rock-twin-xl-mattress_50029202_alt-image-1" TargetMode="External"/><Relationship Id="rId82" Type="http://schemas.openxmlformats.org/officeDocument/2006/relationships/hyperlink" Target="https://assets.roomstogo.com/product/sealy-posturepedic-pebblebrook-twin-xl-mattress_50029214_alt-image-1" TargetMode="External"/><Relationship Id="rId81" Type="http://schemas.openxmlformats.org/officeDocument/2006/relationships/hyperlink" Target="https://assets.roomstogo.com/product/sealy-posturepedic-pebblebrook-twin-xl-mattress_50029214_image-item" TargetMode="External"/><Relationship Id="rId1" Type="http://schemas.openxmlformats.org/officeDocument/2006/relationships/hyperlink" Target="https://assets.roomstogo.com/product/casper-cloud-one-twin-xl-mattress_50000543_image-item" TargetMode="External"/><Relationship Id="rId2" Type="http://schemas.openxmlformats.org/officeDocument/2006/relationships/hyperlink" Target="https://assets.roomstogo.com/product/casper-cloud-one-twin-xl-mattress_50000543_alt-image-1" TargetMode="External"/><Relationship Id="rId3" Type="http://schemas.openxmlformats.org/officeDocument/2006/relationships/hyperlink" Target="https://assets.roomstogo.com/product/casper-snow-20-twin-xl-mattress_50000579_image-item" TargetMode="External"/><Relationship Id="rId4" Type="http://schemas.openxmlformats.org/officeDocument/2006/relationships/hyperlink" Target="https://assets.roomstogo.com/product/casper-snow-20-twin-xl-mattress_50000579_alt-image-1" TargetMode="External"/><Relationship Id="rId9" Type="http://schemas.openxmlformats.org/officeDocument/2006/relationships/hyperlink" Target="https://assets.roomstogo.com/product/kingsdown-smart-match-20-twin-xl-mattress_50001773_image-item" TargetMode="External"/><Relationship Id="rId5" Type="http://schemas.openxmlformats.org/officeDocument/2006/relationships/hyperlink" Target="https://assets.roomstogo.com/product/casper-snow-max-twin-xl-mattress_50000581_image-item" TargetMode="External"/><Relationship Id="rId6" Type="http://schemas.openxmlformats.org/officeDocument/2006/relationships/hyperlink" Target="https://assets.roomstogo.com/product/casper-snow-max-twin-xl-mattress_50000581_alt-image-1" TargetMode="External"/><Relationship Id="rId7" Type="http://schemas.openxmlformats.org/officeDocument/2006/relationships/hyperlink" Target="https://assets.roomstogo.com/product/casper-onyx-20-twin-xl-mattress_50000682_image-item" TargetMode="External"/><Relationship Id="rId8" Type="http://schemas.openxmlformats.org/officeDocument/2006/relationships/hyperlink" Target="https://assets.roomstogo.com/product/casper-onyx-20-twin-xl-mattress_50000682_alt-image-1" TargetMode="External"/><Relationship Id="rId73" Type="http://schemas.openxmlformats.org/officeDocument/2006/relationships/hyperlink" Target="https://assets.roomstogo.com/product/sealy-correct-comfort-bradford-hill-twin-xl-mattress_50028969_image-item" TargetMode="External"/><Relationship Id="rId72" Type="http://schemas.openxmlformats.org/officeDocument/2006/relationships/hyperlink" Target="https://assets.roomstogo.com/product/sealy-correct-comfort-kerry-park-twin-xl-mattress_50028957_alt-image-1" TargetMode="External"/><Relationship Id="rId75" Type="http://schemas.openxmlformats.org/officeDocument/2006/relationships/hyperlink" Target="https://assets.roomstogo.com/product/posturepedic-northgate-twin-xl-mattress_50028971_image-item" TargetMode="External"/><Relationship Id="rId74" Type="http://schemas.openxmlformats.org/officeDocument/2006/relationships/hyperlink" Target="https://assets.roomstogo.com/product/sealy-correct-comfort-bradford-hill-twin-xl-mattress_50028969_alt-image-1" TargetMode="External"/><Relationship Id="rId77" Type="http://schemas.openxmlformats.org/officeDocument/2006/relationships/hyperlink" Target="https://assets.roomstogo.com/product/sealy-posturepedic-brierwood-twin-xl-mattress_50029175_image-item" TargetMode="External"/><Relationship Id="rId76" Type="http://schemas.openxmlformats.org/officeDocument/2006/relationships/hyperlink" Target="https://assets.roomstogo.com/product/posturepedic-northgate-twin-xl-mattress_50028971_alt-image-1" TargetMode="External"/><Relationship Id="rId79" Type="http://schemas.openxmlformats.org/officeDocument/2006/relationships/hyperlink" Target="https://assets.roomstogo.com/product/sealy-posturepedic-castle-rock-twin-xl-mattress_50029202_image-item" TargetMode="External"/><Relationship Id="rId78" Type="http://schemas.openxmlformats.org/officeDocument/2006/relationships/hyperlink" Target="https://assets.roomstogo.com/product/sealy-posturepedic-brierwood-twin-xl-mattress_50029175_alt-image-1" TargetMode="External"/><Relationship Id="rId71" Type="http://schemas.openxmlformats.org/officeDocument/2006/relationships/hyperlink" Target="https://assets.roomstogo.com/product/sealy-correct-comfort-kerry-park-twin-xl-mattress_50028957_image-item" TargetMode="External"/><Relationship Id="rId70" Type="http://schemas.openxmlformats.org/officeDocument/2006/relationships/hyperlink" Target="https://assets.roomstogo.com/product/beautyrest-world-class-level-four-plush-pillow-top-twin-xl-mattress_50025800_alt-image-13" TargetMode="External"/><Relationship Id="rId132" Type="http://schemas.openxmlformats.org/officeDocument/2006/relationships/hyperlink" Target="https://assets.roomstogo.com/product/stearns-and-foster-lux-estate-firm-pillow-top-twin-xl-mattress_50048101_alt-image-1" TargetMode="External"/><Relationship Id="rId131" Type="http://schemas.openxmlformats.org/officeDocument/2006/relationships/hyperlink" Target="https://assets.roomstogo.com/product/stearns-and-foster-lux-estate-firm-pillow-top-twin-xl-mattress_50048101_image-item" TargetMode="External"/><Relationship Id="rId130" Type="http://schemas.openxmlformats.org/officeDocument/2006/relationships/hyperlink" Target="https://assets.roomstogo.com/product/helix-kids-twin-mattress_50170047_alt-image-6" TargetMode="External"/><Relationship Id="rId133" Type="http://schemas.openxmlformats.org/officeDocument/2006/relationships/drawing" Target="../drawings/drawing6.xml"/><Relationship Id="rId62" Type="http://schemas.openxmlformats.org/officeDocument/2006/relationships/hyperlink" Target="https://assets.roomstogo.com/product/drew-jonathan-arada-canyon-twin-xl-mattress_50020925_alt-image-1" TargetMode="External"/><Relationship Id="rId61" Type="http://schemas.openxmlformats.org/officeDocument/2006/relationships/hyperlink" Target="https://assets.roomstogo.com/product/drew-jonathan-arada-canyon-twin-xl-mattress_50020925_image-item" TargetMode="External"/><Relationship Id="rId64" Type="http://schemas.openxmlformats.org/officeDocument/2006/relationships/hyperlink" Target="https://assets.roomstogo.com/product/beauty-sleep-oceana-mist-medium-hybrid-twin-xl-mattress_50022210_alt-image-8" TargetMode="External"/><Relationship Id="rId63" Type="http://schemas.openxmlformats.org/officeDocument/2006/relationships/hyperlink" Target="https://assets.roomstogo.com/product/beauty-sleep-oceana-mist-medium-hybrid-twin-xl-mattress_50022210_image-item" TargetMode="External"/><Relationship Id="rId66" Type="http://schemas.openxmlformats.org/officeDocument/2006/relationships/hyperlink" Target="https://assets.roomstogo.com/product/beautyrest-world-class-level-three-plush-twin-xl-mattress_50025747_alt-image-13" TargetMode="External"/><Relationship Id="rId65" Type="http://schemas.openxmlformats.org/officeDocument/2006/relationships/hyperlink" Target="https://assets.roomstogo.com/product/beautyrest-world-class-level-three-plush-twin-xl-mattress_50025747_image-item" TargetMode="External"/><Relationship Id="rId68" Type="http://schemas.openxmlformats.org/officeDocument/2006/relationships/hyperlink" Target="https://assets.roomstogo.com/product/beautyrest-world-class-level-three-medium-pillow-top-twin-xl-mattress_50025759_alt-image-13" TargetMode="External"/><Relationship Id="rId67" Type="http://schemas.openxmlformats.org/officeDocument/2006/relationships/hyperlink" Target="https://assets.roomstogo.com/product/beautyrest-world-class-level-three-medium-pillow-top-twin-xl-mattress_50025759_image-item" TargetMode="External"/><Relationship Id="rId60" Type="http://schemas.openxmlformats.org/officeDocument/2006/relationships/hyperlink" Target="https://assets.roomstogo.com/product/drew-jonathan-capertee-twin-xl-mattress_50020862_alt-image-1" TargetMode="External"/><Relationship Id="rId69" Type="http://schemas.openxmlformats.org/officeDocument/2006/relationships/hyperlink" Target="https://assets.roomstogo.com/product/beautyrest-world-class-level-four-plush-pillow-top-twin-xl-mattress_50025800_image-item" TargetMode="External"/><Relationship Id="rId51" Type="http://schemas.openxmlformats.org/officeDocument/2006/relationships/hyperlink" Target="https://assets.roomstogo.com/product/therapedic-darlington-twin-xl-mattress_50011368_image-item" TargetMode="External"/><Relationship Id="rId50" Type="http://schemas.openxmlformats.org/officeDocument/2006/relationships/hyperlink" Target="https://assets.roomstogo.com/product/therapedic-forester-twin-xl-mattress_50011344_alt-image-1" TargetMode="External"/><Relationship Id="rId53" Type="http://schemas.openxmlformats.org/officeDocument/2006/relationships/hyperlink" Target="https://assets.roomstogo.com/product/therapedic-hastings-twin-xl-mattress_50011382_image-item" TargetMode="External"/><Relationship Id="rId52" Type="http://schemas.openxmlformats.org/officeDocument/2006/relationships/hyperlink" Target="https://assets.roomstogo.com/product/therapedic-darlington-twin-xl-mattress_50011368_alt-image-1" TargetMode="External"/><Relationship Id="rId55" Type="http://schemas.openxmlformats.org/officeDocument/2006/relationships/hyperlink" Target="https://assets.roomstogo.com/product/therapedic-kaanapali-twin-xl-mattress_50011457_image-item" TargetMode="External"/><Relationship Id="rId54" Type="http://schemas.openxmlformats.org/officeDocument/2006/relationships/hyperlink" Target="https://assets.roomstogo.com/product/therapedic-hastings-twin-xl-mattress_50011382_alt-image-1" TargetMode="External"/><Relationship Id="rId57" Type="http://schemas.openxmlformats.org/officeDocument/2006/relationships/hyperlink" Target="https://assets.roomstogo.com/product/therapedic-ledo-twin-xl-mattress_50011495_image-item" TargetMode="External"/><Relationship Id="rId56" Type="http://schemas.openxmlformats.org/officeDocument/2006/relationships/hyperlink" Target="https://assets.roomstogo.com/product/therapedic-kaanapali-twin-xl-mattress_50011457_alt-image-1" TargetMode="External"/><Relationship Id="rId59" Type="http://schemas.openxmlformats.org/officeDocument/2006/relationships/hyperlink" Target="https://assets.roomstogo.com/product/drew-jonathan-capertee-twin-xl-mattress_50020862_image-item" TargetMode="External"/><Relationship Id="rId58" Type="http://schemas.openxmlformats.org/officeDocument/2006/relationships/hyperlink" Target="https://assets.roomstogo.com/product/therapedic-ledo-twin-xl-mattress_50011495_alt-image-1" TargetMode="External"/><Relationship Id="rId107" Type="http://schemas.openxmlformats.org/officeDocument/2006/relationships/hyperlink" Target="https://assets.roomstogo.com/product/simmons-kids-delight-twin-mattress_50110938_image-item" TargetMode="External"/><Relationship Id="rId106" Type="http://schemas.openxmlformats.org/officeDocument/2006/relationships/hyperlink" Target="https://assets.roomstogo.com/product/tuft-needle-kids-glee-twin-mattress_50109923_alt-image-1" TargetMode="External"/><Relationship Id="rId105" Type="http://schemas.openxmlformats.org/officeDocument/2006/relationships/hyperlink" Target="https://assets.roomstogo.com/product/tuft-needle-kids-glee-twin-mattress_50109923_image-item" TargetMode="External"/><Relationship Id="rId104" Type="http://schemas.openxmlformats.org/officeDocument/2006/relationships/hyperlink" Target="https://assets.roomstogo.com/product/kingsdown-grenson-twin-mattress_50102296_alt-image-1" TargetMode="External"/><Relationship Id="rId109" Type="http://schemas.openxmlformats.org/officeDocument/2006/relationships/hyperlink" Target="https://assets.roomstogo.com/product/simmons-kids-glad-twin-mattress_50110940_image-item" TargetMode="External"/><Relationship Id="rId108" Type="http://schemas.openxmlformats.org/officeDocument/2006/relationships/hyperlink" Target="https://assets.roomstogo.com/product/simmons-kids-delight-twin-mattress_50110938_alt-image-1" TargetMode="External"/><Relationship Id="rId103" Type="http://schemas.openxmlformats.org/officeDocument/2006/relationships/hyperlink" Target="https://assets.roomstogo.com/product/kingsdown-grenson-twin-mattress_50102296_image-item" TargetMode="External"/><Relationship Id="rId102" Type="http://schemas.openxmlformats.org/officeDocument/2006/relationships/hyperlink" Target="https://assets.roomstogo.com/product/kingsdown-hawke-twin-mattress_50102284_alt-image-1" TargetMode="External"/><Relationship Id="rId101" Type="http://schemas.openxmlformats.org/officeDocument/2006/relationships/hyperlink" Target="https://assets.roomstogo.com/product/kingsdown-hawke-twin-mattress_50102284_image-item" TargetMode="External"/><Relationship Id="rId100" Type="http://schemas.openxmlformats.org/officeDocument/2006/relationships/hyperlink" Target="https://assets.roomstogo.com/product/kingsdown-turnbull-twin-mattress_50102260_alt-image-1" TargetMode="External"/><Relationship Id="rId129" Type="http://schemas.openxmlformats.org/officeDocument/2006/relationships/hyperlink" Target="https://assets.roomstogo.com/product/helix-kids-twin-mattress_50170047_image-item" TargetMode="External"/><Relationship Id="rId128" Type="http://schemas.openxmlformats.org/officeDocument/2006/relationships/hyperlink" Target="https://assets.roomstogo.com/product/sealy-kids-z-505-twin-mattress_50152582_alt-image-1" TargetMode="External"/><Relationship Id="rId127" Type="http://schemas.openxmlformats.org/officeDocument/2006/relationships/hyperlink" Target="https://assets.roomstogo.com/product/sealy-kids-z-505-twin-mattress_50152582_image-item" TargetMode="External"/><Relationship Id="rId126" Type="http://schemas.openxmlformats.org/officeDocument/2006/relationships/hyperlink" Target="https://assets.roomstogo.com/product/sealy-kids-z-305-twin-mattress_50152570_alt-image-1" TargetMode="External"/><Relationship Id="rId121" Type="http://schemas.openxmlformats.org/officeDocument/2006/relationships/hyperlink" Target="https://assets.roomstogo.com/product/therapedic-impreza-twin-mattress_50111269_image-item" TargetMode="External"/><Relationship Id="rId120" Type="http://schemas.openxmlformats.org/officeDocument/2006/relationships/hyperlink" Target="https://assets.roomstogo.com/product/therapedic-hamell-twin-mattress_50111233_alt-image-1" TargetMode="External"/><Relationship Id="rId125" Type="http://schemas.openxmlformats.org/officeDocument/2006/relationships/hyperlink" Target="https://assets.roomstogo.com/product/sealy-kids-z-305-twin-mattress_50152570_image-item" TargetMode="External"/><Relationship Id="rId124" Type="http://schemas.openxmlformats.org/officeDocument/2006/relationships/hyperlink" Target="https://assets.roomstogo.com/product/tempur-kids-project-z-twin-mattress_50134116_alt-image-1" TargetMode="External"/><Relationship Id="rId123" Type="http://schemas.openxmlformats.org/officeDocument/2006/relationships/hyperlink" Target="https://assets.roomstogo.com/product/tempur-kids-twin-mattress_50134116_image-item" TargetMode="External"/><Relationship Id="rId122" Type="http://schemas.openxmlformats.org/officeDocument/2006/relationships/hyperlink" Target="https://assets.roomstogo.com/product/therapedic-impreza-twin-mattress_50111269_alt-image-1" TargetMode="External"/><Relationship Id="rId95" Type="http://schemas.openxmlformats.org/officeDocument/2006/relationships/hyperlink" Target="https://assets.roomstogo.com/product/helix-midnight-luxe-twin-xl-mattress_50070110_image-item" TargetMode="External"/><Relationship Id="rId94" Type="http://schemas.openxmlformats.org/officeDocument/2006/relationships/hyperlink" Target="https://assets.roomstogo.com/product/stearns-and-foster-lux-estate-elite-medium-pillow-top-twin-xl-mattress_50048276_alt-image-1" TargetMode="External"/><Relationship Id="rId97" Type="http://schemas.openxmlformats.org/officeDocument/2006/relationships/hyperlink" Target="https://assets.roomstogo.com/product/helix-midnight-elite-twin-xl-mattress_50070122_image-item" TargetMode="External"/><Relationship Id="rId96" Type="http://schemas.openxmlformats.org/officeDocument/2006/relationships/hyperlink" Target="https://assets.roomstogo.com/product/helix-midnight-luxe-twin-xl-mattress_50070110_alt-image-1" TargetMode="External"/><Relationship Id="rId99" Type="http://schemas.openxmlformats.org/officeDocument/2006/relationships/hyperlink" Target="https://assets.roomstogo.com/product/kingsdown-turnbull-twin-mattress_50102260_image-item" TargetMode="External"/><Relationship Id="rId98" Type="http://schemas.openxmlformats.org/officeDocument/2006/relationships/hyperlink" Target="https://assets.roomstogo.com/product/helix-midnight-elite-twin-xl-mattress_50070122_alt-image-1" TargetMode="External"/><Relationship Id="rId91" Type="http://schemas.openxmlformats.org/officeDocument/2006/relationships/hyperlink" Target="https://assets.roomstogo.com/product/stearns-and-foster-estate-firm-pillow-top-twin-xl-mattress_50048050_image-item" TargetMode="External"/><Relationship Id="rId90" Type="http://schemas.openxmlformats.org/officeDocument/2006/relationships/hyperlink" Target="https://assets.roomstogo.com/product/stearns-and-foster-estate-firm-tight-top-twin-xl-mattress_50048036_alt-image-1" TargetMode="External"/><Relationship Id="rId93" Type="http://schemas.openxmlformats.org/officeDocument/2006/relationships/hyperlink" Target="https://assets.roomstogo.com/product/stearns-and-foster-lux-estate-elite-medium-pillow-top-twin-xl-mattress_50048276_image-item" TargetMode="External"/><Relationship Id="rId92" Type="http://schemas.openxmlformats.org/officeDocument/2006/relationships/hyperlink" Target="https://assets.roomstogo.com/product/stearns-and-foster-estate-firm-pillow-top-twin-xl-mattress_50048050_alt-image-1" TargetMode="External"/><Relationship Id="rId118" Type="http://schemas.openxmlformats.org/officeDocument/2006/relationships/hyperlink" Target="https://assets.roomstogo.com/product/therapedic-flourish-2-sided-twin-mattress_50111170_alt-image-1" TargetMode="External"/><Relationship Id="rId117" Type="http://schemas.openxmlformats.org/officeDocument/2006/relationships/hyperlink" Target="https://assets.roomstogo.com/product/therapedic-flourish-2-sided-twin-mattress_50111170_image-item" TargetMode="External"/><Relationship Id="rId116" Type="http://schemas.openxmlformats.org/officeDocument/2006/relationships/hyperlink" Target="https://assets.roomstogo.com/product/therapedic-creekmore-twin-mattress_50111168_alt-image-1" TargetMode="External"/><Relationship Id="rId115" Type="http://schemas.openxmlformats.org/officeDocument/2006/relationships/hyperlink" Target="https://assets.roomstogo.com/product/therapedic-creekmore-twin-mattress_50111168_image-item" TargetMode="External"/><Relationship Id="rId119" Type="http://schemas.openxmlformats.org/officeDocument/2006/relationships/hyperlink" Target="https://assets.roomstogo.com/product/therapedic-hamell-twin-mattress_50111233_image-item" TargetMode="External"/><Relationship Id="rId110" Type="http://schemas.openxmlformats.org/officeDocument/2006/relationships/hyperlink" Target="https://assets.roomstogo.com/product/simmons-kids-glad-twin-mattress_50110940_alt-image-1" TargetMode="External"/><Relationship Id="rId114" Type="http://schemas.openxmlformats.org/officeDocument/2006/relationships/hyperlink" Target="https://assets.roomstogo.com/product/therapedic-alder-twin-mattress_50111144_alt-image-1" TargetMode="External"/><Relationship Id="rId113" Type="http://schemas.openxmlformats.org/officeDocument/2006/relationships/hyperlink" Target="https://assets.roomstogo.com/product/therapedic-alder-twin-mattress_50111144_image-item" TargetMode="External"/><Relationship Id="rId112" Type="http://schemas.openxmlformats.org/officeDocument/2006/relationships/hyperlink" Target="https://assets.roomstogo.com/product/simmons-kids-happy-twin-mattress_50110952_alt-image-1" TargetMode="External"/><Relationship Id="rId111" Type="http://schemas.openxmlformats.org/officeDocument/2006/relationships/hyperlink" Target="https://assets.roomstogo.com/product/simmons-kids-happy-twin-mattress_50110952_image-ite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bedgear.com/products/dri-tec-mattress-protector" TargetMode="External"/><Relationship Id="rId190" Type="http://schemas.openxmlformats.org/officeDocument/2006/relationships/hyperlink" Target="https://bedgear.com/products/dri-tec-sheet-set" TargetMode="External"/><Relationship Id="rId42" Type="http://schemas.openxmlformats.org/officeDocument/2006/relationships/hyperlink" Target="https://bedgear.com/products/ver-tex-mattress-protector" TargetMode="External"/><Relationship Id="rId41" Type="http://schemas.openxmlformats.org/officeDocument/2006/relationships/hyperlink" Target="https://bedgear.com/cdn/shop/files/01-VT-Main_ba2fd5b4-a14e-47c0-942b-e9c2aea9a2f6.jpg" TargetMode="External"/><Relationship Id="rId44" Type="http://schemas.openxmlformats.org/officeDocument/2006/relationships/hyperlink" Target="https://bedgear.com/products/iprotect-mattress-protector" TargetMode="External"/><Relationship Id="rId194" Type="http://schemas.openxmlformats.org/officeDocument/2006/relationships/hyperlink" Target="https://bedgear.com/products/dri-tec-sheet-set" TargetMode="External"/><Relationship Id="rId43" Type="http://schemas.openxmlformats.org/officeDocument/2006/relationships/hyperlink" Target="https://bedgear.com/cdn/shop/files/01-IPROTECT-Main.jpg" TargetMode="External"/><Relationship Id="rId193" Type="http://schemas.openxmlformats.org/officeDocument/2006/relationships/hyperlink" Target="https://bedgear.com/cdn/shop/files/01-Grey-ProductShot-Stack_de9d1597-1c50-403a-a9af-2923ed02cd42.jpg" TargetMode="External"/><Relationship Id="rId46" Type="http://schemas.openxmlformats.org/officeDocument/2006/relationships/hyperlink" Target="https://bedgear.com/products/dri-tec-mattress-protector" TargetMode="External"/><Relationship Id="rId192" Type="http://schemas.openxmlformats.org/officeDocument/2006/relationships/hyperlink" Target="https://bedgear.com/products/dri-tec-sheet-set" TargetMode="External"/><Relationship Id="rId45" Type="http://schemas.openxmlformats.org/officeDocument/2006/relationships/hyperlink" Target="https://bedgear.com/cdn/shop/files/01-DT-Main.jpg" TargetMode="External"/><Relationship Id="rId191" Type="http://schemas.openxmlformats.org/officeDocument/2006/relationships/hyperlink" Target="https://bedgear.com/cdn/shop/files/01-Grey-ProductShot-Stack_de9d1597-1c50-403a-a9af-2923ed02cd42.jpg" TargetMode="External"/><Relationship Id="rId48" Type="http://schemas.openxmlformats.org/officeDocument/2006/relationships/hyperlink" Target="https://bedgear.com/products/ver-tex-mattress-protector" TargetMode="External"/><Relationship Id="rId187" Type="http://schemas.openxmlformats.org/officeDocument/2006/relationships/hyperlink" Target="https://bedgear.com/cdn/shop/files/01-Deep_Teal-ProductShot-Stack_f961bca3-7fcb-42f6-81f6-67472a9025f5.jpg" TargetMode="External"/><Relationship Id="rId47" Type="http://schemas.openxmlformats.org/officeDocument/2006/relationships/hyperlink" Target="https://bedgear.com/cdn/shop/files/01-VT-Main_ba2fd5b4-a14e-47c0-942b-e9c2aea9a2f6.jpg" TargetMode="External"/><Relationship Id="rId186" Type="http://schemas.openxmlformats.org/officeDocument/2006/relationships/hyperlink" Target="https://bedgear.com/products/hyper-cotton-sheet-set" TargetMode="External"/><Relationship Id="rId185" Type="http://schemas.openxmlformats.org/officeDocument/2006/relationships/hyperlink" Target="https://bedgear.com/cdn/shop/files/01-Deep_Teal-ProductShot-Stack_f961bca3-7fcb-42f6-81f6-67472a9025f5.jpg" TargetMode="External"/><Relationship Id="rId49" Type="http://schemas.openxmlformats.org/officeDocument/2006/relationships/hyperlink" Target="https://bedgear.com/cdn/shop/files/01-DT-Main.jpg" TargetMode="External"/><Relationship Id="rId184" Type="http://schemas.openxmlformats.org/officeDocument/2006/relationships/hyperlink" Target="https://bedgear.com/products/hyper-cotton-sheet-set" TargetMode="External"/><Relationship Id="rId189" Type="http://schemas.openxmlformats.org/officeDocument/2006/relationships/hyperlink" Target="https://bedgear.com/cdn/shop/files/01-Grey-ProductShot-Stack_de9d1597-1c50-403a-a9af-2923ed02cd42.jpg" TargetMode="External"/><Relationship Id="rId188" Type="http://schemas.openxmlformats.org/officeDocument/2006/relationships/hyperlink" Target="https://bedgear.com/products/hyper-cotton-sheet-set" TargetMode="External"/><Relationship Id="rId31" Type="http://schemas.openxmlformats.org/officeDocument/2006/relationships/hyperlink" Target="https://bedgear.com/cdn/shop/files/01-DT-Main.jpg" TargetMode="External"/><Relationship Id="rId30" Type="http://schemas.openxmlformats.org/officeDocument/2006/relationships/hyperlink" Target="https://bedgear.com/products/dri-tec-mattress-protector" TargetMode="External"/><Relationship Id="rId33" Type="http://schemas.openxmlformats.org/officeDocument/2006/relationships/hyperlink" Target="https://bedgear.com/cdn/shop/files/01-DT-Main.jpg" TargetMode="External"/><Relationship Id="rId183" Type="http://schemas.openxmlformats.org/officeDocument/2006/relationships/hyperlink" Target="https://bedgear.com/cdn/shop/files/01-Deep_Teal-ProductShot-Stack_f961bca3-7fcb-42f6-81f6-67472a9025f5.jpg" TargetMode="External"/><Relationship Id="rId32" Type="http://schemas.openxmlformats.org/officeDocument/2006/relationships/hyperlink" Target="https://bedgear.com/products/dri-tec-mattress-protector" TargetMode="External"/><Relationship Id="rId182" Type="http://schemas.openxmlformats.org/officeDocument/2006/relationships/hyperlink" Target="https://bedgear.com/products/ver-tex-sheet-set" TargetMode="External"/><Relationship Id="rId35" Type="http://schemas.openxmlformats.org/officeDocument/2006/relationships/hyperlink" Target="https://bedgear.com/cdn/shop/files/01-VT-Main_ba2fd5b4-a14e-47c0-942b-e9c2aea9a2f6.jpg" TargetMode="External"/><Relationship Id="rId181" Type="http://schemas.openxmlformats.org/officeDocument/2006/relationships/hyperlink" Target="https://bedgear.com/cdn/shop/files/01-MistyBlue-ProductShot-Stack_1af20743-1dcb-43b8-bd89-409acf86c5b2.jpg" TargetMode="External"/><Relationship Id="rId34" Type="http://schemas.openxmlformats.org/officeDocument/2006/relationships/hyperlink" Target="https://bedgear.com/products/dri-tec-mattress-protector" TargetMode="External"/><Relationship Id="rId180" Type="http://schemas.openxmlformats.org/officeDocument/2006/relationships/hyperlink" Target="https://bedgear.com/products/ver-tex-sheet-set" TargetMode="External"/><Relationship Id="rId37" Type="http://schemas.openxmlformats.org/officeDocument/2006/relationships/hyperlink" Target="https://bedgear.com/cdn/shop/files/01-IPROTECT-Main.jpg" TargetMode="External"/><Relationship Id="rId176" Type="http://schemas.openxmlformats.org/officeDocument/2006/relationships/hyperlink" Target="https://bedgear.com/products/ver-tex-sheet-set" TargetMode="External"/><Relationship Id="rId36" Type="http://schemas.openxmlformats.org/officeDocument/2006/relationships/hyperlink" Target="https://bedgear.com/products/ver-tex-mattress-protector" TargetMode="External"/><Relationship Id="rId175" Type="http://schemas.openxmlformats.org/officeDocument/2006/relationships/hyperlink" Target="https://bedgear.com/cdn/shop/files/01-MistyBlue-ProductShot-Stack_1af20743-1dcb-43b8-bd89-409acf86c5b2.jpg" TargetMode="External"/><Relationship Id="rId39" Type="http://schemas.openxmlformats.org/officeDocument/2006/relationships/hyperlink" Target="https://bedgear.com/cdn/shop/files/01-DT-Main.jpg" TargetMode="External"/><Relationship Id="rId174" Type="http://schemas.openxmlformats.org/officeDocument/2006/relationships/hyperlink" Target="https://bedgear.com/products/dri-tec-sheet-set" TargetMode="External"/><Relationship Id="rId38" Type="http://schemas.openxmlformats.org/officeDocument/2006/relationships/hyperlink" Target="https://bedgear.com/products/iprotect-mattress-protector" TargetMode="External"/><Relationship Id="rId173" Type="http://schemas.openxmlformats.org/officeDocument/2006/relationships/hyperlink" Target="https://bedgear.com/cdn/shop/files/01-Grey-ProductShot-Stack_de9d1597-1c50-403a-a9af-2923ed02cd42.jpg" TargetMode="External"/><Relationship Id="rId179" Type="http://schemas.openxmlformats.org/officeDocument/2006/relationships/hyperlink" Target="https://bedgear.com/cdn/shop/files/01-MistyBlue-ProductShot-Stack_1af20743-1dcb-43b8-bd89-409acf86c5b2.jpg" TargetMode="External"/><Relationship Id="rId178" Type="http://schemas.openxmlformats.org/officeDocument/2006/relationships/hyperlink" Target="https://bedgear.com/products/ver-tex-sheet-set" TargetMode="External"/><Relationship Id="rId177" Type="http://schemas.openxmlformats.org/officeDocument/2006/relationships/hyperlink" Target="https://bedgear.com/cdn/shop/files/01-MistyBlue-ProductShot-Stack_1af20743-1dcb-43b8-bd89-409acf86c5b2.jpg" TargetMode="External"/><Relationship Id="rId20" Type="http://schemas.openxmlformats.org/officeDocument/2006/relationships/hyperlink" Target="https://bedgear.com/products/iprotect-mattress-protector" TargetMode="External"/><Relationship Id="rId22" Type="http://schemas.openxmlformats.org/officeDocument/2006/relationships/hyperlink" Target="https://bedgear.com/products/dri-tec-mattress-protector" TargetMode="External"/><Relationship Id="rId21" Type="http://schemas.openxmlformats.org/officeDocument/2006/relationships/hyperlink" Target="https://bedgear.com/cdn/shop/files/01-DT-Main.jpg" TargetMode="External"/><Relationship Id="rId24" Type="http://schemas.openxmlformats.org/officeDocument/2006/relationships/hyperlink" Target="https://bedgear.com/products/ver-tex-mattress-protector" TargetMode="External"/><Relationship Id="rId23" Type="http://schemas.openxmlformats.org/officeDocument/2006/relationships/hyperlink" Target="https://bedgear.com/cdn/shop/files/01-VT-Main_ba2fd5b4-a14e-47c0-942b-e9c2aea9a2f6.jpg" TargetMode="External"/><Relationship Id="rId26" Type="http://schemas.openxmlformats.org/officeDocument/2006/relationships/hyperlink" Target="https://bedgear.com/products/dri-tec-mattress-protector" TargetMode="External"/><Relationship Id="rId25" Type="http://schemas.openxmlformats.org/officeDocument/2006/relationships/hyperlink" Target="https://bedgear.com/cdn/shop/files/01-DT-Main.jpg" TargetMode="External"/><Relationship Id="rId28" Type="http://schemas.openxmlformats.org/officeDocument/2006/relationships/hyperlink" Target="https://bedgear.com/products/ver-tex-mattress-protector" TargetMode="External"/><Relationship Id="rId27" Type="http://schemas.openxmlformats.org/officeDocument/2006/relationships/hyperlink" Target="https://bedgear.com/cdn/shop/files/01-VT-Main_ba2fd5b4-a14e-47c0-942b-e9c2aea9a2f6.jpg" TargetMode="External"/><Relationship Id="rId29" Type="http://schemas.openxmlformats.org/officeDocument/2006/relationships/hyperlink" Target="https://bedgear.com/cdn/shop/files/01-DT-Main.jpg" TargetMode="External"/><Relationship Id="rId11" Type="http://schemas.openxmlformats.org/officeDocument/2006/relationships/hyperlink" Target="https://bedgear.com/cdn/shop/files/01-VT-Main_ba2fd5b4-a14e-47c0-942b-e9c2aea9a2f6.jpg" TargetMode="External"/><Relationship Id="rId10" Type="http://schemas.openxmlformats.org/officeDocument/2006/relationships/hyperlink" Target="https://bedgear.com/products/dri-tec-mattress-protector" TargetMode="External"/><Relationship Id="rId13" Type="http://schemas.openxmlformats.org/officeDocument/2006/relationships/hyperlink" Target="https://bedgear.com/cdn/shop/files/01-IPROTECT-Main.jpg" TargetMode="External"/><Relationship Id="rId12" Type="http://schemas.openxmlformats.org/officeDocument/2006/relationships/hyperlink" Target="https://bedgear.com/products/ver-tex-mattress-protector" TargetMode="External"/><Relationship Id="rId15" Type="http://schemas.openxmlformats.org/officeDocument/2006/relationships/hyperlink" Target="https://bedgear.com/cdn/shop/files/01-DT-Main.jpg" TargetMode="External"/><Relationship Id="rId198" Type="http://schemas.openxmlformats.org/officeDocument/2006/relationships/hyperlink" Target="https://bedgear.com/products/basic-sheet-set" TargetMode="External"/><Relationship Id="rId14" Type="http://schemas.openxmlformats.org/officeDocument/2006/relationships/hyperlink" Target="https://bedgear.com/products/iprotect-mattress-protector" TargetMode="External"/><Relationship Id="rId197" Type="http://schemas.openxmlformats.org/officeDocument/2006/relationships/hyperlink" Target="https://bedgear.com/cdn/shop/files/Medium_Beige-01-ProductShot-Stack_e8704345-f3db-4f47-af72-515431ff0e9a.jpg" TargetMode="External"/><Relationship Id="rId17" Type="http://schemas.openxmlformats.org/officeDocument/2006/relationships/hyperlink" Target="https://bedgear.com/cdn/shop/files/01-VT-Main_ba2fd5b4-a14e-47c0-942b-e9c2aea9a2f6.jpg" TargetMode="External"/><Relationship Id="rId196" Type="http://schemas.openxmlformats.org/officeDocument/2006/relationships/hyperlink" Target="https://bedgear.com/products/basic-sheet-set" TargetMode="External"/><Relationship Id="rId16" Type="http://schemas.openxmlformats.org/officeDocument/2006/relationships/hyperlink" Target="https://bedgear.com/products/dri-tec-mattress-protector" TargetMode="External"/><Relationship Id="rId195" Type="http://schemas.openxmlformats.org/officeDocument/2006/relationships/hyperlink" Target="https://bedgear.com/cdn/shop/files/Medium_Beige-01-ProductShot-Stack_e8704345-f3db-4f47-af72-515431ff0e9a.jpg" TargetMode="External"/><Relationship Id="rId19" Type="http://schemas.openxmlformats.org/officeDocument/2006/relationships/hyperlink" Target="https://bedgear.com/cdn/shop/files/01-IPROTECT-Main.jpg" TargetMode="External"/><Relationship Id="rId18" Type="http://schemas.openxmlformats.org/officeDocument/2006/relationships/hyperlink" Target="https://bedgear.com/products/ver-tex-mattress-protector" TargetMode="External"/><Relationship Id="rId199" Type="http://schemas.openxmlformats.org/officeDocument/2006/relationships/hyperlink" Target="https://bedgear.com/cdn/shop/files/Medium_Beige-01-ProductShot-Stack_e8704345-f3db-4f47-af72-515431ff0e9a.jpg" TargetMode="External"/><Relationship Id="rId84" Type="http://schemas.openxmlformats.org/officeDocument/2006/relationships/hyperlink" Target="https://bedgear.com/products/dri-tec-sheet-set" TargetMode="External"/><Relationship Id="rId83" Type="http://schemas.openxmlformats.org/officeDocument/2006/relationships/hyperlink" Target="https://bedgear.com/cdn/shop/files/01-Grey-ProductShot-Stack_de9d1597-1c50-403a-a9af-2923ed02cd42.jpg" TargetMode="External"/><Relationship Id="rId86" Type="http://schemas.openxmlformats.org/officeDocument/2006/relationships/hyperlink" Target="https://bedgear.com/products/hyper-cotton-sheet-set" TargetMode="External"/><Relationship Id="rId85" Type="http://schemas.openxmlformats.org/officeDocument/2006/relationships/hyperlink" Target="https://bedgear.com/cdn/shop/files/01-Deep_Teal-ProductShot-Stack_f961bca3-7fcb-42f6-81f6-67472a9025f5.jpg" TargetMode="External"/><Relationship Id="rId88" Type="http://schemas.openxmlformats.org/officeDocument/2006/relationships/hyperlink" Target="https://bedgear.com/products/hyper-cotton-sheet-set" TargetMode="External"/><Relationship Id="rId150" Type="http://schemas.openxmlformats.org/officeDocument/2006/relationships/hyperlink" Target="https://bedgear.com/products/basic-sheet-set" TargetMode="External"/><Relationship Id="rId271" Type="http://schemas.openxmlformats.org/officeDocument/2006/relationships/hyperlink" Target="https://bedgear.com/cdn/shop/files/01-STORM-1.0-ProductShot-Main_4039e18e-00ff-4c78-8705-b11a60a00744.jpg" TargetMode="External"/><Relationship Id="rId87" Type="http://schemas.openxmlformats.org/officeDocument/2006/relationships/hyperlink" Target="https://bedgear.com/cdn/shop/files/01-Deep_Teal-ProductShot-Stack_f961bca3-7fcb-42f6-81f6-67472a9025f5.jpg" TargetMode="External"/><Relationship Id="rId270" Type="http://schemas.openxmlformats.org/officeDocument/2006/relationships/hyperlink" Target="https://bedgear.com/products/storm-performance-pillow" TargetMode="External"/><Relationship Id="rId89" Type="http://schemas.openxmlformats.org/officeDocument/2006/relationships/hyperlink" Target="https://bedgear.com/cdn/shop/files/01-Deep_Teal-ProductShot-Stack_f961bca3-7fcb-42f6-81f6-67472a9025f5.jpg" TargetMode="External"/><Relationship Id="rId80" Type="http://schemas.openxmlformats.org/officeDocument/2006/relationships/hyperlink" Target="https://bedgear.com/products/dri-tec-sheet-set" TargetMode="External"/><Relationship Id="rId82" Type="http://schemas.openxmlformats.org/officeDocument/2006/relationships/hyperlink" Target="https://bedgear.com/products/dri-tec-sheet-set" TargetMode="External"/><Relationship Id="rId81" Type="http://schemas.openxmlformats.org/officeDocument/2006/relationships/hyperlink" Target="https://bedgear.com/cdn/shop/files/01-Grey-ProductShot-Stack_de9d1597-1c50-403a-a9af-2923ed02cd42.jpg" TargetMode="External"/><Relationship Id="rId1" Type="http://schemas.openxmlformats.org/officeDocument/2006/relationships/hyperlink" Target="https://bedgear.com/cdn/shop/files/01-IPROTECT-Main.jpg" TargetMode="External"/><Relationship Id="rId2" Type="http://schemas.openxmlformats.org/officeDocument/2006/relationships/hyperlink" Target="https://bedgear.com/products/iprotect-mattress-protector" TargetMode="External"/><Relationship Id="rId3" Type="http://schemas.openxmlformats.org/officeDocument/2006/relationships/hyperlink" Target="https://bedgear.com/cdn/shop/files/01-DT-Main.jpg" TargetMode="External"/><Relationship Id="rId149" Type="http://schemas.openxmlformats.org/officeDocument/2006/relationships/hyperlink" Target="https://bedgear.com/cdn/shop/files/Medium_Beige-01-ProductShot-Stack_e8704345-f3db-4f47-af72-515431ff0e9a.jpg" TargetMode="External"/><Relationship Id="rId4" Type="http://schemas.openxmlformats.org/officeDocument/2006/relationships/hyperlink" Target="https://bedgear.com/products/dri-tec-mattress-protector" TargetMode="External"/><Relationship Id="rId148" Type="http://schemas.openxmlformats.org/officeDocument/2006/relationships/hyperlink" Target="https://bedgear.com/products/ver-tex-sheet-set" TargetMode="External"/><Relationship Id="rId269" Type="http://schemas.openxmlformats.org/officeDocument/2006/relationships/hyperlink" Target="https://bedgear.com/cdn/shop/files/01-STORM-1.0-ProductShot-Main_4039e18e-00ff-4c78-8705-b11a60a00744.jpg" TargetMode="External"/><Relationship Id="rId9" Type="http://schemas.openxmlformats.org/officeDocument/2006/relationships/hyperlink" Target="https://bedgear.com/cdn/shop/files/01-DT-Main.jpg" TargetMode="External"/><Relationship Id="rId143" Type="http://schemas.openxmlformats.org/officeDocument/2006/relationships/hyperlink" Target="https://bedgear.com/cdn/shop/files/01-MistyBlue-ProductShot-Stack_1af20743-1dcb-43b8-bd89-409acf86c5b2.jpg" TargetMode="External"/><Relationship Id="rId264" Type="http://schemas.openxmlformats.org/officeDocument/2006/relationships/hyperlink" Target="https://bedgear.com/products/storm-performance-pillow" TargetMode="External"/><Relationship Id="rId142" Type="http://schemas.openxmlformats.org/officeDocument/2006/relationships/hyperlink" Target="https://bedgear.com/products/ver-tex-sheet-set" TargetMode="External"/><Relationship Id="rId263" Type="http://schemas.openxmlformats.org/officeDocument/2006/relationships/hyperlink" Target="https://bedgear.com/cdn/shop/files/01-STORM-1.0-ProductShot-Main_4039e18e-00ff-4c78-8705-b11a60a00744.jpg" TargetMode="External"/><Relationship Id="rId141" Type="http://schemas.openxmlformats.org/officeDocument/2006/relationships/hyperlink" Target="https://bedgear.com/cdn/shop/files/01-MistyBlue-ProductShot-Stack_1af20743-1dcb-43b8-bd89-409acf86c5b2.jpg" TargetMode="External"/><Relationship Id="rId262" Type="http://schemas.openxmlformats.org/officeDocument/2006/relationships/hyperlink" Target="https://bedgear.com/products/storm-performance-pillow" TargetMode="External"/><Relationship Id="rId140" Type="http://schemas.openxmlformats.org/officeDocument/2006/relationships/hyperlink" Target="https://bedgear.com/products/hyper-cotton-sheet-set" TargetMode="External"/><Relationship Id="rId261" Type="http://schemas.openxmlformats.org/officeDocument/2006/relationships/hyperlink" Target="https://bedgear.com/cdn/shop/files/01-STORM-1.0-ProductShot-Main_4039e18e-00ff-4c78-8705-b11a60a00744.jpg" TargetMode="External"/><Relationship Id="rId5" Type="http://schemas.openxmlformats.org/officeDocument/2006/relationships/hyperlink" Target="https://bedgear.com/cdn/shop/files/01-VT-Main_ba2fd5b4-a14e-47c0-942b-e9c2aea9a2f6.jpg" TargetMode="External"/><Relationship Id="rId147" Type="http://schemas.openxmlformats.org/officeDocument/2006/relationships/hyperlink" Target="https://bedgear.com/cdn/shop/files/01-MistyBlue-ProductShot-Stack_1af20743-1dcb-43b8-bd89-409acf86c5b2.jpg" TargetMode="External"/><Relationship Id="rId268" Type="http://schemas.openxmlformats.org/officeDocument/2006/relationships/hyperlink" Target="https://bedgear.com/products/storm-performance-pillow" TargetMode="External"/><Relationship Id="rId6" Type="http://schemas.openxmlformats.org/officeDocument/2006/relationships/hyperlink" Target="https://bedgear.com/products/ver-tex-mattress-protector" TargetMode="External"/><Relationship Id="rId146" Type="http://schemas.openxmlformats.org/officeDocument/2006/relationships/hyperlink" Target="https://bedgear.com/products/ver-tex-sheet-set" TargetMode="External"/><Relationship Id="rId267" Type="http://schemas.openxmlformats.org/officeDocument/2006/relationships/hyperlink" Target="https://bedgear.com/cdn/shop/files/01-STORM-1.0-ProductShot-Main_4039e18e-00ff-4c78-8705-b11a60a00744.jpg" TargetMode="External"/><Relationship Id="rId7" Type="http://schemas.openxmlformats.org/officeDocument/2006/relationships/hyperlink" Target="https://bedgear.com/cdn/shop/files/01-IPROTECT-Main.jpg" TargetMode="External"/><Relationship Id="rId145" Type="http://schemas.openxmlformats.org/officeDocument/2006/relationships/hyperlink" Target="https://bedgear.com/cdn/shop/files/01-MistyBlue-ProductShot-Stack_1af20743-1dcb-43b8-bd89-409acf86c5b2.jpg" TargetMode="External"/><Relationship Id="rId266" Type="http://schemas.openxmlformats.org/officeDocument/2006/relationships/hyperlink" Target="https://bedgear.com/products/storm-performance-pillow" TargetMode="External"/><Relationship Id="rId8" Type="http://schemas.openxmlformats.org/officeDocument/2006/relationships/hyperlink" Target="https://bedgear.com/products/iprotect-mattress-protector" TargetMode="External"/><Relationship Id="rId144" Type="http://schemas.openxmlformats.org/officeDocument/2006/relationships/hyperlink" Target="https://bedgear.com/products/ver-tex-sheet-set" TargetMode="External"/><Relationship Id="rId265" Type="http://schemas.openxmlformats.org/officeDocument/2006/relationships/hyperlink" Target="https://bedgear.com/cdn/shop/files/01-STORM-1.0-ProductShot-Main_4039e18e-00ff-4c78-8705-b11a60a00744.jpg" TargetMode="External"/><Relationship Id="rId73" Type="http://schemas.openxmlformats.org/officeDocument/2006/relationships/hyperlink" Target="https://bedgear.com/cdn/shop/files/01-Deep_Teal-ProductShot-Stack_f961bca3-7fcb-42f6-81f6-67472a9025f5.jpg" TargetMode="External"/><Relationship Id="rId72" Type="http://schemas.openxmlformats.org/officeDocument/2006/relationships/hyperlink" Target="https://bedgear.com/products/basic-sheet-set" TargetMode="External"/><Relationship Id="rId75" Type="http://schemas.openxmlformats.org/officeDocument/2006/relationships/hyperlink" Target="https://bedgear.com/cdn/shop/files/01-Deep_Teal-ProductShot-Stack_f961bca3-7fcb-42f6-81f6-67472a9025f5.jpg" TargetMode="External"/><Relationship Id="rId74" Type="http://schemas.openxmlformats.org/officeDocument/2006/relationships/hyperlink" Target="https://bedgear.com/products/hyper-cotton-sheet-set" TargetMode="External"/><Relationship Id="rId77" Type="http://schemas.openxmlformats.org/officeDocument/2006/relationships/hyperlink" Target="https://bedgear.com/cdn/shop/files/01-Deep_Teal-ProductShot-Stack_f961bca3-7fcb-42f6-81f6-67472a9025f5.jpg" TargetMode="External"/><Relationship Id="rId260" Type="http://schemas.openxmlformats.org/officeDocument/2006/relationships/hyperlink" Target="https://bedgear.com/products/storm-performance-pillow" TargetMode="External"/><Relationship Id="rId76" Type="http://schemas.openxmlformats.org/officeDocument/2006/relationships/hyperlink" Target="https://bedgear.com/products/hyper-cotton-sheet-set" TargetMode="External"/><Relationship Id="rId79" Type="http://schemas.openxmlformats.org/officeDocument/2006/relationships/hyperlink" Target="https://bedgear.com/cdn/shop/files/01-Grey-ProductShot-Stack_de9d1597-1c50-403a-a9af-2923ed02cd42.jpg" TargetMode="External"/><Relationship Id="rId78" Type="http://schemas.openxmlformats.org/officeDocument/2006/relationships/hyperlink" Target="https://bedgear.com/products/hyper-cotton-sheet-set" TargetMode="External"/><Relationship Id="rId71" Type="http://schemas.openxmlformats.org/officeDocument/2006/relationships/hyperlink" Target="https://bedgear.com/cdn/shop/files/Medium_Beige-01-ProductShot-Stack_e8704345-f3db-4f47-af72-515431ff0e9a.jpg" TargetMode="External"/><Relationship Id="rId70" Type="http://schemas.openxmlformats.org/officeDocument/2006/relationships/hyperlink" Target="https://bedgear.com/products/basic-sheet-set" TargetMode="External"/><Relationship Id="rId139" Type="http://schemas.openxmlformats.org/officeDocument/2006/relationships/hyperlink" Target="https://bedgear.com/cdn/shop/files/01-Deep_Teal-ProductShot-Stack_f961bca3-7fcb-42f6-81f6-67472a9025f5.jpg" TargetMode="External"/><Relationship Id="rId138" Type="http://schemas.openxmlformats.org/officeDocument/2006/relationships/hyperlink" Target="https://bedgear.com/products/hyper-cotton-sheet-set" TargetMode="External"/><Relationship Id="rId259" Type="http://schemas.openxmlformats.org/officeDocument/2006/relationships/hyperlink" Target="https://bedgear.com/cdn/shop/files/01-STORM-1.0-ProductShot-Main_4039e18e-00ff-4c78-8705-b11a60a00744.jpg" TargetMode="External"/><Relationship Id="rId137" Type="http://schemas.openxmlformats.org/officeDocument/2006/relationships/hyperlink" Target="https://bedgear.com/cdn/shop/files/01-Deep_Teal-ProductShot-Stack_f961bca3-7fcb-42f6-81f6-67472a9025f5.jpg" TargetMode="External"/><Relationship Id="rId258" Type="http://schemas.openxmlformats.org/officeDocument/2006/relationships/hyperlink" Target="https://bedgear.com/products/storm-performance-pillow" TargetMode="External"/><Relationship Id="rId132" Type="http://schemas.openxmlformats.org/officeDocument/2006/relationships/hyperlink" Target="https://bedgear.com/products/dri-tec-sheet-set" TargetMode="External"/><Relationship Id="rId253" Type="http://schemas.openxmlformats.org/officeDocument/2006/relationships/hyperlink" Target="https://www.beautyrest.com/adobe/assets/urn:aaid:aem:82e5d4d3-96f4-47c6-992a-ab9de4bfc48b/as/2504-BR-DeluxeDownAlt-Pillow-PDP-Loftvisuals.jpg" TargetMode="External"/><Relationship Id="rId131" Type="http://schemas.openxmlformats.org/officeDocument/2006/relationships/hyperlink" Target="https://bedgear.com/cdn/shop/files/01-Grey-ProductShot-Stack_de9d1597-1c50-403a-a9af-2923ed02cd42.jpg" TargetMode="External"/><Relationship Id="rId252" Type="http://schemas.openxmlformats.org/officeDocument/2006/relationships/hyperlink" Target="https://bedgear.com/products/night-ice-performance-pillow" TargetMode="External"/><Relationship Id="rId130" Type="http://schemas.openxmlformats.org/officeDocument/2006/relationships/hyperlink" Target="https://bedgear.com/products/dri-tec-sheet-set" TargetMode="External"/><Relationship Id="rId251" Type="http://schemas.openxmlformats.org/officeDocument/2006/relationships/hyperlink" Target="https://bedgear.com/cdn/shop/files/01-NIGHT_ICE-1.0-ProductShot-Main_0432e2a4-3a2f-40bb-b3f0-48674c79b69d.jpg" TargetMode="External"/><Relationship Id="rId250" Type="http://schemas.openxmlformats.org/officeDocument/2006/relationships/hyperlink" Target="https://bedgear.com/products/night-ice-performance-pillow" TargetMode="External"/><Relationship Id="rId136" Type="http://schemas.openxmlformats.org/officeDocument/2006/relationships/hyperlink" Target="https://bedgear.com/products/hyper-cotton-sheet-set" TargetMode="External"/><Relationship Id="rId257" Type="http://schemas.openxmlformats.org/officeDocument/2006/relationships/hyperlink" Target="https://bedgear.com/cdn/shop/files/01-STORM-1.0-ProductShot-Main_4039e18e-00ff-4c78-8705-b11a60a00744.jpg" TargetMode="External"/><Relationship Id="rId135" Type="http://schemas.openxmlformats.org/officeDocument/2006/relationships/hyperlink" Target="https://bedgear.com/cdn/shop/files/01-Deep_Teal-ProductShot-Stack_f961bca3-7fcb-42f6-81f6-67472a9025f5.jpg" TargetMode="External"/><Relationship Id="rId256" Type="http://schemas.openxmlformats.org/officeDocument/2006/relationships/hyperlink" Target="https://assets.roomstogo.com/product/stearns-and-foster-standard-latex-pillow_59953084_alt-image-1" TargetMode="External"/><Relationship Id="rId134" Type="http://schemas.openxmlformats.org/officeDocument/2006/relationships/hyperlink" Target="https://bedgear.com/products/dri-tec-sheet-set" TargetMode="External"/><Relationship Id="rId255" Type="http://schemas.openxmlformats.org/officeDocument/2006/relationships/hyperlink" Target="https://assets.roomstogo.com/product/stearns-and-foster-standard-latex-pillow_59953084_image-item" TargetMode="External"/><Relationship Id="rId133" Type="http://schemas.openxmlformats.org/officeDocument/2006/relationships/hyperlink" Target="https://bedgear.com/cdn/shop/files/01-Grey-ProductShot-Stack_de9d1597-1c50-403a-a9af-2923ed02cd42.jpg" TargetMode="External"/><Relationship Id="rId254" Type="http://schemas.openxmlformats.org/officeDocument/2006/relationships/hyperlink" Target="https://www.beautyrest.com/products/beautyrest-black-luxury-foam-pillow" TargetMode="External"/><Relationship Id="rId62" Type="http://schemas.openxmlformats.org/officeDocument/2006/relationships/hyperlink" Target="https://bedgear.com/collections/sofa-bed-protectors" TargetMode="External"/><Relationship Id="rId61" Type="http://schemas.openxmlformats.org/officeDocument/2006/relationships/hyperlink" Target="https://bedgear.com/cdn/shop/collections/BG-WEB-NAV-IMG-302x160-Protectors-SofaBedProtect.jpg" TargetMode="External"/><Relationship Id="rId64" Type="http://schemas.openxmlformats.org/officeDocument/2006/relationships/hyperlink" Target="https://bedgear.com/products/iprotect-pillow-protector" TargetMode="External"/><Relationship Id="rId63" Type="http://schemas.openxmlformats.org/officeDocument/2006/relationships/hyperlink" Target="https://bedgear.com/cdn/shop/files/iPROTECT-PP-01-ProductShot-Main_07a57982-54a7-462b-a090-cb92f6110793.jpg" TargetMode="External"/><Relationship Id="rId66" Type="http://schemas.openxmlformats.org/officeDocument/2006/relationships/hyperlink" Target="https://bedgear.com/products/iprotect-pillow-protector" TargetMode="External"/><Relationship Id="rId172" Type="http://schemas.openxmlformats.org/officeDocument/2006/relationships/hyperlink" Target="https://bedgear.com/products/dri-tec-sheet-set" TargetMode="External"/><Relationship Id="rId293" Type="http://schemas.openxmlformats.org/officeDocument/2006/relationships/drawing" Target="../drawings/drawing7.xml"/><Relationship Id="rId65" Type="http://schemas.openxmlformats.org/officeDocument/2006/relationships/hyperlink" Target="https://bedgear.com/cdn/shop/files/iPROTECT-PP-01-ProductShot-Main_07a57982-54a7-462b-a090-cb92f6110793.jpg" TargetMode="External"/><Relationship Id="rId171" Type="http://schemas.openxmlformats.org/officeDocument/2006/relationships/hyperlink" Target="https://bedgear.com/cdn/shop/files/01-Grey-ProductShot-Stack_de9d1597-1c50-403a-a9af-2923ed02cd42.jpg" TargetMode="External"/><Relationship Id="rId292" Type="http://schemas.openxmlformats.org/officeDocument/2006/relationships/hyperlink" Target="https://www.tempurpedic.com/shop-pillows/breeze-pillows/" TargetMode="External"/><Relationship Id="rId68" Type="http://schemas.openxmlformats.org/officeDocument/2006/relationships/hyperlink" Target="https://bedgear.com/products/basic-sheet-set" TargetMode="External"/><Relationship Id="rId170" Type="http://schemas.openxmlformats.org/officeDocument/2006/relationships/hyperlink" Target="https://bedgear.com/products/dri-tec-sheet-set" TargetMode="External"/><Relationship Id="rId291" Type="http://schemas.openxmlformats.org/officeDocument/2006/relationships/hyperlink" Target="https://assets-www.tempurpedic.com/media/images/TEMPUR_Pillow_Breeze_ProLo_Styled_MAR24_03.original.jpg" TargetMode="External"/><Relationship Id="rId67" Type="http://schemas.openxmlformats.org/officeDocument/2006/relationships/hyperlink" Target="https://bedgear.com/cdn/shop/files/Medium_Beige-01-ProductShot-Stack_e8704345-f3db-4f47-af72-515431ff0e9a.jpg" TargetMode="External"/><Relationship Id="rId290" Type="http://schemas.openxmlformats.org/officeDocument/2006/relationships/hyperlink" Target="https://www.tempurpedic.com/shop-pillows/breeze-pillows/" TargetMode="External"/><Relationship Id="rId60" Type="http://schemas.openxmlformats.org/officeDocument/2006/relationships/hyperlink" Target="https://bedgear.com/collections/sofa-bed-protectors" TargetMode="External"/><Relationship Id="rId165" Type="http://schemas.openxmlformats.org/officeDocument/2006/relationships/hyperlink" Target="https://bedgear.com/cdn/shop/files/01-Deep_Teal-ProductShot-Stack_f961bca3-7fcb-42f6-81f6-67472a9025f5.jpg" TargetMode="External"/><Relationship Id="rId286" Type="http://schemas.openxmlformats.org/officeDocument/2006/relationships/hyperlink" Target="https://www.tempurpedic.com/shop-pillows/breeze-pillows/" TargetMode="External"/><Relationship Id="rId69" Type="http://schemas.openxmlformats.org/officeDocument/2006/relationships/hyperlink" Target="https://bedgear.com/cdn/shop/files/Medium_Beige-01-ProductShot-Stack_e8704345-f3db-4f47-af72-515431ff0e9a.jpg" TargetMode="External"/><Relationship Id="rId164" Type="http://schemas.openxmlformats.org/officeDocument/2006/relationships/hyperlink" Target="https://bedgear.com/products/hyper-cotton-sheet-set" TargetMode="External"/><Relationship Id="rId285" Type="http://schemas.openxmlformats.org/officeDocument/2006/relationships/hyperlink" Target="https://assets-www.tempurpedic.com/media/images/TEMPUR_Pillow_Breeze_ProLo_Styled_MAR24_03.original.jpg" TargetMode="External"/><Relationship Id="rId163" Type="http://schemas.openxmlformats.org/officeDocument/2006/relationships/hyperlink" Target="https://bedgear.com/cdn/shop/files/01-Deep_Teal-ProductShot-Stack_f961bca3-7fcb-42f6-81f6-67472a9025f5.jpg" TargetMode="External"/><Relationship Id="rId284" Type="http://schemas.openxmlformats.org/officeDocument/2006/relationships/hyperlink" Target="https://www.tempurpedic.com/shop-pillows/adapt-pillows/" TargetMode="External"/><Relationship Id="rId162" Type="http://schemas.openxmlformats.org/officeDocument/2006/relationships/hyperlink" Target="https://bedgear.com/products/hyper-cotton-sheet-set" TargetMode="External"/><Relationship Id="rId283" Type="http://schemas.openxmlformats.org/officeDocument/2006/relationships/hyperlink" Target="https://assets-www.tempurpedic.com/media/images/TEMPUR_Pillow_Adapt_ProAdjust_Styled_MAR24_04.original.jpg" TargetMode="External"/><Relationship Id="rId169" Type="http://schemas.openxmlformats.org/officeDocument/2006/relationships/hyperlink" Target="https://bedgear.com/cdn/shop/files/01-Grey-ProductShot-Stack_de9d1597-1c50-403a-a9af-2923ed02cd42.jpg" TargetMode="External"/><Relationship Id="rId168" Type="http://schemas.openxmlformats.org/officeDocument/2006/relationships/hyperlink" Target="https://bedgear.com/products/dri-tec-sheet-set" TargetMode="External"/><Relationship Id="rId289" Type="http://schemas.openxmlformats.org/officeDocument/2006/relationships/hyperlink" Target="https://assets-www.tempurpedic.com/media/images/TEMPUR_Pillow_Breeze_ProLo_Styled_MAR24_03.original.jpg" TargetMode="External"/><Relationship Id="rId167" Type="http://schemas.openxmlformats.org/officeDocument/2006/relationships/hyperlink" Target="https://bedgear.com/cdn/shop/files/01-Grey-ProductShot-Stack_de9d1597-1c50-403a-a9af-2923ed02cd42.jpg" TargetMode="External"/><Relationship Id="rId288" Type="http://schemas.openxmlformats.org/officeDocument/2006/relationships/hyperlink" Target="https://www.tempurpedic.com/shop-pillows/breeze-pillows/" TargetMode="External"/><Relationship Id="rId166" Type="http://schemas.openxmlformats.org/officeDocument/2006/relationships/hyperlink" Target="https://bedgear.com/products/hyper-cotton-sheet-set" TargetMode="External"/><Relationship Id="rId287" Type="http://schemas.openxmlformats.org/officeDocument/2006/relationships/hyperlink" Target="https://assets-www.tempurpedic.com/media/images/TEMPUR_Pillow_Breeze_ProLo_Styled_MAR24_03.original.jpg" TargetMode="External"/><Relationship Id="rId51" Type="http://schemas.openxmlformats.org/officeDocument/2006/relationships/hyperlink" Target="https://bedgear.com/cdn/shop/collections/BG-WEB-NAV-IMG-302x160-BabyKids-CribProtector.jpg" TargetMode="External"/><Relationship Id="rId50" Type="http://schemas.openxmlformats.org/officeDocument/2006/relationships/hyperlink" Target="https://bedgear.com/collections/crib-protectors" TargetMode="External"/><Relationship Id="rId53" Type="http://schemas.openxmlformats.org/officeDocument/2006/relationships/hyperlink" Target="https://bedgear.com/cdn/shop/files/01-VT-Main_ba2fd5b4-a14e-47c0-942b-e9c2aea9a2f6.jpg" TargetMode="External"/><Relationship Id="rId52" Type="http://schemas.openxmlformats.org/officeDocument/2006/relationships/hyperlink" Target="https://bedgear.com/collections/crib-protectors" TargetMode="External"/><Relationship Id="rId55" Type="http://schemas.openxmlformats.org/officeDocument/2006/relationships/hyperlink" Target="https://bedgear.com/cdn/shop/collections/BG-WEB-NAV-IMG-302x160-Protectors-SofaBedProtect.jpg" TargetMode="External"/><Relationship Id="rId161" Type="http://schemas.openxmlformats.org/officeDocument/2006/relationships/hyperlink" Target="https://bedgear.com/cdn/shop/files/01-Deep_Teal-ProductShot-Stack_f961bca3-7fcb-42f6-81f6-67472a9025f5.jpg" TargetMode="External"/><Relationship Id="rId282" Type="http://schemas.openxmlformats.org/officeDocument/2006/relationships/hyperlink" Target="https://www.tempurpedic.com/shop-pillows/adapt-pillows/" TargetMode="External"/><Relationship Id="rId54" Type="http://schemas.openxmlformats.org/officeDocument/2006/relationships/hyperlink" Target="https://bedgear.com/collections/crib-protectors" TargetMode="External"/><Relationship Id="rId160" Type="http://schemas.openxmlformats.org/officeDocument/2006/relationships/hyperlink" Target="https://bedgear.com/products/hyper-cotton-sheet-set" TargetMode="External"/><Relationship Id="rId281" Type="http://schemas.openxmlformats.org/officeDocument/2006/relationships/hyperlink" Target="https://assets-www.tempurpedic.com/media/images/TEMPUR_Pillow_Adapt_ProAdjust_Styled_MAR24_04.original.jpg" TargetMode="External"/><Relationship Id="rId57" Type="http://schemas.openxmlformats.org/officeDocument/2006/relationships/hyperlink" Target="https://bedgear.com/cdn/shop/collections/BG-WEB-NAV-IMG-302x160-Protectors-SofaBedProtect.jpg" TargetMode="External"/><Relationship Id="rId280" Type="http://schemas.openxmlformats.org/officeDocument/2006/relationships/hyperlink" Target="https://www.tempurpedic.com/shop-pillows/adapt-pillows/" TargetMode="External"/><Relationship Id="rId56" Type="http://schemas.openxmlformats.org/officeDocument/2006/relationships/hyperlink" Target="https://bedgear.com/collections/sofa-bed-protectors" TargetMode="External"/><Relationship Id="rId159" Type="http://schemas.openxmlformats.org/officeDocument/2006/relationships/hyperlink" Target="https://bedgear.com/cdn/shop/files/01-Deep_Teal-ProductShot-Stack_f961bca3-7fcb-42f6-81f6-67472a9025f5.jpg" TargetMode="External"/><Relationship Id="rId59" Type="http://schemas.openxmlformats.org/officeDocument/2006/relationships/hyperlink" Target="https://bedgear.com/cdn/shop/collections/BG-WEB-NAV-IMG-302x160-Protectors-SofaBedProtect.jpg" TargetMode="External"/><Relationship Id="rId154" Type="http://schemas.openxmlformats.org/officeDocument/2006/relationships/hyperlink" Target="https://bedgear.com/products/basic-sheet-set" TargetMode="External"/><Relationship Id="rId275" Type="http://schemas.openxmlformats.org/officeDocument/2006/relationships/hyperlink" Target="https://assets-www.tempurpedic.com/media/images/TEMPUR_Pillow_Adapt_ProAdjust_Styled_MAR24_04.original.jpg" TargetMode="External"/><Relationship Id="rId58" Type="http://schemas.openxmlformats.org/officeDocument/2006/relationships/hyperlink" Target="https://bedgear.com/collections/sofa-bed-protectors" TargetMode="External"/><Relationship Id="rId153" Type="http://schemas.openxmlformats.org/officeDocument/2006/relationships/hyperlink" Target="https://bedgear.com/cdn/shop/files/Medium_Beige-01-ProductShot-Stack_e8704345-f3db-4f47-af72-515431ff0e9a.jpg" TargetMode="External"/><Relationship Id="rId274" Type="http://schemas.openxmlformats.org/officeDocument/2006/relationships/hyperlink" Target="https://www.tempurpedic.com/shop-pillows/adapt-pillows/" TargetMode="External"/><Relationship Id="rId152" Type="http://schemas.openxmlformats.org/officeDocument/2006/relationships/hyperlink" Target="https://bedgear.com/products/basic-sheet-set" TargetMode="External"/><Relationship Id="rId273" Type="http://schemas.openxmlformats.org/officeDocument/2006/relationships/hyperlink" Target="https://assets-www.tempurpedic.com/media/images/TEMPUR_Pillow_Adapt_ProAdjust_Styled_MAR24_04.original.jpg" TargetMode="External"/><Relationship Id="rId151" Type="http://schemas.openxmlformats.org/officeDocument/2006/relationships/hyperlink" Target="https://bedgear.com/cdn/shop/files/Medium_Beige-01-ProductShot-Stack_e8704345-f3db-4f47-af72-515431ff0e9a.jpg" TargetMode="External"/><Relationship Id="rId272" Type="http://schemas.openxmlformats.org/officeDocument/2006/relationships/hyperlink" Target="https://bedgear.com/products/storm-performance-pillow" TargetMode="External"/><Relationship Id="rId158" Type="http://schemas.openxmlformats.org/officeDocument/2006/relationships/hyperlink" Target="https://bedgear.com/products/hyper-cotton-sheet-set" TargetMode="External"/><Relationship Id="rId279" Type="http://schemas.openxmlformats.org/officeDocument/2006/relationships/hyperlink" Target="https://assets-www.tempurpedic.com/media/images/TEMPUR_Pillow_Adapt_ProAdjust_Styled_MAR24_04.original.jpg" TargetMode="External"/><Relationship Id="rId157" Type="http://schemas.openxmlformats.org/officeDocument/2006/relationships/hyperlink" Target="https://bedgear.com/cdn/shop/files/01-Deep_Teal-ProductShot-Stack_f961bca3-7fcb-42f6-81f6-67472a9025f5.jpg" TargetMode="External"/><Relationship Id="rId278" Type="http://schemas.openxmlformats.org/officeDocument/2006/relationships/hyperlink" Target="https://www.tempurpedic.com/shop-pillows/adapt-pillows/" TargetMode="External"/><Relationship Id="rId156" Type="http://schemas.openxmlformats.org/officeDocument/2006/relationships/hyperlink" Target="https://bedgear.com/products/hyper-cotton-sheet-set" TargetMode="External"/><Relationship Id="rId277" Type="http://schemas.openxmlformats.org/officeDocument/2006/relationships/hyperlink" Target="https://assets-www.tempurpedic.com/media/images/TEMPUR_Pillow_Adapt_ProAdjust_Styled_MAR24_04.original.jpg" TargetMode="External"/><Relationship Id="rId155" Type="http://schemas.openxmlformats.org/officeDocument/2006/relationships/hyperlink" Target="https://bedgear.com/cdn/shop/files/01-Deep_Teal-ProductShot-Stack_f961bca3-7fcb-42f6-81f6-67472a9025f5.jpg" TargetMode="External"/><Relationship Id="rId276" Type="http://schemas.openxmlformats.org/officeDocument/2006/relationships/hyperlink" Target="https://www.tempurpedic.com/shop-pillows/adapt-pillows/" TargetMode="External"/><Relationship Id="rId107" Type="http://schemas.openxmlformats.org/officeDocument/2006/relationships/hyperlink" Target="https://bedgear.com/cdn/shop/files/01-Grey-ProductShot-Stack_de9d1597-1c50-403a-a9af-2923ed02cd42.jpg" TargetMode="External"/><Relationship Id="rId228" Type="http://schemas.openxmlformats.org/officeDocument/2006/relationships/hyperlink" Target="https://bedgear.com/products/aspen-performance-pillow" TargetMode="External"/><Relationship Id="rId106" Type="http://schemas.openxmlformats.org/officeDocument/2006/relationships/hyperlink" Target="https://bedgear.com/products/dri-tec-sheet-set" TargetMode="External"/><Relationship Id="rId227" Type="http://schemas.openxmlformats.org/officeDocument/2006/relationships/hyperlink" Target="https://bedgear.com/cdn/shop/files/ASPEN-PILLOW-01-Main_75db6ada-94b5-4d22-88a1-edf843444220.jpg" TargetMode="External"/><Relationship Id="rId105" Type="http://schemas.openxmlformats.org/officeDocument/2006/relationships/hyperlink" Target="https://bedgear.com/cdn/shop/files/01-Grey-ProductShot-Stack_de9d1597-1c50-403a-a9af-2923ed02cd42.jpg" TargetMode="External"/><Relationship Id="rId226" Type="http://schemas.openxmlformats.org/officeDocument/2006/relationships/hyperlink" Target="https://bedgear.com/products/aspen-performance-pillow" TargetMode="External"/><Relationship Id="rId104" Type="http://schemas.openxmlformats.org/officeDocument/2006/relationships/hyperlink" Target="https://bedgear.com/products/hyper-cotton-sheet-set" TargetMode="External"/><Relationship Id="rId225" Type="http://schemas.openxmlformats.org/officeDocument/2006/relationships/hyperlink" Target="https://bedgear.com/cdn/shop/files/ASPEN-PILLOW-01-Main_75db6ada-94b5-4d22-88a1-edf843444220.jpg" TargetMode="External"/><Relationship Id="rId109" Type="http://schemas.openxmlformats.org/officeDocument/2006/relationships/hyperlink" Target="https://bedgear.com/cdn/shop/files/01-Grey-ProductShot-Stack_de9d1597-1c50-403a-a9af-2923ed02cd42.jpg" TargetMode="External"/><Relationship Id="rId108" Type="http://schemas.openxmlformats.org/officeDocument/2006/relationships/hyperlink" Target="https://bedgear.com/products/dri-tec-sheet-set" TargetMode="External"/><Relationship Id="rId229" Type="http://schemas.openxmlformats.org/officeDocument/2006/relationships/hyperlink" Target="https://bedgear.com/cdn/shop/files/ASPEN-PILLOW-01-Main_75db6ada-94b5-4d22-88a1-edf843444220.jpg" TargetMode="External"/><Relationship Id="rId220" Type="http://schemas.openxmlformats.org/officeDocument/2006/relationships/hyperlink" Target="https://bedgear.com/products/aspen-performance-pillow" TargetMode="External"/><Relationship Id="rId103" Type="http://schemas.openxmlformats.org/officeDocument/2006/relationships/hyperlink" Target="https://bedgear.com/cdn/shop/files/01-Deep_Teal-ProductShot-Stack_f961bca3-7fcb-42f6-81f6-67472a9025f5.jpg" TargetMode="External"/><Relationship Id="rId224" Type="http://schemas.openxmlformats.org/officeDocument/2006/relationships/hyperlink" Target="https://bedgear.com/products/aspen-performance-pillow" TargetMode="External"/><Relationship Id="rId102" Type="http://schemas.openxmlformats.org/officeDocument/2006/relationships/hyperlink" Target="https://bedgear.com/products/hyper-cotton-sheet-set" TargetMode="External"/><Relationship Id="rId223" Type="http://schemas.openxmlformats.org/officeDocument/2006/relationships/hyperlink" Target="https://bedgear.com/cdn/shop/files/ASPEN-PILLOW-01-Main_75db6ada-94b5-4d22-88a1-edf843444220.jpg" TargetMode="External"/><Relationship Id="rId101" Type="http://schemas.openxmlformats.org/officeDocument/2006/relationships/hyperlink" Target="https://bedgear.com/cdn/shop/files/01-Deep_Teal-ProductShot-Stack_f961bca3-7fcb-42f6-81f6-67472a9025f5.jpg" TargetMode="External"/><Relationship Id="rId222" Type="http://schemas.openxmlformats.org/officeDocument/2006/relationships/hyperlink" Target="https://bedgear.com/products/aspen-performance-pillow" TargetMode="External"/><Relationship Id="rId100" Type="http://schemas.openxmlformats.org/officeDocument/2006/relationships/hyperlink" Target="https://bedgear.com/products/hyper-cotton-sheet-set" TargetMode="External"/><Relationship Id="rId221" Type="http://schemas.openxmlformats.org/officeDocument/2006/relationships/hyperlink" Target="https://bedgear.com/cdn/shop/files/ASPEN-PILLOW-01-Main_75db6ada-94b5-4d22-88a1-edf843444220.jpg" TargetMode="External"/><Relationship Id="rId217" Type="http://schemas.openxmlformats.org/officeDocument/2006/relationships/hyperlink" Target="https://bedgear.com/cdn/shop/files/ASPEN-PILLOW-01-Main_75db6ada-94b5-4d22-88a1-edf843444220.jpg" TargetMode="External"/><Relationship Id="rId216" Type="http://schemas.openxmlformats.org/officeDocument/2006/relationships/hyperlink" Target="https://bedgear.com/products/aspen-performance-pillow" TargetMode="External"/><Relationship Id="rId215" Type="http://schemas.openxmlformats.org/officeDocument/2006/relationships/hyperlink" Target="https://bedgear.com/cdn/shop/files/ASPEN-PILLOW-01-Main_75db6ada-94b5-4d22-88a1-edf843444220.jpg" TargetMode="External"/><Relationship Id="rId214" Type="http://schemas.openxmlformats.org/officeDocument/2006/relationships/hyperlink" Target="https://bedgear.com/products/hyper-cotton-sheet-set" TargetMode="External"/><Relationship Id="rId219" Type="http://schemas.openxmlformats.org/officeDocument/2006/relationships/hyperlink" Target="https://bedgear.com/cdn/shop/files/ASPEN-PILLOW-01-Main_75db6ada-94b5-4d22-88a1-edf843444220.jpg" TargetMode="External"/><Relationship Id="rId218" Type="http://schemas.openxmlformats.org/officeDocument/2006/relationships/hyperlink" Target="https://bedgear.com/products/aspen-performance-pillow" TargetMode="External"/><Relationship Id="rId213" Type="http://schemas.openxmlformats.org/officeDocument/2006/relationships/hyperlink" Target="https://bedgear.com/cdn/shop/files/01-Deep_Teal-ProductShot-Stack_f961bca3-7fcb-42f6-81f6-67472a9025f5.jpg" TargetMode="External"/><Relationship Id="rId212" Type="http://schemas.openxmlformats.org/officeDocument/2006/relationships/hyperlink" Target="https://bedgear.com/products/hyper-cotton-sheet-set" TargetMode="External"/><Relationship Id="rId211" Type="http://schemas.openxmlformats.org/officeDocument/2006/relationships/hyperlink" Target="https://bedgear.com/cdn/shop/files/01-Deep_Teal-ProductShot-Stack_f961bca3-7fcb-42f6-81f6-67472a9025f5.jpg" TargetMode="External"/><Relationship Id="rId210" Type="http://schemas.openxmlformats.org/officeDocument/2006/relationships/hyperlink" Target="https://bedgear.com/products/hyper-cotton-sheet-set" TargetMode="External"/><Relationship Id="rId129" Type="http://schemas.openxmlformats.org/officeDocument/2006/relationships/hyperlink" Target="https://bedgear.com/cdn/shop/files/01-Grey-ProductShot-Stack_de9d1597-1c50-403a-a9af-2923ed02cd42.jpg" TargetMode="External"/><Relationship Id="rId128" Type="http://schemas.openxmlformats.org/officeDocument/2006/relationships/hyperlink" Target="https://bedgear.com/products/dri-tec-sheet-set" TargetMode="External"/><Relationship Id="rId249" Type="http://schemas.openxmlformats.org/officeDocument/2006/relationships/hyperlink" Target="https://bedgear.com/cdn/shop/files/01-NIGHT_ICE-1.0-ProductShot-Main_0432e2a4-3a2f-40bb-b3f0-48674c79b69d.jpg" TargetMode="External"/><Relationship Id="rId127" Type="http://schemas.openxmlformats.org/officeDocument/2006/relationships/hyperlink" Target="https://bedgear.com/cdn/shop/files/01-Grey-ProductShot-Stack_de9d1597-1c50-403a-a9af-2923ed02cd42.jpg" TargetMode="External"/><Relationship Id="rId248" Type="http://schemas.openxmlformats.org/officeDocument/2006/relationships/hyperlink" Target="https://bedgear.com/products/night-ice-performance-pillow" TargetMode="External"/><Relationship Id="rId126" Type="http://schemas.openxmlformats.org/officeDocument/2006/relationships/hyperlink" Target="https://bedgear.com/products/ver-tex-sheet-set" TargetMode="External"/><Relationship Id="rId247" Type="http://schemas.openxmlformats.org/officeDocument/2006/relationships/hyperlink" Target="https://bedgear.com/cdn/shop/files/01-NIGHT_ICE-1.0-ProductShot-Main_0432e2a4-3a2f-40bb-b3f0-48674c79b69d.jpg" TargetMode="External"/><Relationship Id="rId121" Type="http://schemas.openxmlformats.org/officeDocument/2006/relationships/hyperlink" Target="https://bedgear.com/cdn/shop/files/01-MistyBlue-ProductShot-Stack_1af20743-1dcb-43b8-bd89-409acf86c5b2.jpg" TargetMode="External"/><Relationship Id="rId242" Type="http://schemas.openxmlformats.org/officeDocument/2006/relationships/hyperlink" Target="https://bedgear.com/products/night-ice-performance-pillow" TargetMode="External"/><Relationship Id="rId120" Type="http://schemas.openxmlformats.org/officeDocument/2006/relationships/hyperlink" Target="https://bedgear.com/products/ver-tex-sheet-set" TargetMode="External"/><Relationship Id="rId241" Type="http://schemas.openxmlformats.org/officeDocument/2006/relationships/hyperlink" Target="https://bedgear.com/cdn/shop/files/01-NIGHT_ICE-1.0-ProductShot-Main_0432e2a4-3a2f-40bb-b3f0-48674c79b69d.jpg" TargetMode="External"/><Relationship Id="rId240" Type="http://schemas.openxmlformats.org/officeDocument/2006/relationships/hyperlink" Target="https://bedgear.com/products/night-ice-performance-pillow" TargetMode="External"/><Relationship Id="rId125" Type="http://schemas.openxmlformats.org/officeDocument/2006/relationships/hyperlink" Target="https://bedgear.com/cdn/shop/files/01-MistyBlue-ProductShot-Stack_1af20743-1dcb-43b8-bd89-409acf86c5b2.jpg" TargetMode="External"/><Relationship Id="rId246" Type="http://schemas.openxmlformats.org/officeDocument/2006/relationships/hyperlink" Target="https://bedgear.com/products/night-ice-performance-pillow" TargetMode="External"/><Relationship Id="rId124" Type="http://schemas.openxmlformats.org/officeDocument/2006/relationships/hyperlink" Target="https://bedgear.com/products/ver-tex-sheet-set" TargetMode="External"/><Relationship Id="rId245" Type="http://schemas.openxmlformats.org/officeDocument/2006/relationships/hyperlink" Target="https://bedgear.com/cdn/shop/files/01-NIGHT_ICE-1.0-ProductShot-Main_0432e2a4-3a2f-40bb-b3f0-48674c79b69d.jpg" TargetMode="External"/><Relationship Id="rId123" Type="http://schemas.openxmlformats.org/officeDocument/2006/relationships/hyperlink" Target="https://bedgear.com/cdn/shop/files/01-MistyBlue-ProductShot-Stack_1af20743-1dcb-43b8-bd89-409acf86c5b2.jpg" TargetMode="External"/><Relationship Id="rId244" Type="http://schemas.openxmlformats.org/officeDocument/2006/relationships/hyperlink" Target="https://bedgear.com/products/night-ice-performance-pillow" TargetMode="External"/><Relationship Id="rId122" Type="http://schemas.openxmlformats.org/officeDocument/2006/relationships/hyperlink" Target="https://bedgear.com/products/ver-tex-sheet-set" TargetMode="External"/><Relationship Id="rId243" Type="http://schemas.openxmlformats.org/officeDocument/2006/relationships/hyperlink" Target="https://bedgear.com/cdn/shop/files/01-NIGHT_ICE-1.0-ProductShot-Main_0432e2a4-3a2f-40bb-b3f0-48674c79b69d.jpg" TargetMode="External"/><Relationship Id="rId95" Type="http://schemas.openxmlformats.org/officeDocument/2006/relationships/hyperlink" Target="https://bedgear.com/cdn/shop/files/Medium_Beige-01-ProductShot-Stack_e8704345-f3db-4f47-af72-515431ff0e9a.jpg" TargetMode="External"/><Relationship Id="rId94" Type="http://schemas.openxmlformats.org/officeDocument/2006/relationships/hyperlink" Target="https://bedgear.com/products/basic-sheet-set" TargetMode="External"/><Relationship Id="rId97" Type="http://schemas.openxmlformats.org/officeDocument/2006/relationships/hyperlink" Target="https://bedgear.com/cdn/shop/files/Medium_Beige-01-ProductShot-Stack_e8704345-f3db-4f47-af72-515431ff0e9a.jpg" TargetMode="External"/><Relationship Id="rId96" Type="http://schemas.openxmlformats.org/officeDocument/2006/relationships/hyperlink" Target="https://bedgear.com/products/basic-sheet-set" TargetMode="External"/><Relationship Id="rId99" Type="http://schemas.openxmlformats.org/officeDocument/2006/relationships/hyperlink" Target="https://bedgear.com/cdn/shop/files/01-Deep_Teal-ProductShot-Stack_f961bca3-7fcb-42f6-81f6-67472a9025f5.jpg" TargetMode="External"/><Relationship Id="rId98" Type="http://schemas.openxmlformats.org/officeDocument/2006/relationships/hyperlink" Target="https://bedgear.com/products/basic-sheet-set" TargetMode="External"/><Relationship Id="rId91" Type="http://schemas.openxmlformats.org/officeDocument/2006/relationships/hyperlink" Target="https://bedgear.com/cdn/shop/files/01-Grey-ProductShot-Stack_de9d1597-1c50-403a-a9af-2923ed02cd42.jpg" TargetMode="External"/><Relationship Id="rId90" Type="http://schemas.openxmlformats.org/officeDocument/2006/relationships/hyperlink" Target="https://bedgear.com/products/hyper-cotton-sheet-set" TargetMode="External"/><Relationship Id="rId93" Type="http://schemas.openxmlformats.org/officeDocument/2006/relationships/hyperlink" Target="https://bedgear.com/cdn/shop/files/Medium_Beige-01-ProductShot-Stack_e8704345-f3db-4f47-af72-515431ff0e9a.jpg" TargetMode="External"/><Relationship Id="rId92" Type="http://schemas.openxmlformats.org/officeDocument/2006/relationships/hyperlink" Target="https://bedgear.com/products/dri-tec-sheet-set" TargetMode="External"/><Relationship Id="rId118" Type="http://schemas.openxmlformats.org/officeDocument/2006/relationships/hyperlink" Target="https://bedgear.com/products/dri-tec-sheet-set" TargetMode="External"/><Relationship Id="rId239" Type="http://schemas.openxmlformats.org/officeDocument/2006/relationships/hyperlink" Target="https://bedgear.com/cdn/shop/files/01-NIGHT_ICE-1.0-ProductShot-Main_0432e2a4-3a2f-40bb-b3f0-48674c79b69d.jpg" TargetMode="External"/><Relationship Id="rId117" Type="http://schemas.openxmlformats.org/officeDocument/2006/relationships/hyperlink" Target="https://bedgear.com/cdn/shop/files/01-Grey-ProductShot-Stack_de9d1597-1c50-403a-a9af-2923ed02cd42.jpg" TargetMode="External"/><Relationship Id="rId238" Type="http://schemas.openxmlformats.org/officeDocument/2006/relationships/hyperlink" Target="https://bedgear.com/products/night-ice-performance-pillow" TargetMode="External"/><Relationship Id="rId116" Type="http://schemas.openxmlformats.org/officeDocument/2006/relationships/hyperlink" Target="https://bedgear.com/products/basic-sheet-set" TargetMode="External"/><Relationship Id="rId237" Type="http://schemas.openxmlformats.org/officeDocument/2006/relationships/hyperlink" Target="https://bedgear.com/cdn/shop/files/01-NIGHT_ICE-1.0-ProductShot-Main_0432e2a4-3a2f-40bb-b3f0-48674c79b69d.jpg" TargetMode="External"/><Relationship Id="rId115" Type="http://schemas.openxmlformats.org/officeDocument/2006/relationships/hyperlink" Target="https://bedgear.com/cdn/shop/files/Medium_Beige-01-ProductShot-Stack_e8704345-f3db-4f47-af72-515431ff0e9a.jpg" TargetMode="External"/><Relationship Id="rId236" Type="http://schemas.openxmlformats.org/officeDocument/2006/relationships/hyperlink" Target="https://www.beautyrest.com/products/beautyrest-black-luxury-foam-pillow" TargetMode="External"/><Relationship Id="rId119" Type="http://schemas.openxmlformats.org/officeDocument/2006/relationships/hyperlink" Target="https://bedgear.com/cdn/shop/files/01-MistyBlue-ProductShot-Stack_1af20743-1dcb-43b8-bd89-409acf86c5b2.jpg" TargetMode="External"/><Relationship Id="rId110" Type="http://schemas.openxmlformats.org/officeDocument/2006/relationships/hyperlink" Target="https://bedgear.com/products/dri-tec-sheet-set" TargetMode="External"/><Relationship Id="rId231" Type="http://schemas.openxmlformats.org/officeDocument/2006/relationships/hyperlink" Target="https://casper.com/cdn/shop/files/Foam-Snow-Pillow-Feel-Scale.jpg" TargetMode="External"/><Relationship Id="rId230" Type="http://schemas.openxmlformats.org/officeDocument/2006/relationships/hyperlink" Target="https://bedgear.com/products/aspen-performance-pillow" TargetMode="External"/><Relationship Id="rId114" Type="http://schemas.openxmlformats.org/officeDocument/2006/relationships/hyperlink" Target="https://bedgear.com/products/basic-sheet-set" TargetMode="External"/><Relationship Id="rId235" Type="http://schemas.openxmlformats.org/officeDocument/2006/relationships/hyperlink" Target="https://www.beautyrest.com/adobe/assets/urn:aaid:aem:82e5d4d3-96f4-47c6-992a-ab9de4bfc48b/as/2504-BR-DeluxeDownAlt-Pillow-PDP-Loftvisuals.jpg" TargetMode="External"/><Relationship Id="rId113" Type="http://schemas.openxmlformats.org/officeDocument/2006/relationships/hyperlink" Target="https://bedgear.com/cdn/shop/files/Medium_Beige-01-ProductShot-Stack_e8704345-f3db-4f47-af72-515431ff0e9a.jpg" TargetMode="External"/><Relationship Id="rId234" Type="http://schemas.openxmlformats.org/officeDocument/2006/relationships/hyperlink" Target="https://casper.com/products/foam-snow-pillow" TargetMode="External"/><Relationship Id="rId112" Type="http://schemas.openxmlformats.org/officeDocument/2006/relationships/hyperlink" Target="https://bedgear.com/products/basic-sheet-set" TargetMode="External"/><Relationship Id="rId233" Type="http://schemas.openxmlformats.org/officeDocument/2006/relationships/hyperlink" Target="https://casper.com/cdn/shop/files/Foam-Snow-Pillow-Feel-Scale.jpg" TargetMode="External"/><Relationship Id="rId111" Type="http://schemas.openxmlformats.org/officeDocument/2006/relationships/hyperlink" Target="https://bedgear.com/cdn/shop/files/Medium_Beige-01-ProductShot-Stack_e8704345-f3db-4f47-af72-515431ff0e9a.jpg" TargetMode="External"/><Relationship Id="rId232" Type="http://schemas.openxmlformats.org/officeDocument/2006/relationships/hyperlink" Target="https://casper.com/products/foam-snow-pillow" TargetMode="External"/><Relationship Id="rId206" Type="http://schemas.openxmlformats.org/officeDocument/2006/relationships/hyperlink" Target="https://bedgear.com/products/basic-sheet-set" TargetMode="External"/><Relationship Id="rId205" Type="http://schemas.openxmlformats.org/officeDocument/2006/relationships/hyperlink" Target="https://bedgear.com/cdn/shop/files/Medium_Beige-01-ProductShot-Stack_e8704345-f3db-4f47-af72-515431ff0e9a.jpg" TargetMode="External"/><Relationship Id="rId204" Type="http://schemas.openxmlformats.org/officeDocument/2006/relationships/hyperlink" Target="https://bedgear.com/products/basic-sheet-set" TargetMode="External"/><Relationship Id="rId203" Type="http://schemas.openxmlformats.org/officeDocument/2006/relationships/hyperlink" Target="https://bedgear.com/cdn/shop/files/Medium_Beige-01-ProductShot-Stack_e8704345-f3db-4f47-af72-515431ff0e9a.jpg" TargetMode="External"/><Relationship Id="rId209" Type="http://schemas.openxmlformats.org/officeDocument/2006/relationships/hyperlink" Target="https://bedgear.com/cdn/shop/files/01-Deep_Teal-ProductShot-Stack_f961bca3-7fcb-42f6-81f6-67472a9025f5.jpg" TargetMode="External"/><Relationship Id="rId208" Type="http://schemas.openxmlformats.org/officeDocument/2006/relationships/hyperlink" Target="https://bedgear.com/products/basic-sheet-set" TargetMode="External"/><Relationship Id="rId207" Type="http://schemas.openxmlformats.org/officeDocument/2006/relationships/hyperlink" Target="https://bedgear.com/cdn/shop/files/Medium_Beige-01-ProductShot-Stack_e8704345-f3db-4f47-af72-515431ff0e9a.jpg" TargetMode="External"/><Relationship Id="rId202" Type="http://schemas.openxmlformats.org/officeDocument/2006/relationships/hyperlink" Target="https://bedgear.com/products/dri-tec-sheet-set" TargetMode="External"/><Relationship Id="rId201" Type="http://schemas.openxmlformats.org/officeDocument/2006/relationships/hyperlink" Target="https://bedgear.com/cdn/shop/files/01-Grey-ProductShot-Stack_de9d1597-1c50-403a-a9af-2923ed02cd42.jpg" TargetMode="External"/><Relationship Id="rId200" Type="http://schemas.openxmlformats.org/officeDocument/2006/relationships/hyperlink" Target="https://bedgear.com/products/basic-sheet-s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14.25"/>
    <col customWidth="1" min="4" max="4" width="35.38"/>
    <col customWidth="1" min="5" max="5" width="32.63"/>
    <col customWidth="1" min="6" max="6" width="29.63"/>
    <col customWidth="1" min="7" max="7" width="14.0"/>
    <col customWidth="1" min="10" max="10" width="45.88"/>
    <col customWidth="1" min="11" max="11" width="29.75"/>
    <col customWidth="1" min="14" max="14" width="31.5"/>
    <col customWidth="1" min="15" max="15" width="17.75"/>
    <col customWidth="1" min="16" max="16" width="115.25"/>
    <col customWidth="1" min="20" max="20" width="20.5"/>
    <col customWidth="1" min="21" max="21" width="29.38"/>
    <col customWidth="1" min="26" max="26" width="99.13"/>
  </cols>
  <sheetData>
    <row r="1">
      <c r="A1" s="1" t="s">
        <v>0</v>
      </c>
      <c r="B1" s="2" t="s">
        <v>1</v>
      </c>
      <c r="C1" s="2" t="s">
        <v>2</v>
      </c>
      <c r="D1" s="2" t="s">
        <v>3</v>
      </c>
      <c r="E1" s="2" t="s">
        <v>4</v>
      </c>
      <c r="F1" s="2" t="s">
        <v>5</v>
      </c>
      <c r="G1" s="2" t="s">
        <v>6</v>
      </c>
      <c r="H1" s="2"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row>
    <row r="2">
      <c r="A2" s="4">
        <v>5.0000543E7</v>
      </c>
      <c r="B2" s="5"/>
      <c r="C2" s="5"/>
      <c r="D2" s="5"/>
      <c r="E2" s="5"/>
      <c r="F2" s="5"/>
      <c r="G2" s="5"/>
      <c r="H2" s="5"/>
      <c r="I2" s="5"/>
      <c r="J2" s="1" t="s">
        <v>28</v>
      </c>
      <c r="K2" s="1" t="s">
        <v>29</v>
      </c>
      <c r="L2" s="6">
        <v>879.0</v>
      </c>
      <c r="M2" s="6">
        <v>1099.0</v>
      </c>
      <c r="N2" s="1" t="s">
        <v>30</v>
      </c>
      <c r="O2" s="7"/>
      <c r="P2" s="7"/>
      <c r="Q2" s="1" t="s">
        <v>31</v>
      </c>
      <c r="R2" s="1" t="s">
        <v>32</v>
      </c>
      <c r="S2" s="1" t="s">
        <v>33</v>
      </c>
      <c r="T2" s="1" t="s">
        <v>34</v>
      </c>
      <c r="U2" s="1" t="s">
        <v>35</v>
      </c>
      <c r="V2" s="1" t="s">
        <v>34</v>
      </c>
      <c r="W2" s="1" t="s">
        <v>36</v>
      </c>
      <c r="X2" s="1" t="s">
        <v>37</v>
      </c>
      <c r="Y2" s="8" t="str">
        <f>IFERROR(VLOOKUP(A2,Sheet3!B:H,6,false),VLOOKUP(J2,Sheet2!A:C,2,false))</f>
        <v>https://assets.roomstogo.com/product/casper-cloud-one-twin-xl-mattress_50000543_image-item</v>
      </c>
      <c r="Z2" s="8" t="str">
        <f>IFERROR(VLOOKUP(A2,Sheet3!B:H,7,false),VLOOKUP(J2,Sheet2!A:C,3,false))</f>
        <v>https://assets.roomstogo.com/product/casper-cloud-one-twin-xl-mattress_50000543_alt-image-1</v>
      </c>
    </row>
    <row r="3">
      <c r="A3" s="4">
        <v>5.0000579E7</v>
      </c>
      <c r="B3" s="5"/>
      <c r="C3" s="5"/>
      <c r="D3" s="5"/>
      <c r="E3" s="5"/>
      <c r="F3" s="5"/>
      <c r="G3" s="5"/>
      <c r="H3" s="5"/>
      <c r="I3" s="5"/>
      <c r="J3" s="1" t="s">
        <v>38</v>
      </c>
      <c r="K3" s="1" t="s">
        <v>39</v>
      </c>
      <c r="L3" s="6">
        <v>1595.0</v>
      </c>
      <c r="M3" s="6">
        <v>1995.0</v>
      </c>
      <c r="N3" s="1" t="s">
        <v>30</v>
      </c>
      <c r="O3" s="7"/>
      <c r="P3" s="1" t="s">
        <v>40</v>
      </c>
      <c r="Q3" s="1" t="s">
        <v>31</v>
      </c>
      <c r="R3" s="1" t="s">
        <v>32</v>
      </c>
      <c r="S3" s="1" t="s">
        <v>41</v>
      </c>
      <c r="T3" s="1" t="s">
        <v>34</v>
      </c>
      <c r="U3" s="1" t="s">
        <v>35</v>
      </c>
      <c r="V3" s="1" t="s">
        <v>34</v>
      </c>
      <c r="W3" s="1" t="s">
        <v>42</v>
      </c>
      <c r="X3" s="1" t="s">
        <v>37</v>
      </c>
      <c r="Y3" s="8" t="str">
        <f>IFERROR(VLOOKUP(A3,Sheet3!B:H,6,false),VLOOKUP(J3,Sheet2!A:C,2,false))</f>
        <v>https://assets.roomstogo.com/product/casper-snow-20-twin-xl-mattress_50000579_image-item</v>
      </c>
      <c r="Z3" s="8" t="str">
        <f>IFERROR(VLOOKUP(A3,Sheet3!B:H,7,false),VLOOKUP(J3,Sheet2!A:C,3,false))</f>
        <v>https://assets.roomstogo.com/product/casper-snow-20-twin-xl-mattress_50000579_alt-image-1</v>
      </c>
    </row>
    <row r="4">
      <c r="A4" s="4">
        <v>5.0000581E7</v>
      </c>
      <c r="B4" s="9">
        <v>1.0</v>
      </c>
      <c r="C4" s="9">
        <v>5.0</v>
      </c>
      <c r="D4" s="2" t="s">
        <v>43</v>
      </c>
      <c r="E4" s="2" t="s">
        <v>44</v>
      </c>
      <c r="F4" s="2" t="s">
        <v>45</v>
      </c>
      <c r="G4" s="9">
        <v>380.0</v>
      </c>
      <c r="H4" s="9">
        <v>4.42</v>
      </c>
      <c r="I4" s="9">
        <v>379.0</v>
      </c>
      <c r="J4" s="1" t="s">
        <v>46</v>
      </c>
      <c r="K4" s="1" t="s">
        <v>47</v>
      </c>
      <c r="L4" s="6">
        <v>2595.0</v>
      </c>
      <c r="M4" s="6">
        <v>3245.0</v>
      </c>
      <c r="N4" s="1" t="s">
        <v>30</v>
      </c>
      <c r="O4" s="7"/>
      <c r="P4" s="1" t="s">
        <v>48</v>
      </c>
      <c r="Q4" s="1" t="s">
        <v>31</v>
      </c>
      <c r="R4" s="1" t="s">
        <v>32</v>
      </c>
      <c r="S4" s="1" t="s">
        <v>41</v>
      </c>
      <c r="T4" s="1" t="s">
        <v>42</v>
      </c>
      <c r="U4" s="1" t="s">
        <v>49</v>
      </c>
      <c r="V4" s="1" t="s">
        <v>34</v>
      </c>
      <c r="W4" s="1" t="s">
        <v>50</v>
      </c>
      <c r="X4" s="1" t="s">
        <v>51</v>
      </c>
      <c r="Y4" s="8" t="str">
        <f>IFERROR(VLOOKUP(A4,Sheet3!B:H,6,false),VLOOKUP(J4,Sheet2!A:C,2,false))</f>
        <v>https://assets.roomstogo.com/product/casper-snow-max-twin-xl-mattress_50000581_image-item</v>
      </c>
      <c r="Z4" s="8" t="str">
        <f>IFERROR(VLOOKUP(A4,Sheet3!B:H,7,false),VLOOKUP(J4,Sheet2!A:C,3,false))</f>
        <v>https://assets.roomstogo.com/product/casper-snow-max-twin-xl-mattress_50000581_alt-image-1</v>
      </c>
    </row>
    <row r="5">
      <c r="A5" s="4">
        <v>5.0000682E7</v>
      </c>
      <c r="B5" s="5"/>
      <c r="C5" s="5"/>
      <c r="D5" s="5"/>
      <c r="E5" s="5"/>
      <c r="F5" s="5"/>
      <c r="G5" s="5"/>
      <c r="H5" s="5"/>
      <c r="I5" s="5"/>
      <c r="J5" s="1" t="s">
        <v>52</v>
      </c>
      <c r="K5" s="1" t="s">
        <v>53</v>
      </c>
      <c r="L5" s="6">
        <v>699.0</v>
      </c>
      <c r="M5" s="6">
        <v>799.0</v>
      </c>
      <c r="N5" s="1" t="s">
        <v>30</v>
      </c>
      <c r="O5" s="1" t="s">
        <v>54</v>
      </c>
      <c r="P5" s="1" t="s">
        <v>55</v>
      </c>
      <c r="Q5" s="1" t="s">
        <v>31</v>
      </c>
      <c r="R5" s="1" t="s">
        <v>32</v>
      </c>
      <c r="S5" s="1" t="s">
        <v>33</v>
      </c>
      <c r="T5" s="1" t="s">
        <v>36</v>
      </c>
      <c r="U5" s="1" t="s">
        <v>35</v>
      </c>
      <c r="V5" s="1" t="s">
        <v>36</v>
      </c>
      <c r="W5" s="1" t="s">
        <v>36</v>
      </c>
      <c r="X5" s="1" t="s">
        <v>37</v>
      </c>
      <c r="Y5" s="8" t="str">
        <f>IFERROR(VLOOKUP(A5,Sheet3!B:H,6,false),VLOOKUP(J5,Sheet2!A:C,2,false))</f>
        <v>https://assets.roomstogo.com/product/casper-onyx-20-twin-xl-mattress_50000682_image-item</v>
      </c>
      <c r="Z5" s="8" t="str">
        <f>IFERROR(VLOOKUP(A5,Sheet3!B:H,7,false),VLOOKUP(J5,Sheet2!A:C,3,false))</f>
        <v>https://assets.roomstogo.com/product/casper-onyx-20-twin-xl-mattress_50000682_alt-image-1</v>
      </c>
    </row>
    <row r="6">
      <c r="A6" s="4">
        <v>5.0001773E7</v>
      </c>
      <c r="B6" s="5"/>
      <c r="C6" s="5"/>
      <c r="D6" s="5"/>
      <c r="E6" s="5"/>
      <c r="F6" s="5"/>
      <c r="G6" s="5"/>
      <c r="H6" s="5"/>
      <c r="I6" s="5"/>
      <c r="J6" s="1" t="s">
        <v>56</v>
      </c>
      <c r="K6" s="1" t="s">
        <v>57</v>
      </c>
      <c r="L6" s="6">
        <v>1077.0</v>
      </c>
      <c r="M6" s="6">
        <v>3199.0</v>
      </c>
      <c r="N6" s="1" t="s">
        <v>58</v>
      </c>
      <c r="O6" s="7"/>
      <c r="P6" s="7"/>
      <c r="Q6" s="7"/>
      <c r="R6" s="1" t="s">
        <v>32</v>
      </c>
      <c r="S6" s="1" t="s">
        <v>59</v>
      </c>
      <c r="T6" s="1" t="s">
        <v>42</v>
      </c>
      <c r="U6" s="1" t="s">
        <v>35</v>
      </c>
      <c r="V6" s="1" t="s">
        <v>42</v>
      </c>
      <c r="W6" s="1" t="s">
        <v>34</v>
      </c>
      <c r="X6" s="1" t="s">
        <v>37</v>
      </c>
      <c r="Y6" s="8" t="str">
        <f>IFERROR(VLOOKUP(A6,Sheet3!B:H,6,false),VLOOKUP(J6,Sheet2!A:C,2,false))</f>
        <v>https://assets.roomstogo.com/product/kingsdown-smart-match-20-twin-xl-mattress_50001773_image-item</v>
      </c>
      <c r="Z6" s="8" t="str">
        <f>IFERROR(VLOOKUP(A6,Sheet3!B:H,7,false),VLOOKUP(J6,Sheet2!A:C,3,false))</f>
        <v>https://assets.roomstogo.com/product/kingsdown-smart-match-20-twin-xl-mattress_50001773_alt-image-1</v>
      </c>
    </row>
    <row r="7">
      <c r="A7" s="4">
        <v>5.000746E7</v>
      </c>
      <c r="B7" s="9">
        <v>332.0</v>
      </c>
      <c r="C7" s="9">
        <v>4.48</v>
      </c>
      <c r="D7" s="2" t="s">
        <v>60</v>
      </c>
      <c r="E7" s="2" t="s">
        <v>44</v>
      </c>
      <c r="F7" s="2" t="s">
        <v>61</v>
      </c>
      <c r="G7" s="9">
        <v>346.0</v>
      </c>
      <c r="H7" s="9">
        <v>4.43</v>
      </c>
      <c r="I7" s="9">
        <v>14.0</v>
      </c>
      <c r="J7" s="1" t="s">
        <v>62</v>
      </c>
      <c r="K7" s="1" t="s">
        <v>63</v>
      </c>
      <c r="L7" s="6">
        <v>1699.0</v>
      </c>
      <c r="M7" s="6">
        <v>1699.0</v>
      </c>
      <c r="N7" s="1" t="s">
        <v>64</v>
      </c>
      <c r="O7" s="7"/>
      <c r="P7" s="1" t="s">
        <v>65</v>
      </c>
      <c r="Q7" s="1" t="s">
        <v>31</v>
      </c>
      <c r="R7" s="1" t="s">
        <v>32</v>
      </c>
      <c r="S7" s="1" t="s">
        <v>33</v>
      </c>
      <c r="T7" s="1" t="s">
        <v>42</v>
      </c>
      <c r="U7" s="1" t="s">
        <v>35</v>
      </c>
      <c r="V7" s="1" t="s">
        <v>42</v>
      </c>
      <c r="W7" s="1" t="s">
        <v>42</v>
      </c>
      <c r="X7" s="1" t="s">
        <v>37</v>
      </c>
      <c r="Y7" s="8" t="str">
        <f>IFERROR(VLOOKUP(A7,Sheet3!B:H,6,false),VLOOKUP(J7,Sheet2!A:C,2,false))</f>
        <v>https://assets.roomstogo.com/product/tempur-pedic-adapt-20-medium-twin-xl-mattress_50007460_image-item</v>
      </c>
      <c r="Z7" s="8" t="str">
        <f>IFERROR(VLOOKUP(A7,Sheet3!B:H,7,false),VLOOKUP(J7,Sheet2!A:C,3,false))</f>
        <v>https://assets.roomstogo.com/product/tempur-pedic-adapt-20-medium-twin-xl-mattress_50007460_alt-image-1</v>
      </c>
    </row>
    <row r="8">
      <c r="A8" s="4">
        <v>5.0007472E7</v>
      </c>
      <c r="B8" s="10">
        <v>2576.0</v>
      </c>
      <c r="C8" s="9">
        <v>4.2</v>
      </c>
      <c r="D8" s="2" t="s">
        <v>66</v>
      </c>
      <c r="E8" s="2" t="s">
        <v>44</v>
      </c>
      <c r="F8" s="2" t="s">
        <v>67</v>
      </c>
      <c r="G8" s="9">
        <v>2587.0</v>
      </c>
      <c r="H8" s="9">
        <v>4.2</v>
      </c>
      <c r="I8" s="9">
        <v>11.0</v>
      </c>
      <c r="J8" s="1" t="s">
        <v>68</v>
      </c>
      <c r="K8" s="1" t="s">
        <v>69</v>
      </c>
      <c r="L8" s="6">
        <v>1999.0</v>
      </c>
      <c r="M8" s="6">
        <v>1999.0</v>
      </c>
      <c r="N8" s="1" t="s">
        <v>64</v>
      </c>
      <c r="O8" s="7"/>
      <c r="P8" s="1" t="s">
        <v>70</v>
      </c>
      <c r="Q8" s="1" t="s">
        <v>31</v>
      </c>
      <c r="R8" s="1" t="s">
        <v>32</v>
      </c>
      <c r="S8" s="1" t="s">
        <v>41</v>
      </c>
      <c r="T8" s="1" t="s">
        <v>42</v>
      </c>
      <c r="U8" s="1" t="s">
        <v>35</v>
      </c>
      <c r="V8" s="1" t="s">
        <v>42</v>
      </c>
      <c r="W8" s="1" t="s">
        <v>42</v>
      </c>
      <c r="X8" s="1" t="s">
        <v>37</v>
      </c>
      <c r="Y8" s="8" t="str">
        <f>IFERROR(VLOOKUP(A8,Sheet3!B:H,6,false),VLOOKUP(J8,Sheet2!A:C,2,false))</f>
        <v>https://assets.roomstogo.com/product/tempur-pedic-adapt-20-medium-hybrid-twin-xl-mattress_50007472_image-item</v>
      </c>
      <c r="Z8" s="8" t="str">
        <f>IFERROR(VLOOKUP(A8,Sheet3!B:H,7,false),VLOOKUP(J8,Sheet2!A:C,3,false))</f>
        <v>https://assets.roomstogo.com/product/tempur-pedic-adapt-20-medium-hybrid-twin-xl-mattress_50007472_alt-image-1</v>
      </c>
    </row>
    <row r="9">
      <c r="A9" s="4">
        <v>5.0007484E7</v>
      </c>
      <c r="B9" s="9">
        <v>237.0</v>
      </c>
      <c r="C9" s="9">
        <v>4.6</v>
      </c>
      <c r="D9" s="2" t="s">
        <v>71</v>
      </c>
      <c r="E9" s="2" t="s">
        <v>44</v>
      </c>
      <c r="F9" s="2" t="s">
        <v>72</v>
      </c>
      <c r="G9" s="9">
        <v>245.0</v>
      </c>
      <c r="H9" s="9">
        <v>4.62</v>
      </c>
      <c r="I9" s="9">
        <v>8.0</v>
      </c>
      <c r="J9" s="1" t="s">
        <v>73</v>
      </c>
      <c r="K9" s="1" t="s">
        <v>74</v>
      </c>
      <c r="L9" s="6">
        <v>2899.0</v>
      </c>
      <c r="M9" s="6">
        <v>2899.0</v>
      </c>
      <c r="N9" s="1" t="s">
        <v>64</v>
      </c>
      <c r="O9" s="7"/>
      <c r="P9" s="1" t="s">
        <v>75</v>
      </c>
      <c r="Q9" s="1" t="s">
        <v>31</v>
      </c>
      <c r="R9" s="1" t="s">
        <v>32</v>
      </c>
      <c r="S9" s="1" t="s">
        <v>33</v>
      </c>
      <c r="T9" s="1" t="s">
        <v>42</v>
      </c>
      <c r="U9" s="1" t="s">
        <v>76</v>
      </c>
      <c r="V9" s="1" t="s">
        <v>50</v>
      </c>
      <c r="W9" s="1" t="s">
        <v>42</v>
      </c>
      <c r="X9" s="1" t="s">
        <v>77</v>
      </c>
      <c r="Y9" s="8" t="str">
        <f>IFERROR(VLOOKUP(A9,Sheet3!B:H,6,false),VLOOKUP(J9,Sheet2!A:C,2,false))</f>
        <v>https://assets.roomstogo.com/product/tempur-pedic-proadapt-20-firm-twin-xl-mattress_50007484_image-item</v>
      </c>
      <c r="Z9" s="8" t="str">
        <f>IFERROR(VLOOKUP(A9,Sheet3!B:H,7,false),VLOOKUP(J9,Sheet2!A:C,3,false))</f>
        <v>https://assets.roomstogo.com/product/tempur-pedic-proadapt-20-firm-twin-xl-mattress_50007484_alt-image-1</v>
      </c>
    </row>
    <row r="10">
      <c r="A10" s="4">
        <v>5.0007511E7</v>
      </c>
      <c r="B10" s="9">
        <v>302.0</v>
      </c>
      <c r="C10" s="9">
        <v>4.48</v>
      </c>
      <c r="D10" s="2" t="s">
        <v>78</v>
      </c>
      <c r="E10" s="2" t="s">
        <v>44</v>
      </c>
      <c r="F10" s="2" t="s">
        <v>79</v>
      </c>
      <c r="G10" s="9">
        <v>306.0</v>
      </c>
      <c r="H10" s="9">
        <v>4.48</v>
      </c>
      <c r="I10" s="9">
        <v>4.0</v>
      </c>
      <c r="J10" s="1" t="s">
        <v>80</v>
      </c>
      <c r="K10" s="1" t="s">
        <v>81</v>
      </c>
      <c r="L10" s="6">
        <v>3899.0</v>
      </c>
      <c r="M10" s="6">
        <v>3899.0</v>
      </c>
      <c r="N10" s="1" t="s">
        <v>64</v>
      </c>
      <c r="O10" s="7"/>
      <c r="P10" s="1" t="s">
        <v>82</v>
      </c>
      <c r="Q10" s="1" t="s">
        <v>31</v>
      </c>
      <c r="R10" s="1" t="s">
        <v>32</v>
      </c>
      <c r="S10" s="1" t="s">
        <v>41</v>
      </c>
      <c r="T10" s="1" t="s">
        <v>42</v>
      </c>
      <c r="U10" s="1" t="s">
        <v>35</v>
      </c>
      <c r="V10" s="1" t="s">
        <v>50</v>
      </c>
      <c r="W10" s="1" t="s">
        <v>50</v>
      </c>
      <c r="X10" s="1" t="s">
        <v>37</v>
      </c>
      <c r="Y10" s="8" t="str">
        <f>IFERROR(VLOOKUP(A10,Sheet3!B:H,6,false),VLOOKUP(J10,Sheet2!A:C,2,false))</f>
        <v>https://assets.roomstogo.com/product/tempur-pedic-probreeze-20-medium-hybrid-twin-xl-mattress_50007511_image-item</v>
      </c>
      <c r="Z10" s="8" t="str">
        <f>IFERROR(VLOOKUP(A10,Sheet3!B:H,7,false),VLOOKUP(J10,Sheet2!A:C,3,false))</f>
        <v>https://assets.roomstogo.com/product/tempur-pedic-probreeze-20-medium-hybrid-twin-xl-mattress_50007511_image-item</v>
      </c>
    </row>
    <row r="11">
      <c r="A11" s="4">
        <v>5.0007523E7</v>
      </c>
      <c r="B11" s="10">
        <v>5214.0</v>
      </c>
      <c r="C11" s="9">
        <v>4.27</v>
      </c>
      <c r="D11" s="2" t="s">
        <v>83</v>
      </c>
      <c r="E11" s="2" t="s">
        <v>44</v>
      </c>
      <c r="F11" s="2" t="s">
        <v>84</v>
      </c>
      <c r="G11" s="9">
        <v>5219.0</v>
      </c>
      <c r="H11" s="9">
        <v>4.27</v>
      </c>
      <c r="I11" s="9">
        <v>5.0</v>
      </c>
      <c r="J11" s="1" t="s">
        <v>85</v>
      </c>
      <c r="K11" s="1" t="s">
        <v>86</v>
      </c>
      <c r="L11" s="6">
        <v>2899.0</v>
      </c>
      <c r="M11" s="6">
        <v>2899.0</v>
      </c>
      <c r="N11" s="1" t="s">
        <v>64</v>
      </c>
      <c r="O11" s="7"/>
      <c r="P11" s="1" t="s">
        <v>75</v>
      </c>
      <c r="Q11" s="1" t="s">
        <v>31</v>
      </c>
      <c r="R11" s="1" t="s">
        <v>32</v>
      </c>
      <c r="S11" s="1" t="s">
        <v>33</v>
      </c>
      <c r="T11" s="1" t="s">
        <v>42</v>
      </c>
      <c r="U11" s="1" t="s">
        <v>35</v>
      </c>
      <c r="V11" s="1" t="s">
        <v>50</v>
      </c>
      <c r="W11" s="1" t="s">
        <v>42</v>
      </c>
      <c r="X11" s="1" t="s">
        <v>37</v>
      </c>
      <c r="Y11" s="8" t="str">
        <f>IFERROR(VLOOKUP(A11,Sheet3!B:H,6,false),VLOOKUP(J11,Sheet2!A:C,2,false))</f>
        <v>https://assets.roomstogo.com/product/tempur-pedic-proadapt-20-medium-twin-xl-mattress_50007523_image-item</v>
      </c>
      <c r="Z11" s="8" t="str">
        <f>IFERROR(VLOOKUP(A11,Sheet3!B:H,7,false),VLOOKUP(J11,Sheet2!A:C,3,false))</f>
        <v>https://assets.roomstogo.com/product/tempur-pedic-proadapt-20-medium-twin-xl-mattress_50007523_alt-image-1</v>
      </c>
    </row>
    <row r="12">
      <c r="A12" s="4">
        <v>5.0007535E7</v>
      </c>
      <c r="B12" s="9">
        <v>72.0</v>
      </c>
      <c r="C12" s="9">
        <v>4.31</v>
      </c>
      <c r="D12" s="2" t="s">
        <v>87</v>
      </c>
      <c r="E12" s="2" t="s">
        <v>44</v>
      </c>
      <c r="F12" s="2" t="s">
        <v>88</v>
      </c>
      <c r="G12" s="9">
        <v>77.0</v>
      </c>
      <c r="H12" s="9">
        <v>4.19</v>
      </c>
      <c r="I12" s="9">
        <v>5.0</v>
      </c>
      <c r="J12" s="1" t="s">
        <v>89</v>
      </c>
      <c r="K12" s="1" t="s">
        <v>90</v>
      </c>
      <c r="L12" s="6">
        <v>2899.0</v>
      </c>
      <c r="M12" s="6">
        <v>2899.0</v>
      </c>
      <c r="N12" s="1" t="s">
        <v>64</v>
      </c>
      <c r="O12" s="7"/>
      <c r="P12" s="1" t="s">
        <v>91</v>
      </c>
      <c r="Q12" s="1" t="s">
        <v>31</v>
      </c>
      <c r="R12" s="1" t="s">
        <v>32</v>
      </c>
      <c r="S12" s="1" t="s">
        <v>33</v>
      </c>
      <c r="T12" s="1" t="s">
        <v>50</v>
      </c>
      <c r="U12" s="1" t="s">
        <v>49</v>
      </c>
      <c r="V12" s="1" t="s">
        <v>50</v>
      </c>
      <c r="W12" s="1" t="s">
        <v>42</v>
      </c>
      <c r="X12" s="1" t="s">
        <v>51</v>
      </c>
      <c r="Y12" s="8" t="str">
        <f>IFERROR(VLOOKUP(A12,Sheet3!B:H,6,false),VLOOKUP(J12,Sheet2!A:C,2,false))</f>
        <v>https://assets.roomstogo.com/product/tempur-pedic-proadapt-20-soft-twin-xl-mattress_50007535_image-item</v>
      </c>
      <c r="Z12" s="8" t="str">
        <f>IFERROR(VLOOKUP(A12,Sheet3!B:H,7,false),VLOOKUP(J12,Sheet2!A:C,3,false))</f>
        <v>https://assets.roomstogo.com/product/tempur-pedic-proadapt-20-soft-twin-xl-mattress_50007535_alt-image-1</v>
      </c>
    </row>
    <row r="13">
      <c r="A13" s="4">
        <v>5.0007559E7</v>
      </c>
      <c r="B13" s="9">
        <v>960.0</v>
      </c>
      <c r="C13" s="9">
        <v>4.38</v>
      </c>
      <c r="D13" s="2" t="s">
        <v>92</v>
      </c>
      <c r="E13" s="2" t="s">
        <v>44</v>
      </c>
      <c r="F13" s="2" t="s">
        <v>93</v>
      </c>
      <c r="G13" s="9">
        <v>975.0</v>
      </c>
      <c r="H13" s="9">
        <v>4.38</v>
      </c>
      <c r="I13" s="9">
        <v>15.0</v>
      </c>
      <c r="J13" s="1" t="s">
        <v>94</v>
      </c>
      <c r="K13" s="1" t="s">
        <v>95</v>
      </c>
      <c r="L13" s="6">
        <v>2899.0</v>
      </c>
      <c r="M13" s="6">
        <v>2899.0</v>
      </c>
      <c r="N13" s="1" t="s">
        <v>64</v>
      </c>
      <c r="O13" s="7"/>
      <c r="P13" s="1" t="s">
        <v>96</v>
      </c>
      <c r="Q13" s="1" t="s">
        <v>31</v>
      </c>
      <c r="R13" s="1" t="s">
        <v>32</v>
      </c>
      <c r="S13" s="1" t="s">
        <v>41</v>
      </c>
      <c r="T13" s="1" t="s">
        <v>42</v>
      </c>
      <c r="U13" s="1" t="s">
        <v>35</v>
      </c>
      <c r="V13" s="1" t="s">
        <v>50</v>
      </c>
      <c r="W13" s="1" t="s">
        <v>42</v>
      </c>
      <c r="X13" s="1" t="s">
        <v>37</v>
      </c>
      <c r="Y13" s="8" t="str">
        <f>IFERROR(VLOOKUP(A13,Sheet3!B:H,6,false),VLOOKUP(J13,Sheet2!A:C,2,false))</f>
        <v>https://assets.roomstogo.com/product/tempur-pedic-proadapt-20-medium-hybrid-twin-xl-mattress_50007559_image-item</v>
      </c>
      <c r="Z13" s="8" t="str">
        <f>IFERROR(VLOOKUP(A13,Sheet3!B:H,7,false),VLOOKUP(J13,Sheet2!A:C,3,false))</f>
        <v>https://assets.roomstogo.com/product/tempur-pedic-proadapt-20-medium-hybrid-twin-xl-mattress_50007559_alt-image-1</v>
      </c>
    </row>
    <row r="14">
      <c r="A14" s="4">
        <v>5.0007561E7</v>
      </c>
      <c r="B14" s="10">
        <v>1233.0</v>
      </c>
      <c r="C14" s="9">
        <v>4.24</v>
      </c>
      <c r="D14" s="2" t="s">
        <v>97</v>
      </c>
      <c r="E14" s="2" t="s">
        <v>44</v>
      </c>
      <c r="F14" s="2" t="s">
        <v>98</v>
      </c>
      <c r="G14" s="9">
        <v>1234.0</v>
      </c>
      <c r="H14" s="9">
        <v>4.24</v>
      </c>
      <c r="I14" s="9">
        <v>1.0</v>
      </c>
      <c r="J14" s="1" t="s">
        <v>99</v>
      </c>
      <c r="K14" s="1" t="s">
        <v>100</v>
      </c>
      <c r="L14" s="6">
        <v>4199.0</v>
      </c>
      <c r="M14" s="6">
        <v>4199.0</v>
      </c>
      <c r="N14" s="1" t="s">
        <v>64</v>
      </c>
      <c r="O14" s="7"/>
      <c r="P14" s="1" t="s">
        <v>101</v>
      </c>
      <c r="Q14" s="1" t="s">
        <v>31</v>
      </c>
      <c r="R14" s="1" t="s">
        <v>32</v>
      </c>
      <c r="S14" s="1" t="s">
        <v>33</v>
      </c>
      <c r="T14" s="1" t="s">
        <v>50</v>
      </c>
      <c r="U14" s="1" t="s">
        <v>49</v>
      </c>
      <c r="V14" s="1" t="s">
        <v>50</v>
      </c>
      <c r="W14" s="1" t="s">
        <v>42</v>
      </c>
      <c r="X14" s="1" t="s">
        <v>51</v>
      </c>
      <c r="Y14" s="8" t="str">
        <f>IFERROR(VLOOKUP(A14,Sheet3!B:H,6,false),VLOOKUP(J14,Sheet2!A:C,2,false))</f>
        <v>https://assets.roomstogo.com/product/tempur-pedic-luxeadapt-20-soft-twin-xl-mattress_50007561_image-item</v>
      </c>
      <c r="Z14" s="8" t="str">
        <f>IFERROR(VLOOKUP(A14,Sheet3!B:H,7,false),VLOOKUP(J14,Sheet2!A:C,3,false))</f>
        <v>https://assets.roomstogo.com/product/tempur-pedic-luxeadapt-20-soft-twin-xl-mattress_50007561_alt-image-1</v>
      </c>
    </row>
    <row r="15">
      <c r="A15" s="4">
        <v>5.0007585E7</v>
      </c>
      <c r="B15" s="9">
        <v>125.0</v>
      </c>
      <c r="C15" s="9">
        <v>4.61</v>
      </c>
      <c r="D15" s="2" t="s">
        <v>102</v>
      </c>
      <c r="E15" s="2" t="s">
        <v>44</v>
      </c>
      <c r="F15" s="2" t="s">
        <v>103</v>
      </c>
      <c r="G15" s="9">
        <v>129.0</v>
      </c>
      <c r="H15" s="9">
        <v>4.62</v>
      </c>
      <c r="I15" s="9">
        <v>4.0</v>
      </c>
      <c r="J15" s="1" t="s">
        <v>104</v>
      </c>
      <c r="K15" s="1" t="s">
        <v>105</v>
      </c>
      <c r="L15" s="6">
        <v>4199.0</v>
      </c>
      <c r="M15" s="6">
        <v>4199.0</v>
      </c>
      <c r="N15" s="1" t="s">
        <v>64</v>
      </c>
      <c r="O15" s="7"/>
      <c r="P15" s="1" t="s">
        <v>106</v>
      </c>
      <c r="Q15" s="1" t="s">
        <v>31</v>
      </c>
      <c r="R15" s="1" t="s">
        <v>32</v>
      </c>
      <c r="S15" s="1" t="s">
        <v>41</v>
      </c>
      <c r="T15" s="1" t="s">
        <v>50</v>
      </c>
      <c r="U15" s="1" t="s">
        <v>35</v>
      </c>
      <c r="V15" s="1" t="s">
        <v>50</v>
      </c>
      <c r="W15" s="1" t="s">
        <v>42</v>
      </c>
      <c r="X15" s="1" t="s">
        <v>37</v>
      </c>
      <c r="Y15" s="8" t="str">
        <f>IFERROR(VLOOKUP(A15,Sheet3!B:H,6,false),VLOOKUP(J15,Sheet2!A:C,2,false))</f>
        <v>https://assets.roomstogo.com/product/tempur-pedic-luxeadapt-20-medium-hybrid-twin-xl-mattress_50007585_image-item</v>
      </c>
      <c r="Z15" s="8" t="str">
        <f>IFERROR(VLOOKUP(A15,Sheet3!B:H,7,false),VLOOKUP(J15,Sheet2!A:C,3,false))</f>
        <v>https://assets.roomstogo.com/product/tempur-pedic-luxeadapt-20-medium-hybrid-twin-xl-mattress_50007585_alt-image-1</v>
      </c>
    </row>
    <row r="16">
      <c r="A16" s="4">
        <v>5.0007624E7</v>
      </c>
      <c r="B16" s="9">
        <v>434.0</v>
      </c>
      <c r="C16" s="9">
        <v>4.54</v>
      </c>
      <c r="D16" s="2" t="s">
        <v>107</v>
      </c>
      <c r="E16" s="2" t="s">
        <v>44</v>
      </c>
      <c r="F16" s="2" t="s">
        <v>108</v>
      </c>
      <c r="G16" s="9">
        <v>440.0</v>
      </c>
      <c r="H16" s="9">
        <v>4.54</v>
      </c>
      <c r="I16" s="9">
        <v>6.0</v>
      </c>
      <c r="J16" s="1" t="s">
        <v>109</v>
      </c>
      <c r="K16" s="1" t="s">
        <v>110</v>
      </c>
      <c r="L16" s="6">
        <v>5199.0</v>
      </c>
      <c r="M16" s="6">
        <v>5199.0</v>
      </c>
      <c r="N16" s="1" t="s">
        <v>64</v>
      </c>
      <c r="O16" s="7"/>
      <c r="P16" s="1" t="s">
        <v>111</v>
      </c>
      <c r="Q16" s="1" t="s">
        <v>31</v>
      </c>
      <c r="R16" s="1" t="s">
        <v>32</v>
      </c>
      <c r="S16" s="1" t="s">
        <v>33</v>
      </c>
      <c r="T16" s="1" t="s">
        <v>50</v>
      </c>
      <c r="U16" s="1" t="s">
        <v>76</v>
      </c>
      <c r="V16" s="1" t="s">
        <v>50</v>
      </c>
      <c r="W16" s="1" t="s">
        <v>50</v>
      </c>
      <c r="X16" s="1" t="s">
        <v>77</v>
      </c>
      <c r="Y16" s="8" t="str">
        <f>IFERROR(VLOOKUP(A16,Sheet3!B:H,6,false),VLOOKUP(J16,Sheet2!A:C,2,false))</f>
        <v>https://assets.roomstogo.com/product/tempur-pedic-luxebreeze-20-firm-twin-xl-mattress_50007624_image-item</v>
      </c>
      <c r="Z16" s="8" t="str">
        <f>IFERROR(VLOOKUP(A16,Sheet3!B:H,7,false),VLOOKUP(J16,Sheet2!A:C,3,false))</f>
        <v>https://assets.roomstogo.com/product/tempur-pedic-luxebreeze-20-firm-twin-xl-mattress_50007624_image-item</v>
      </c>
    </row>
    <row r="17">
      <c r="A17" s="4">
        <v>5.000987E7</v>
      </c>
      <c r="B17" s="5"/>
      <c r="C17" s="5"/>
      <c r="D17" s="5"/>
      <c r="E17" s="5"/>
      <c r="F17" s="5"/>
      <c r="G17" s="5"/>
      <c r="H17" s="5"/>
      <c r="I17" s="5"/>
      <c r="J17" s="1" t="s">
        <v>112</v>
      </c>
      <c r="K17" s="1" t="s">
        <v>113</v>
      </c>
      <c r="L17" s="6">
        <v>797.0</v>
      </c>
      <c r="M17" s="6">
        <v>999.0</v>
      </c>
      <c r="N17" s="1" t="s">
        <v>114</v>
      </c>
      <c r="O17" s="1" t="s">
        <v>54</v>
      </c>
      <c r="P17" s="7"/>
      <c r="Q17" s="1" t="s">
        <v>31</v>
      </c>
      <c r="R17" s="1" t="s">
        <v>32</v>
      </c>
      <c r="S17" s="1" t="s">
        <v>41</v>
      </c>
      <c r="T17" s="1" t="s">
        <v>34</v>
      </c>
      <c r="U17" s="1" t="s">
        <v>35</v>
      </c>
      <c r="V17" s="1" t="s">
        <v>34</v>
      </c>
      <c r="W17" s="1" t="s">
        <v>34</v>
      </c>
      <c r="X17" s="1" t="s">
        <v>37</v>
      </c>
      <c r="Y17" s="8" t="str">
        <f>IFERROR(VLOOKUP(A17,Sheet3!B:H,6,false),VLOOKUP(J17,Sheet2!A:C,2,false))</f>
        <v>https://assets.roomstogo.com/product/tuft-needle-stitch-tn31-twin-xl-mattress_50009870_image-item</v>
      </c>
      <c r="Z17" s="8" t="str">
        <f>IFERROR(VLOOKUP(A17,Sheet3!B:H,7,false),VLOOKUP(J17,Sheet2!A:C,3,false))</f>
        <v>https://assets.roomstogo.com/product/tuft-needle-stitch-tn31-twin-xl-mattress_50009870_alt-image-1</v>
      </c>
    </row>
    <row r="18">
      <c r="A18" s="4">
        <v>5.0009882E7</v>
      </c>
      <c r="B18" s="5"/>
      <c r="C18" s="5"/>
      <c r="D18" s="5"/>
      <c r="E18" s="5"/>
      <c r="F18" s="5"/>
      <c r="G18" s="5"/>
      <c r="H18" s="5"/>
      <c r="I18" s="5"/>
      <c r="J18" s="1" t="s">
        <v>115</v>
      </c>
      <c r="K18" s="1" t="s">
        <v>116</v>
      </c>
      <c r="L18" s="6">
        <v>795.0</v>
      </c>
      <c r="M18" s="6">
        <v>1399.0</v>
      </c>
      <c r="N18" s="1" t="s">
        <v>114</v>
      </c>
      <c r="O18" s="1" t="s">
        <v>54</v>
      </c>
      <c r="P18" s="7"/>
      <c r="Q18" s="1" t="s">
        <v>31</v>
      </c>
      <c r="R18" s="1" t="s">
        <v>32</v>
      </c>
      <c r="S18" s="1" t="s">
        <v>41</v>
      </c>
      <c r="T18" s="1" t="s">
        <v>42</v>
      </c>
      <c r="U18" s="1" t="s">
        <v>76</v>
      </c>
      <c r="V18" s="1" t="s">
        <v>42</v>
      </c>
      <c r="W18" s="1" t="s">
        <v>42</v>
      </c>
      <c r="X18" s="1" t="s">
        <v>77</v>
      </c>
      <c r="Y18" s="8" t="str">
        <f>IFERROR(VLOOKUP(A18,Sheet3!B:H,6,false),VLOOKUP(J18,Sheet2!A:C,2,false))</f>
        <v>https://assets.roomstogo.com/product/tuft-needle-stitch-tn51-twin-xl-mattress_50009882_image-item</v>
      </c>
      <c r="Z18" s="8" t="str">
        <f>IFERROR(VLOOKUP(A18,Sheet3!B:H,7,false),VLOOKUP(J18,Sheet2!A:C,3,false))</f>
        <v>https://assets.roomstogo.com/product/tuft-needle-stitch-tn51-twin-xl-mattress_50009882_alt-image-1</v>
      </c>
    </row>
    <row r="19">
      <c r="A19" s="4">
        <v>5.0009907E7</v>
      </c>
      <c r="B19" s="5"/>
      <c r="C19" s="5"/>
      <c r="D19" s="5"/>
      <c r="E19" s="5"/>
      <c r="F19" s="5"/>
      <c r="G19" s="5"/>
      <c r="H19" s="5"/>
      <c r="I19" s="5"/>
      <c r="J19" s="1" t="s">
        <v>117</v>
      </c>
      <c r="K19" s="1" t="s">
        <v>118</v>
      </c>
      <c r="L19" s="6">
        <v>1597.0</v>
      </c>
      <c r="M19" s="6">
        <v>2099.0</v>
      </c>
      <c r="N19" s="1" t="s">
        <v>114</v>
      </c>
      <c r="O19" s="1" t="s">
        <v>54</v>
      </c>
      <c r="P19" s="7"/>
      <c r="Q19" s="1" t="s">
        <v>31</v>
      </c>
      <c r="R19" s="1" t="s">
        <v>32</v>
      </c>
      <c r="S19" s="1" t="s">
        <v>41</v>
      </c>
      <c r="T19" s="1" t="s">
        <v>50</v>
      </c>
      <c r="U19" s="1" t="s">
        <v>49</v>
      </c>
      <c r="V19" s="1" t="s">
        <v>42</v>
      </c>
      <c r="W19" s="1" t="s">
        <v>42</v>
      </c>
      <c r="X19" s="1" t="s">
        <v>51</v>
      </c>
      <c r="Y19" s="8" t="str">
        <f>IFERROR(VLOOKUP(A19,Sheet3!B:H,6,false),VLOOKUP(J19,Sheet2!A:C,2,false))</f>
        <v>https://assets.roomstogo.com/product/tuft-needle-stitch-tn91-twin-xl-mattress_50009907_image-item</v>
      </c>
      <c r="Z19" s="8" t="str">
        <f>IFERROR(VLOOKUP(A19,Sheet3!B:H,7,false),VLOOKUP(J19,Sheet2!A:C,3,false))</f>
        <v>https://assets.roomstogo.com/product/tuft-needle-stitch-tn91-twin-xl-mattress_50009907_alt-image-1</v>
      </c>
    </row>
    <row r="20">
      <c r="A20" s="4">
        <v>5.0009933E7</v>
      </c>
      <c r="B20" s="5"/>
      <c r="C20" s="5"/>
      <c r="D20" s="5"/>
      <c r="E20" s="5"/>
      <c r="F20" s="5"/>
      <c r="G20" s="5"/>
      <c r="H20" s="5"/>
      <c r="I20" s="5"/>
      <c r="J20" s="1" t="s">
        <v>119</v>
      </c>
      <c r="K20" s="1" t="s">
        <v>120</v>
      </c>
      <c r="L20" s="6">
        <v>577.0</v>
      </c>
      <c r="M20" s="6">
        <v>699.0</v>
      </c>
      <c r="N20" s="1" t="s">
        <v>114</v>
      </c>
      <c r="O20" s="1" t="s">
        <v>54</v>
      </c>
      <c r="P20" s="1" t="s">
        <v>121</v>
      </c>
      <c r="Q20" s="1" t="s">
        <v>31</v>
      </c>
      <c r="R20" s="1" t="s">
        <v>32</v>
      </c>
      <c r="S20" s="1" t="s">
        <v>33</v>
      </c>
      <c r="T20" s="1" t="s">
        <v>36</v>
      </c>
      <c r="U20" s="1" t="s">
        <v>76</v>
      </c>
      <c r="V20" s="1" t="s">
        <v>36</v>
      </c>
      <c r="W20" s="1" t="s">
        <v>36</v>
      </c>
      <c r="X20" s="1" t="s">
        <v>77</v>
      </c>
      <c r="Y20" s="8" t="str">
        <f>IFERROR(VLOOKUP(A20,Sheet3!B:H,6,false),VLOOKUP(J20,Sheet2!A:C,2,false))</f>
        <v>https://assets.roomstogo.com/product/tuft-needle-tn1-twin-xl-mattress_50009933_image-item</v>
      </c>
      <c r="Z20" s="8" t="str">
        <f>IFERROR(VLOOKUP(A20,Sheet3!B:H,7,false),VLOOKUP(J20,Sheet2!A:C,3,false))</f>
        <v>https://assets.roomstogo.com/product/tuft-needle-tn1-twin-xl-mattress_50009933_alt-image-1</v>
      </c>
    </row>
    <row r="21">
      <c r="A21" s="4">
        <v>5.001057E7</v>
      </c>
      <c r="B21" s="5"/>
      <c r="C21" s="5"/>
      <c r="D21" s="5"/>
      <c r="E21" s="5"/>
      <c r="F21" s="5"/>
      <c r="G21" s="5"/>
      <c r="H21" s="5"/>
      <c r="I21" s="5"/>
      <c r="J21" s="1" t="s">
        <v>122</v>
      </c>
      <c r="K21" s="1" t="s">
        <v>123</v>
      </c>
      <c r="L21" s="6">
        <v>447.0</v>
      </c>
      <c r="M21" s="6">
        <v>949.0</v>
      </c>
      <c r="N21" s="1" t="s">
        <v>124</v>
      </c>
      <c r="O21" s="7"/>
      <c r="P21" s="7"/>
      <c r="Q21" s="7"/>
      <c r="R21" s="1" t="s">
        <v>32</v>
      </c>
      <c r="S21" s="1" t="s">
        <v>33</v>
      </c>
      <c r="T21" s="1" t="s">
        <v>34</v>
      </c>
      <c r="U21" s="1" t="s">
        <v>35</v>
      </c>
      <c r="V21" s="1" t="s">
        <v>34</v>
      </c>
      <c r="W21" s="1" t="s">
        <v>34</v>
      </c>
      <c r="X21" s="1" t="s">
        <v>37</v>
      </c>
      <c r="Y21" s="8" t="str">
        <f>IFERROR(VLOOKUP(A21,Sheet3!B:H,6,false),VLOOKUP(J21,Sheet2!A:C,2,false))</f>
        <v>https://assets.roomstogo.com/product/molecule-core-twin-xl-mattress_50010570_image-item</v>
      </c>
      <c r="Z21" s="8" t="str">
        <f>IFERROR(VLOOKUP(A21,Sheet3!B:H,7,false),VLOOKUP(J21,Sheet2!A:C,3,false))</f>
        <v>https://assets.roomstogo.com/product/molecule-core-twin-xl-mattress_50010570_alt-image-1</v>
      </c>
    </row>
    <row r="22">
      <c r="A22" s="4">
        <v>5.0010671E7</v>
      </c>
      <c r="B22" s="9">
        <v>2.0</v>
      </c>
      <c r="C22" s="9">
        <v>3.0</v>
      </c>
      <c r="D22" s="2" t="s">
        <v>125</v>
      </c>
      <c r="E22" s="2" t="s">
        <v>44</v>
      </c>
      <c r="F22" s="2" t="s">
        <v>126</v>
      </c>
      <c r="G22" s="9">
        <v>192.0</v>
      </c>
      <c r="H22" s="9">
        <v>4.4</v>
      </c>
      <c r="I22" s="9">
        <v>190.0</v>
      </c>
      <c r="J22" s="1" t="s">
        <v>127</v>
      </c>
      <c r="K22" s="1" t="s">
        <v>128</v>
      </c>
      <c r="L22" s="6">
        <v>695.0</v>
      </c>
      <c r="M22" s="6">
        <v>849.99</v>
      </c>
      <c r="N22" s="1" t="s">
        <v>129</v>
      </c>
      <c r="O22" s="1" t="s">
        <v>54</v>
      </c>
      <c r="P22" s="1" t="s">
        <v>130</v>
      </c>
      <c r="Q22" s="1" t="s">
        <v>31</v>
      </c>
      <c r="R22" s="1" t="s">
        <v>32</v>
      </c>
      <c r="S22" s="1" t="s">
        <v>41</v>
      </c>
      <c r="T22" s="1" t="s">
        <v>34</v>
      </c>
      <c r="U22" s="1" t="s">
        <v>35</v>
      </c>
      <c r="V22" s="1" t="s">
        <v>34</v>
      </c>
      <c r="W22" s="1" t="s">
        <v>34</v>
      </c>
      <c r="X22" s="1" t="s">
        <v>37</v>
      </c>
      <c r="Y22" s="8" t="str">
        <f>IFERROR(VLOOKUP(A22,Sheet3!B:H,6,false),VLOOKUP(J22,Sheet2!A:C,2,false))</f>
        <v>https://assets.roomstogo.com/product/beautyrest-select-broad-peak-medium-hybrid-twin-xl-mattress_50010671_image-item</v>
      </c>
      <c r="Z22" s="8" t="str">
        <f>IFERROR(VLOOKUP(A22,Sheet3!B:H,7,false),VLOOKUP(J22,Sheet2!A:C,3,false))</f>
        <v>https://assets.roomstogo.com/product/beautyrest-select-broad-peak-medium-hybrid-twin-xl-mattress_50010671_alt-image-1</v>
      </c>
    </row>
    <row r="23">
      <c r="A23" s="4">
        <v>5.0011053E7</v>
      </c>
      <c r="B23" s="5"/>
      <c r="C23" s="5"/>
      <c r="D23" s="5"/>
      <c r="E23" s="5"/>
      <c r="F23" s="5"/>
      <c r="G23" s="5"/>
      <c r="H23" s="5"/>
      <c r="I23" s="5"/>
      <c r="J23" s="1" t="s">
        <v>131</v>
      </c>
      <c r="K23" s="1" t="s">
        <v>132</v>
      </c>
      <c r="L23" s="6">
        <v>445.0</v>
      </c>
      <c r="M23" s="6">
        <v>549.99</v>
      </c>
      <c r="N23" s="1" t="s">
        <v>133</v>
      </c>
      <c r="O23" s="1" t="s">
        <v>54</v>
      </c>
      <c r="P23" s="7"/>
      <c r="Q23" s="1" t="s">
        <v>134</v>
      </c>
      <c r="R23" s="1" t="s">
        <v>32</v>
      </c>
      <c r="S23" s="1" t="s">
        <v>59</v>
      </c>
      <c r="T23" s="1" t="s">
        <v>36</v>
      </c>
      <c r="U23" s="1" t="s">
        <v>49</v>
      </c>
      <c r="V23" s="1" t="s">
        <v>42</v>
      </c>
      <c r="W23" s="1" t="s">
        <v>36</v>
      </c>
      <c r="X23" s="1" t="s">
        <v>51</v>
      </c>
      <c r="Y23" s="8" t="str">
        <f>IFERROR(VLOOKUP(A23,Sheet3!B:H,6,false),VLOOKUP(J23,Sheet2!A:C,2,false))</f>
        <v>https://assets.roomstogo.com/product/tommy-bahama-bay-dreamer-twin-mattress_50111055_image-item</v>
      </c>
      <c r="Z23" s="8" t="str">
        <f>IFERROR(VLOOKUP(A23,Sheet3!B:H,7,false),VLOOKUP(J23,Sheet2!A:C,3,false))</f>
        <v>https://assets.roomstogo.com/product/tommy-bahama-bay-dreamer-twin-mattress_50111055_alt-image-1</v>
      </c>
    </row>
    <row r="24">
      <c r="A24" s="4">
        <v>5.0011065E7</v>
      </c>
      <c r="B24" s="5"/>
      <c r="C24" s="5"/>
      <c r="D24" s="5"/>
      <c r="E24" s="5"/>
      <c r="F24" s="5"/>
      <c r="G24" s="5"/>
      <c r="H24" s="5"/>
      <c r="I24" s="5"/>
      <c r="J24" s="1" t="s">
        <v>135</v>
      </c>
      <c r="K24" s="1" t="s">
        <v>136</v>
      </c>
      <c r="L24" s="6">
        <v>495.0</v>
      </c>
      <c r="M24" s="6">
        <v>599.99</v>
      </c>
      <c r="N24" s="1" t="s">
        <v>133</v>
      </c>
      <c r="O24" s="1" t="s">
        <v>54</v>
      </c>
      <c r="P24" s="7"/>
      <c r="Q24" s="1" t="s">
        <v>134</v>
      </c>
      <c r="R24" s="1" t="s">
        <v>32</v>
      </c>
      <c r="S24" s="1" t="s">
        <v>41</v>
      </c>
      <c r="T24" s="1" t="s">
        <v>36</v>
      </c>
      <c r="U24" s="1" t="s">
        <v>76</v>
      </c>
      <c r="V24" s="1" t="s">
        <v>42</v>
      </c>
      <c r="W24" s="1" t="s">
        <v>36</v>
      </c>
      <c r="X24" s="1" t="s">
        <v>77</v>
      </c>
      <c r="Y24" s="8" t="str">
        <f>IFERROR(VLOOKUP(A24,Sheet3!B:H,6,false),VLOOKUP(J24,Sheet2!A:C,2,false))</f>
        <v>https://assets.roomstogo.com/product/tommy-bahama-make-waves-twin-mattress_50111067_image-item</v>
      </c>
      <c r="Z24" s="8" t="str">
        <f>IFERROR(VLOOKUP(A24,Sheet3!B:H,7,false),VLOOKUP(J24,Sheet2!A:C,3,false))</f>
        <v>https://assets.roomstogo.com/product/tommy-bahama-make-waves-twin-mattress_50111067_alt-image-1</v>
      </c>
    </row>
    <row r="25">
      <c r="A25" s="4">
        <v>5.0011077E7</v>
      </c>
      <c r="B25" s="5"/>
      <c r="C25" s="5"/>
      <c r="D25" s="5"/>
      <c r="E25" s="5"/>
      <c r="F25" s="5"/>
      <c r="G25" s="5"/>
      <c r="H25" s="5"/>
      <c r="I25" s="5"/>
      <c r="J25" s="1" t="s">
        <v>137</v>
      </c>
      <c r="K25" s="1" t="s">
        <v>138</v>
      </c>
      <c r="L25" s="6">
        <v>595.0</v>
      </c>
      <c r="M25" s="6">
        <v>699.99</v>
      </c>
      <c r="N25" s="1" t="s">
        <v>133</v>
      </c>
      <c r="O25" s="1" t="s">
        <v>54</v>
      </c>
      <c r="P25" s="7"/>
      <c r="Q25" s="1" t="s">
        <v>134</v>
      </c>
      <c r="R25" s="1" t="s">
        <v>32</v>
      </c>
      <c r="S25" s="1" t="s">
        <v>59</v>
      </c>
      <c r="T25" s="1" t="s">
        <v>36</v>
      </c>
      <c r="U25" s="1" t="s">
        <v>35</v>
      </c>
      <c r="V25" s="1" t="s">
        <v>42</v>
      </c>
      <c r="W25" s="1" t="s">
        <v>36</v>
      </c>
      <c r="X25" s="1" t="s">
        <v>37</v>
      </c>
      <c r="Y25" s="8" t="str">
        <f>IFERROR(VLOOKUP(A25,Sheet3!B:H,6,false),VLOOKUP(J25,Sheet2!A:C,2,false))</f>
        <v>https://assets.roomstogo.com/product/tommy-bahama-seaside-serenity-twin-mattress_50111079_image-item</v>
      </c>
      <c r="Z25" s="8" t="str">
        <f>IFERROR(VLOOKUP(A25,Sheet3!B:H,7,false),VLOOKUP(J25,Sheet2!A:C,3,false))</f>
        <v>https://assets.roomstogo.com/product/tommy-bahama-seaside-serenity-twin-mattress_50111079_alt-image-1</v>
      </c>
    </row>
    <row r="26">
      <c r="A26" s="4">
        <v>5.0011344E7</v>
      </c>
      <c r="B26" s="9">
        <v>1.0</v>
      </c>
      <c r="C26" s="9">
        <v>5.0</v>
      </c>
      <c r="D26" s="2" t="s">
        <v>139</v>
      </c>
      <c r="E26" s="2" t="s">
        <v>44</v>
      </c>
      <c r="F26" s="2" t="s">
        <v>140</v>
      </c>
      <c r="G26" s="9">
        <v>10.0</v>
      </c>
      <c r="H26" s="9">
        <v>4.2</v>
      </c>
      <c r="I26" s="9">
        <v>9.0</v>
      </c>
      <c r="J26" s="1" t="s">
        <v>141</v>
      </c>
      <c r="K26" s="1" t="s">
        <v>142</v>
      </c>
      <c r="L26" s="6">
        <v>647.0</v>
      </c>
      <c r="M26" s="6">
        <v>849.99</v>
      </c>
      <c r="N26" s="1" t="s">
        <v>143</v>
      </c>
      <c r="O26" s="1" t="s">
        <v>54</v>
      </c>
      <c r="P26" s="7"/>
      <c r="Q26" s="1" t="s">
        <v>31</v>
      </c>
      <c r="R26" s="1" t="s">
        <v>32</v>
      </c>
      <c r="S26" s="1" t="s">
        <v>59</v>
      </c>
      <c r="T26" s="1" t="s">
        <v>36</v>
      </c>
      <c r="U26" s="1" t="s">
        <v>76</v>
      </c>
      <c r="V26" s="1" t="s">
        <v>34</v>
      </c>
      <c r="W26" s="1" t="s">
        <v>36</v>
      </c>
      <c r="X26" s="1" t="s">
        <v>144</v>
      </c>
      <c r="Y26" s="8" t="str">
        <f>IFERROR(VLOOKUP(A26,Sheet3!B:H,6,false),VLOOKUP(J26,Sheet2!A:C,2,false))</f>
        <v>https://assets.roomstogo.com/product/therapedic-forester-twin-xl-mattress_50011344_image-item</v>
      </c>
      <c r="Z26" s="8" t="str">
        <f>IFERROR(VLOOKUP(A26,Sheet3!B:H,7,false),VLOOKUP(J26,Sheet2!A:C,3,false))</f>
        <v>https://assets.roomstogo.com/product/therapedic-forester-twin-xl-mattress_50011344_alt-image-1</v>
      </c>
    </row>
    <row r="27">
      <c r="A27" s="4">
        <v>5.0011368E7</v>
      </c>
      <c r="B27" s="5"/>
      <c r="C27" s="5"/>
      <c r="D27" s="5"/>
      <c r="E27" s="5"/>
      <c r="F27" s="5"/>
      <c r="G27" s="5"/>
      <c r="H27" s="5"/>
      <c r="I27" s="5"/>
      <c r="J27" s="1" t="s">
        <v>145</v>
      </c>
      <c r="K27" s="1" t="s">
        <v>146</v>
      </c>
      <c r="L27" s="6">
        <v>547.0</v>
      </c>
      <c r="M27" s="6">
        <v>649.99</v>
      </c>
      <c r="N27" s="1" t="s">
        <v>143</v>
      </c>
      <c r="O27" s="1" t="s">
        <v>54</v>
      </c>
      <c r="P27" s="7"/>
      <c r="Q27" s="1" t="s">
        <v>31</v>
      </c>
      <c r="R27" s="1" t="s">
        <v>32</v>
      </c>
      <c r="S27" s="1" t="s">
        <v>59</v>
      </c>
      <c r="T27" s="1" t="s">
        <v>36</v>
      </c>
      <c r="U27" s="1" t="s">
        <v>35</v>
      </c>
      <c r="V27" s="1" t="s">
        <v>36</v>
      </c>
      <c r="W27" s="1" t="s">
        <v>34</v>
      </c>
      <c r="X27" s="1" t="s">
        <v>37</v>
      </c>
      <c r="Y27" s="8" t="str">
        <f>IFERROR(VLOOKUP(A27,Sheet3!B:H,6,false),VLOOKUP(J27,Sheet2!A:C,2,false))</f>
        <v>https://assets.roomstogo.com/product/therapedic-darlington-twin-xl-mattress_50011368_image-item</v>
      </c>
      <c r="Z27" s="8" t="str">
        <f>IFERROR(VLOOKUP(A27,Sheet3!B:H,7,false),VLOOKUP(J27,Sheet2!A:C,3,false))</f>
        <v>https://assets.roomstogo.com/product/therapedic-darlington-twin-xl-mattress_50011368_alt-image-1</v>
      </c>
    </row>
    <row r="28">
      <c r="A28" s="4">
        <v>5.0011382E7</v>
      </c>
      <c r="B28" s="5"/>
      <c r="C28" s="5"/>
      <c r="D28" s="5"/>
      <c r="E28" s="5"/>
      <c r="F28" s="5"/>
      <c r="G28" s="5"/>
      <c r="H28" s="5"/>
      <c r="I28" s="5"/>
      <c r="J28" s="1" t="s">
        <v>147</v>
      </c>
      <c r="K28" s="1" t="s">
        <v>148</v>
      </c>
      <c r="L28" s="6">
        <v>627.0</v>
      </c>
      <c r="M28" s="6">
        <v>949.99</v>
      </c>
      <c r="N28" s="1" t="s">
        <v>149</v>
      </c>
      <c r="O28" s="1" t="s">
        <v>54</v>
      </c>
      <c r="P28" s="7"/>
      <c r="Q28" s="7"/>
      <c r="R28" s="1" t="s">
        <v>32</v>
      </c>
      <c r="S28" s="1" t="s">
        <v>41</v>
      </c>
      <c r="T28" s="1" t="s">
        <v>36</v>
      </c>
      <c r="U28" s="1" t="s">
        <v>49</v>
      </c>
      <c r="V28" s="1" t="s">
        <v>34</v>
      </c>
      <c r="W28" s="1" t="s">
        <v>34</v>
      </c>
      <c r="X28" s="1" t="s">
        <v>51</v>
      </c>
      <c r="Y28" s="8" t="str">
        <f>IFERROR(VLOOKUP(A28,Sheet3!B:H,6,false),VLOOKUP(J28,Sheet2!A:C,2,false))</f>
        <v>https://assets.roomstogo.com/product/therapedic-hastings-twin-xl-mattress_50011382_image-item</v>
      </c>
      <c r="Z28" s="8" t="str">
        <f>IFERROR(VLOOKUP(A28,Sheet3!B:H,7,false),VLOOKUP(J28,Sheet2!A:C,3,false))</f>
        <v>https://assets.roomstogo.com/product/therapedic-hastings-twin-xl-mattress_50011382_alt-image-1</v>
      </c>
    </row>
    <row r="29">
      <c r="A29" s="4">
        <v>5.0011457E7</v>
      </c>
      <c r="B29" s="5"/>
      <c r="C29" s="5"/>
      <c r="D29" s="5"/>
      <c r="E29" s="5"/>
      <c r="F29" s="5"/>
      <c r="G29" s="5"/>
      <c r="H29" s="5"/>
      <c r="I29" s="5"/>
      <c r="J29" s="1" t="s">
        <v>150</v>
      </c>
      <c r="K29" s="1" t="s">
        <v>151</v>
      </c>
      <c r="L29" s="6">
        <v>1249.99</v>
      </c>
      <c r="M29" s="6">
        <v>1249.99</v>
      </c>
      <c r="N29" s="1" t="s">
        <v>149</v>
      </c>
      <c r="O29" s="1" t="s">
        <v>54</v>
      </c>
      <c r="P29" s="7"/>
      <c r="Q29" s="1" t="s">
        <v>31</v>
      </c>
      <c r="R29" s="1" t="s">
        <v>32</v>
      </c>
      <c r="S29" s="1" t="s">
        <v>41</v>
      </c>
      <c r="T29" s="1" t="s">
        <v>34</v>
      </c>
      <c r="U29" s="1" t="s">
        <v>76</v>
      </c>
      <c r="V29" s="1" t="s">
        <v>42</v>
      </c>
      <c r="W29" s="1" t="s">
        <v>34</v>
      </c>
      <c r="X29" s="1" t="s">
        <v>77</v>
      </c>
      <c r="Y29" s="8" t="str">
        <f>IFERROR(VLOOKUP(A29,Sheet3!B:H,6,false),VLOOKUP(J29,Sheet2!A:C,2,false))</f>
        <v>https://assets.roomstogo.com/product/therapedic-kaanapali-twin-xl-mattress_50011457_image-item</v>
      </c>
      <c r="Z29" s="8" t="str">
        <f>IFERROR(VLOOKUP(A29,Sheet3!B:H,7,false),VLOOKUP(J29,Sheet2!A:C,3,false))</f>
        <v>https://assets.roomstogo.com/product/therapedic-kaanapali-twin-xl-mattress_50011457_alt-image-1</v>
      </c>
    </row>
    <row r="30">
      <c r="A30" s="4">
        <v>5.0011495E7</v>
      </c>
      <c r="B30" s="9">
        <v>1.0</v>
      </c>
      <c r="C30" s="9">
        <v>5.0</v>
      </c>
      <c r="D30" s="2" t="s">
        <v>152</v>
      </c>
      <c r="E30" s="2" t="s">
        <v>44</v>
      </c>
      <c r="F30" s="2" t="s">
        <v>153</v>
      </c>
      <c r="G30" s="9">
        <v>13.0</v>
      </c>
      <c r="H30" s="9">
        <v>3.92</v>
      </c>
      <c r="I30" s="9">
        <v>12.0</v>
      </c>
      <c r="J30" s="1" t="s">
        <v>154</v>
      </c>
      <c r="K30" s="1" t="s">
        <v>155</v>
      </c>
      <c r="L30" s="6">
        <v>1449.99</v>
      </c>
      <c r="M30" s="6">
        <v>1449.99</v>
      </c>
      <c r="N30" s="1" t="s">
        <v>149</v>
      </c>
      <c r="O30" s="1" t="s">
        <v>54</v>
      </c>
      <c r="P30" s="7"/>
      <c r="Q30" s="1" t="s">
        <v>31</v>
      </c>
      <c r="R30" s="1" t="s">
        <v>32</v>
      </c>
      <c r="S30" s="1" t="s">
        <v>41</v>
      </c>
      <c r="T30" s="1" t="s">
        <v>42</v>
      </c>
      <c r="U30" s="1" t="s">
        <v>35</v>
      </c>
      <c r="V30" s="1" t="s">
        <v>42</v>
      </c>
      <c r="W30" s="1" t="s">
        <v>34</v>
      </c>
      <c r="X30" s="1" t="s">
        <v>37</v>
      </c>
      <c r="Y30" s="8" t="str">
        <f>IFERROR(VLOOKUP(A30,Sheet3!B:H,6,false),VLOOKUP(J30,Sheet2!A:C,2,false))</f>
        <v>https://assets.roomstogo.com/product/therapedic-ledo-twin-xl-mattress_50011495_image-item</v>
      </c>
      <c r="Z30" s="8" t="str">
        <f>IFERROR(VLOOKUP(A30,Sheet3!B:H,7,false),VLOOKUP(J30,Sheet2!A:C,3,false))</f>
        <v>https://assets.roomstogo.com/product/therapedic-ledo-twin-xl-mattress_50011495_alt-image-1</v>
      </c>
    </row>
    <row r="31">
      <c r="A31" s="4">
        <v>5.0020862E7</v>
      </c>
      <c r="B31" s="5"/>
      <c r="C31" s="5"/>
      <c r="D31" s="5"/>
      <c r="E31" s="5"/>
      <c r="F31" s="5"/>
      <c r="G31" s="5"/>
      <c r="H31" s="5"/>
      <c r="I31" s="5"/>
      <c r="J31" s="1" t="s">
        <v>156</v>
      </c>
      <c r="K31" s="1" t="s">
        <v>157</v>
      </c>
      <c r="L31" s="6">
        <v>797.0</v>
      </c>
      <c r="M31" s="6">
        <v>1099.99</v>
      </c>
      <c r="N31" s="1" t="s">
        <v>158</v>
      </c>
      <c r="O31" s="1" t="s">
        <v>54</v>
      </c>
      <c r="P31" s="7"/>
      <c r="Q31" s="1" t="s">
        <v>31</v>
      </c>
      <c r="R31" s="1" t="s">
        <v>32</v>
      </c>
      <c r="S31" s="1" t="s">
        <v>59</v>
      </c>
      <c r="T31" s="1" t="s">
        <v>34</v>
      </c>
      <c r="U31" s="1" t="s">
        <v>35</v>
      </c>
      <c r="V31" s="1" t="s">
        <v>34</v>
      </c>
      <c r="W31" s="1" t="s">
        <v>34</v>
      </c>
      <c r="X31" s="1" t="s">
        <v>37</v>
      </c>
      <c r="Y31" s="8" t="str">
        <f>IFERROR(VLOOKUP(A31,Sheet3!B:H,6,false),VLOOKUP(J31,Sheet2!A:C,2,false))</f>
        <v>https://assets.roomstogo.com/product/drew-jonathan-capertee-twin-xl-mattress_50020862_image-item</v>
      </c>
      <c r="Z31" s="8" t="str">
        <f>IFERROR(VLOOKUP(A31,Sheet3!B:H,7,false),VLOOKUP(J31,Sheet2!A:C,3,false))</f>
        <v>https://assets.roomstogo.com/product/drew-jonathan-capertee-twin-xl-mattress_50020862_alt-image-1</v>
      </c>
    </row>
    <row r="32">
      <c r="A32" s="4">
        <v>5.0020925E7</v>
      </c>
      <c r="B32" s="5"/>
      <c r="C32" s="5"/>
      <c r="D32" s="5"/>
      <c r="E32" s="5"/>
      <c r="F32" s="5"/>
      <c r="G32" s="5"/>
      <c r="H32" s="5"/>
      <c r="I32" s="5"/>
      <c r="J32" s="1" t="s">
        <v>159</v>
      </c>
      <c r="K32" s="1" t="s">
        <v>160</v>
      </c>
      <c r="L32" s="6">
        <v>1297.0</v>
      </c>
      <c r="M32" s="6">
        <v>1599.99</v>
      </c>
      <c r="N32" s="1" t="s">
        <v>158</v>
      </c>
      <c r="O32" s="1" t="s">
        <v>54</v>
      </c>
      <c r="P32" s="7"/>
      <c r="Q32" s="1" t="s">
        <v>31</v>
      </c>
      <c r="R32" s="1" t="s">
        <v>32</v>
      </c>
      <c r="S32" s="1" t="s">
        <v>59</v>
      </c>
      <c r="T32" s="1" t="s">
        <v>42</v>
      </c>
      <c r="U32" s="1" t="s">
        <v>49</v>
      </c>
      <c r="V32" s="1" t="s">
        <v>34</v>
      </c>
      <c r="W32" s="1" t="s">
        <v>34</v>
      </c>
      <c r="X32" s="1" t="s">
        <v>51</v>
      </c>
      <c r="Y32" s="8" t="str">
        <f>IFERROR(VLOOKUP(A32,Sheet3!B:H,6,false),VLOOKUP(J32,Sheet2!A:C,2,false))</f>
        <v>https://assets.roomstogo.com/product/drew-jonathan-arada-canyon-twin-xl-mattress_50020925_image-item</v>
      </c>
      <c r="Z32" s="8" t="str">
        <f>IFERROR(VLOOKUP(A32,Sheet3!B:H,7,false),VLOOKUP(J32,Sheet2!A:C,3,false))</f>
        <v>https://assets.roomstogo.com/product/drew-jonathan-arada-canyon-twin-xl-mattress_50020925_alt-image-1</v>
      </c>
    </row>
    <row r="33">
      <c r="A33" s="4">
        <v>5.002221E7</v>
      </c>
      <c r="B33" s="9">
        <v>2.0</v>
      </c>
      <c r="C33" s="9">
        <v>5.0</v>
      </c>
      <c r="D33" s="2" t="s">
        <v>161</v>
      </c>
      <c r="E33" s="2" t="s">
        <v>44</v>
      </c>
      <c r="F33" s="2" t="s">
        <v>162</v>
      </c>
      <c r="G33" s="9">
        <v>28.0</v>
      </c>
      <c r="H33" s="9">
        <v>4.71</v>
      </c>
      <c r="I33" s="9">
        <v>26.0</v>
      </c>
      <c r="J33" s="1" t="s">
        <v>163</v>
      </c>
      <c r="K33" s="1" t="s">
        <v>164</v>
      </c>
      <c r="L33" s="6">
        <v>377.0</v>
      </c>
      <c r="M33" s="6">
        <v>679.99</v>
      </c>
      <c r="N33" s="1" t="s">
        <v>165</v>
      </c>
      <c r="O33" s="1" t="s">
        <v>54</v>
      </c>
      <c r="P33" s="1" t="s">
        <v>166</v>
      </c>
      <c r="Q33" s="1" t="s">
        <v>31</v>
      </c>
      <c r="R33" s="1" t="s">
        <v>32</v>
      </c>
      <c r="S33" s="1" t="s">
        <v>41</v>
      </c>
      <c r="T33" s="1" t="s">
        <v>36</v>
      </c>
      <c r="U33" s="1" t="s">
        <v>35</v>
      </c>
      <c r="V33" s="1" t="s">
        <v>34</v>
      </c>
      <c r="W33" s="1" t="s">
        <v>36</v>
      </c>
      <c r="X33" s="1" t="s">
        <v>37</v>
      </c>
      <c r="Y33" s="8" t="str">
        <f>IFERROR(VLOOKUP(A33,Sheet3!B:H,6,false),VLOOKUP(J33,Sheet2!A:C,2,false))</f>
        <v>https://assets.roomstogo.com/product/beauty-sleep-oceana-mist-medium-hybrid-twin-xl-mattress_50022210_image-item</v>
      </c>
      <c r="Z33" s="8" t="str">
        <f>IFERROR(VLOOKUP(A33,Sheet3!B:H,7,false),VLOOKUP(J33,Sheet2!A:C,3,false))</f>
        <v>https://assets.roomstogo.com/product/beauty-sleep-oceana-mist-medium-hybrid-twin-xl-mattress_50022210_alt-image-8</v>
      </c>
    </row>
    <row r="34">
      <c r="A34" s="4">
        <v>5.0025747E7</v>
      </c>
      <c r="B34" s="9">
        <v>1.0</v>
      </c>
      <c r="C34" s="9">
        <v>1.0</v>
      </c>
      <c r="D34" s="2" t="s">
        <v>167</v>
      </c>
      <c r="E34" s="2" t="s">
        <v>44</v>
      </c>
      <c r="F34" s="2" t="s">
        <v>168</v>
      </c>
      <c r="G34" s="9">
        <v>13.0</v>
      </c>
      <c r="H34" s="9">
        <v>4.08</v>
      </c>
      <c r="I34" s="9">
        <v>12.0</v>
      </c>
      <c r="J34" s="1" t="s">
        <v>169</v>
      </c>
      <c r="K34" s="1" t="s">
        <v>170</v>
      </c>
      <c r="L34" s="6">
        <v>1329.0</v>
      </c>
      <c r="M34" s="6">
        <v>1329.0</v>
      </c>
      <c r="N34" s="1" t="s">
        <v>171</v>
      </c>
      <c r="O34" s="7"/>
      <c r="P34" s="1" t="s">
        <v>172</v>
      </c>
      <c r="Q34" s="1" t="s">
        <v>31</v>
      </c>
      <c r="R34" s="1" t="s">
        <v>32</v>
      </c>
      <c r="S34" s="1" t="s">
        <v>59</v>
      </c>
      <c r="T34" s="1" t="s">
        <v>42</v>
      </c>
      <c r="U34" s="1" t="s">
        <v>49</v>
      </c>
      <c r="V34" s="1" t="s">
        <v>42</v>
      </c>
      <c r="W34" s="1" t="s">
        <v>42</v>
      </c>
      <c r="X34" s="1" t="s">
        <v>51</v>
      </c>
      <c r="Y34" s="8" t="str">
        <f>IFERROR(VLOOKUP(A34,Sheet3!B:H,6,false),VLOOKUP(J34,Sheet2!A:C,2,false))</f>
        <v>https://assets.roomstogo.com/product/beautyrest-world-class-level-three-plush-twin-xl-mattress_50025747_image-item</v>
      </c>
      <c r="Z34" s="8" t="str">
        <f>IFERROR(VLOOKUP(A34,Sheet3!B:H,7,false),VLOOKUP(J34,Sheet2!A:C,3,false))</f>
        <v>https://assets.roomstogo.com/product/beautyrest-world-class-level-three-plush-twin-xl-mattress_50025747_alt-image-13</v>
      </c>
    </row>
    <row r="35">
      <c r="A35" s="4">
        <v>5.0025759E7</v>
      </c>
      <c r="B35" s="5"/>
      <c r="C35" s="5"/>
      <c r="D35" s="5"/>
      <c r="E35" s="5"/>
      <c r="F35" s="5"/>
      <c r="G35" s="5"/>
      <c r="H35" s="5"/>
      <c r="I35" s="5"/>
      <c r="J35" s="1" t="s">
        <v>173</v>
      </c>
      <c r="K35" s="1" t="s">
        <v>174</v>
      </c>
      <c r="L35" s="6">
        <v>1529.0</v>
      </c>
      <c r="M35" s="6">
        <v>1529.0</v>
      </c>
      <c r="N35" s="1" t="s">
        <v>171</v>
      </c>
      <c r="O35" s="7"/>
      <c r="P35" s="1" t="s">
        <v>175</v>
      </c>
      <c r="Q35" s="1" t="s">
        <v>31</v>
      </c>
      <c r="R35" s="1" t="s">
        <v>32</v>
      </c>
      <c r="S35" s="1" t="s">
        <v>59</v>
      </c>
      <c r="T35" s="1" t="s">
        <v>42</v>
      </c>
      <c r="U35" s="1" t="s">
        <v>35</v>
      </c>
      <c r="V35" s="1" t="s">
        <v>42</v>
      </c>
      <c r="W35" s="1" t="s">
        <v>42</v>
      </c>
      <c r="X35" s="1" t="s">
        <v>37</v>
      </c>
      <c r="Y35" s="8" t="str">
        <f>IFERROR(VLOOKUP(A35,Sheet3!B:H,6,false),VLOOKUP(J35,Sheet2!A:C,2,false))</f>
        <v>https://assets.roomstogo.com/product/beautyrest-world-class-level-three-medium-pillow-top-twin-xl-mattress_50025759_image-item</v>
      </c>
      <c r="Z35" s="8" t="str">
        <f>IFERROR(VLOOKUP(A35,Sheet3!B:H,7,false),VLOOKUP(J35,Sheet2!A:C,3,false))</f>
        <v>https://assets.roomstogo.com/product/beautyrest-world-class-level-three-medium-pillow-top-twin-xl-mattress_50025759_alt-image-13</v>
      </c>
    </row>
    <row r="36">
      <c r="A36" s="4">
        <v>5.00258E7</v>
      </c>
      <c r="B36" s="5"/>
      <c r="C36" s="5"/>
      <c r="D36" s="5"/>
      <c r="E36" s="5"/>
      <c r="F36" s="5"/>
      <c r="G36" s="5"/>
      <c r="H36" s="5"/>
      <c r="I36" s="5"/>
      <c r="J36" s="1" t="s">
        <v>176</v>
      </c>
      <c r="K36" s="1" t="s">
        <v>177</v>
      </c>
      <c r="L36" s="6">
        <v>1829.0</v>
      </c>
      <c r="M36" s="6">
        <v>1829.0</v>
      </c>
      <c r="N36" s="1" t="s">
        <v>171</v>
      </c>
      <c r="O36" s="7"/>
      <c r="P36" s="1" t="s">
        <v>178</v>
      </c>
      <c r="Q36" s="1" t="s">
        <v>31</v>
      </c>
      <c r="R36" s="1" t="s">
        <v>32</v>
      </c>
      <c r="S36" s="1" t="s">
        <v>59</v>
      </c>
      <c r="T36" s="1" t="s">
        <v>50</v>
      </c>
      <c r="U36" s="1" t="s">
        <v>49</v>
      </c>
      <c r="V36" s="1" t="s">
        <v>42</v>
      </c>
      <c r="W36" s="1" t="s">
        <v>42</v>
      </c>
      <c r="X36" s="1" t="s">
        <v>51</v>
      </c>
      <c r="Y36" s="8" t="str">
        <f>IFERROR(VLOOKUP(A36,Sheet3!B:H,6,false),VLOOKUP(J36,Sheet2!A:C,2,false))</f>
        <v>https://assets.roomstogo.com/product/beautyrest-world-class-level-four-plush-pillow-top-twin-xl-mattress_50025800_image-item</v>
      </c>
      <c r="Z36" s="8" t="str">
        <f>IFERROR(VLOOKUP(A36,Sheet3!B:H,7,false),VLOOKUP(J36,Sheet2!A:C,3,false))</f>
        <v>https://assets.roomstogo.com/product/beautyrest-world-class-level-four-plush-pillow-top-twin-xl-mattress_50025800_alt-image-13</v>
      </c>
    </row>
    <row r="37">
      <c r="A37" s="4">
        <v>5.0028957E7</v>
      </c>
      <c r="B37" s="5"/>
      <c r="C37" s="5"/>
      <c r="D37" s="5"/>
      <c r="E37" s="5"/>
      <c r="F37" s="5"/>
      <c r="G37" s="5"/>
      <c r="H37" s="5"/>
      <c r="I37" s="5"/>
      <c r="J37" s="1" t="s">
        <v>179</v>
      </c>
      <c r="K37" s="1" t="s">
        <v>180</v>
      </c>
      <c r="L37" s="6">
        <v>877.0</v>
      </c>
      <c r="M37" s="6">
        <v>1479.0</v>
      </c>
      <c r="N37" s="1" t="s">
        <v>181</v>
      </c>
      <c r="O37" s="1" t="s">
        <v>54</v>
      </c>
      <c r="P37" s="7"/>
      <c r="Q37" s="1" t="s">
        <v>31</v>
      </c>
      <c r="R37" s="1" t="s">
        <v>32</v>
      </c>
      <c r="S37" s="1" t="s">
        <v>59</v>
      </c>
      <c r="T37" s="1" t="s">
        <v>42</v>
      </c>
      <c r="U37" s="1" t="s">
        <v>49</v>
      </c>
      <c r="V37" s="1" t="s">
        <v>34</v>
      </c>
      <c r="W37" s="1" t="s">
        <v>34</v>
      </c>
      <c r="X37" s="1" t="s">
        <v>182</v>
      </c>
      <c r="Y37" s="8" t="str">
        <f>IFERROR(VLOOKUP(A37,Sheet3!B:H,6,false),VLOOKUP(J37,Sheet2!A:C,2,false))</f>
        <v>https://assets.roomstogo.com/product/sealy-correct-comfort-kerry-park-twin-xl-mattress_50028957_image-item</v>
      </c>
      <c r="Z37" s="8" t="str">
        <f>IFERROR(VLOOKUP(A37,Sheet3!B:H,7,false),VLOOKUP(J37,Sheet2!A:C,3,false))</f>
        <v>https://assets.roomstogo.com/product/sealy-correct-comfort-kerry-park-twin-xl-mattress_50028957_alt-image-1</v>
      </c>
    </row>
    <row r="38">
      <c r="A38" s="4">
        <v>5.0028969E7</v>
      </c>
      <c r="B38" s="9">
        <v>1.0</v>
      </c>
      <c r="C38" s="9">
        <v>5.0</v>
      </c>
      <c r="D38" s="2" t="s">
        <v>183</v>
      </c>
      <c r="E38" s="2" t="s">
        <v>44</v>
      </c>
      <c r="F38" s="2" t="s">
        <v>184</v>
      </c>
      <c r="G38" s="9">
        <v>12.0</v>
      </c>
      <c r="H38" s="9">
        <v>4.83</v>
      </c>
      <c r="I38" s="9">
        <v>11.0</v>
      </c>
      <c r="J38" s="1" t="s">
        <v>185</v>
      </c>
      <c r="K38" s="1" t="s">
        <v>186</v>
      </c>
      <c r="L38" s="6">
        <v>645.0</v>
      </c>
      <c r="M38" s="6">
        <v>749.0</v>
      </c>
      <c r="N38" s="1" t="s">
        <v>181</v>
      </c>
      <c r="O38" s="1" t="s">
        <v>54</v>
      </c>
      <c r="P38" s="7"/>
      <c r="Q38" s="1" t="s">
        <v>31</v>
      </c>
      <c r="R38" s="1" t="s">
        <v>32</v>
      </c>
      <c r="S38" s="1" t="s">
        <v>33</v>
      </c>
      <c r="T38" s="1" t="s">
        <v>34</v>
      </c>
      <c r="U38" s="1" t="s">
        <v>35</v>
      </c>
      <c r="V38" s="1" t="s">
        <v>34</v>
      </c>
      <c r="W38" s="1" t="s">
        <v>36</v>
      </c>
      <c r="X38" s="1" t="s">
        <v>37</v>
      </c>
      <c r="Y38" s="8" t="str">
        <f>IFERROR(VLOOKUP(A38,Sheet3!B:H,6,false),VLOOKUP(J38,Sheet2!A:C,2,false))</f>
        <v>https://assets.roomstogo.com/product/sealy-correct-comfort-bradford-hill-twin-xl-mattress_50028969_image-item</v>
      </c>
      <c r="Z38" s="8" t="str">
        <f>IFERROR(VLOOKUP(A38,Sheet3!B:H,7,false),VLOOKUP(J38,Sheet2!A:C,3,false))</f>
        <v>https://assets.roomstogo.com/product/sealy-correct-comfort-bradford-hill-twin-xl-mattress_50028969_alt-image-1</v>
      </c>
    </row>
    <row r="39">
      <c r="A39" s="4">
        <v>5.0028971E7</v>
      </c>
      <c r="B39" s="5"/>
      <c r="C39" s="5"/>
      <c r="D39" s="5"/>
      <c r="E39" s="5"/>
      <c r="F39" s="5"/>
      <c r="G39" s="5"/>
      <c r="H39" s="5"/>
      <c r="I39" s="5"/>
      <c r="J39" s="1" t="s">
        <v>187</v>
      </c>
      <c r="K39" s="1" t="s">
        <v>188</v>
      </c>
      <c r="L39" s="6">
        <v>977.0</v>
      </c>
      <c r="M39" s="6">
        <v>1779.0</v>
      </c>
      <c r="N39" s="1" t="s">
        <v>181</v>
      </c>
      <c r="O39" s="1" t="s">
        <v>54</v>
      </c>
      <c r="P39" s="7"/>
      <c r="Q39" s="7"/>
      <c r="R39" s="1" t="s">
        <v>32</v>
      </c>
      <c r="S39" s="1" t="s">
        <v>33</v>
      </c>
      <c r="T39" s="1" t="s">
        <v>42</v>
      </c>
      <c r="U39" s="1" t="s">
        <v>35</v>
      </c>
      <c r="V39" s="1" t="s">
        <v>34</v>
      </c>
      <c r="W39" s="1" t="s">
        <v>34</v>
      </c>
      <c r="X39" s="1" t="s">
        <v>37</v>
      </c>
      <c r="Y39" s="8" t="str">
        <f>IFERROR(VLOOKUP(A39,Sheet3!B:H,6,false),VLOOKUP(J39,Sheet2!A:C,2,false))</f>
        <v>https://assets.roomstogo.com/product/posturepedic-northgate-twin-xl-mattress_50028971_image-item</v>
      </c>
      <c r="Z39" s="8" t="str">
        <f>IFERROR(VLOOKUP(A39,Sheet3!B:H,7,false),VLOOKUP(J39,Sheet2!A:C,3,false))</f>
        <v>https://assets.roomstogo.com/product/posturepedic-northgate-twin-xl-mattress_50028971_alt-image-1</v>
      </c>
    </row>
    <row r="40">
      <c r="A40" s="4">
        <v>5.0029175E7</v>
      </c>
      <c r="B40" s="5"/>
      <c r="C40" s="5"/>
      <c r="D40" s="5"/>
      <c r="E40" s="5"/>
      <c r="F40" s="5"/>
      <c r="G40" s="5"/>
      <c r="H40" s="5"/>
      <c r="I40" s="5"/>
      <c r="J40" s="1" t="s">
        <v>189</v>
      </c>
      <c r="K40" s="1" t="s">
        <v>190</v>
      </c>
      <c r="L40" s="6">
        <v>597.0</v>
      </c>
      <c r="M40" s="6">
        <v>719.0</v>
      </c>
      <c r="N40" s="1" t="s">
        <v>191</v>
      </c>
      <c r="O40" s="1" t="s">
        <v>54</v>
      </c>
      <c r="P40" s="1" t="s">
        <v>192</v>
      </c>
      <c r="Q40" s="1" t="s">
        <v>31</v>
      </c>
      <c r="R40" s="1" t="s">
        <v>32</v>
      </c>
      <c r="S40" s="1" t="s">
        <v>59</v>
      </c>
      <c r="T40" s="1" t="s">
        <v>36</v>
      </c>
      <c r="U40" s="1" t="s">
        <v>35</v>
      </c>
      <c r="V40" s="1" t="s">
        <v>36</v>
      </c>
      <c r="W40" s="1" t="s">
        <v>36</v>
      </c>
      <c r="X40" s="1" t="s">
        <v>37</v>
      </c>
      <c r="Y40" s="8" t="str">
        <f>IFERROR(VLOOKUP(A40,Sheet3!B:H,6,false),VLOOKUP(J40,Sheet2!A:C,2,false))</f>
        <v>https://assets.roomstogo.com/product/sealy-posturepedic-brierwood-twin-xl-mattress_50029175_image-item</v>
      </c>
      <c r="Z40" s="8" t="str">
        <f>IFERROR(VLOOKUP(A40,Sheet3!B:H,7,false),VLOOKUP(J40,Sheet2!A:C,3,false))</f>
        <v>https://assets.roomstogo.com/product/sealy-posturepedic-brierwood-twin-xl-mattress_50029175_alt-image-1</v>
      </c>
    </row>
    <row r="41">
      <c r="A41" s="4">
        <v>5.0029202E7</v>
      </c>
      <c r="B41" s="5"/>
      <c r="C41" s="5"/>
      <c r="D41" s="5"/>
      <c r="E41" s="5"/>
      <c r="F41" s="5"/>
      <c r="G41" s="5"/>
      <c r="H41" s="5"/>
      <c r="I41" s="5"/>
      <c r="J41" s="1" t="s">
        <v>193</v>
      </c>
      <c r="K41" s="1" t="s">
        <v>194</v>
      </c>
      <c r="L41" s="6">
        <v>917.0</v>
      </c>
      <c r="M41" s="6">
        <v>1119.0</v>
      </c>
      <c r="N41" s="1" t="s">
        <v>195</v>
      </c>
      <c r="O41" s="1" t="s">
        <v>54</v>
      </c>
      <c r="P41" s="1" t="s">
        <v>196</v>
      </c>
      <c r="Q41" s="1" t="s">
        <v>31</v>
      </c>
      <c r="R41" s="1" t="s">
        <v>32</v>
      </c>
      <c r="S41" s="1" t="s">
        <v>59</v>
      </c>
      <c r="T41" s="1" t="s">
        <v>34</v>
      </c>
      <c r="U41" s="1" t="s">
        <v>35</v>
      </c>
      <c r="V41" s="1" t="s">
        <v>34</v>
      </c>
      <c r="W41" s="1" t="s">
        <v>36</v>
      </c>
      <c r="X41" s="1" t="s">
        <v>37</v>
      </c>
      <c r="Y41" s="8" t="str">
        <f>IFERROR(VLOOKUP(A41,Sheet3!B:H,6,false),VLOOKUP(J41,Sheet2!A:C,2,false))</f>
        <v>https://assets.roomstogo.com/product/sealy-posturepedic-castle-rock-twin-xl-mattress_50029202_image-item</v>
      </c>
      <c r="Z41" s="8" t="str">
        <f>IFERROR(VLOOKUP(A41,Sheet3!B:H,7,false),VLOOKUP(J41,Sheet2!A:C,3,false))</f>
        <v>https://assets.roomstogo.com/product/sealy-posturepedic-castle-rock-twin-xl-mattress_50029202_alt-image-1</v>
      </c>
    </row>
    <row r="42">
      <c r="A42" s="4">
        <v>5.0029214E7</v>
      </c>
      <c r="B42" s="5"/>
      <c r="C42" s="5"/>
      <c r="D42" s="5"/>
      <c r="E42" s="5"/>
      <c r="F42" s="5"/>
      <c r="G42" s="5"/>
      <c r="H42" s="5"/>
      <c r="I42" s="5"/>
      <c r="J42" s="1" t="s">
        <v>197</v>
      </c>
      <c r="K42" s="1" t="s">
        <v>198</v>
      </c>
      <c r="L42" s="6">
        <v>997.0</v>
      </c>
      <c r="M42" s="6">
        <v>1219.0</v>
      </c>
      <c r="N42" s="1" t="s">
        <v>199</v>
      </c>
      <c r="O42" s="7"/>
      <c r="P42" s="1" t="s">
        <v>200</v>
      </c>
      <c r="Q42" s="1" t="s">
        <v>31</v>
      </c>
      <c r="R42" s="1" t="s">
        <v>32</v>
      </c>
      <c r="S42" s="1" t="s">
        <v>59</v>
      </c>
      <c r="T42" s="1" t="s">
        <v>34</v>
      </c>
      <c r="U42" s="1" t="s">
        <v>35</v>
      </c>
      <c r="V42" s="1" t="s">
        <v>42</v>
      </c>
      <c r="W42" s="1" t="s">
        <v>34</v>
      </c>
      <c r="X42" s="1" t="s">
        <v>37</v>
      </c>
      <c r="Y42" s="8" t="str">
        <f>IFERROR(VLOOKUP(A42,Sheet3!B:H,6,false),VLOOKUP(J42,Sheet2!A:C,2,false))</f>
        <v>https://assets.roomstogo.com/product/sealy-posturepedic-pebblebrook-twin-xl-mattress_50029214_image-item</v>
      </c>
      <c r="Z42" s="8" t="str">
        <f>IFERROR(VLOOKUP(A42,Sheet3!B:H,7,false),VLOOKUP(J42,Sheet2!A:C,3,false))</f>
        <v>https://assets.roomstogo.com/product/sealy-posturepedic-pebblebrook-twin-xl-mattress_50029214_alt-image-1</v>
      </c>
    </row>
    <row r="43">
      <c r="A43" s="4">
        <v>5.0037057E7</v>
      </c>
      <c r="B43" s="9">
        <v>330.0</v>
      </c>
      <c r="C43" s="9">
        <v>4.55</v>
      </c>
      <c r="D43" s="2" t="s">
        <v>201</v>
      </c>
      <c r="E43" s="2" t="s">
        <v>44</v>
      </c>
      <c r="F43" s="2" t="s">
        <v>202</v>
      </c>
      <c r="G43" s="9">
        <v>347.0</v>
      </c>
      <c r="H43" s="9">
        <v>4.52</v>
      </c>
      <c r="I43" s="9">
        <v>17.0</v>
      </c>
      <c r="J43" s="1" t="s">
        <v>203</v>
      </c>
      <c r="K43" s="1" t="s">
        <v>204</v>
      </c>
      <c r="L43" s="6">
        <v>1549.0</v>
      </c>
      <c r="M43" s="6">
        <v>1549.0</v>
      </c>
      <c r="N43" s="1" t="s">
        <v>205</v>
      </c>
      <c r="O43" s="7"/>
      <c r="P43" s="1" t="s">
        <v>206</v>
      </c>
      <c r="Q43" s="1" t="s">
        <v>31</v>
      </c>
      <c r="R43" s="1" t="s">
        <v>32</v>
      </c>
      <c r="S43" s="1" t="s">
        <v>59</v>
      </c>
      <c r="T43" s="1" t="s">
        <v>34</v>
      </c>
      <c r="U43" s="1" t="s">
        <v>76</v>
      </c>
      <c r="V43" s="1" t="s">
        <v>50</v>
      </c>
      <c r="W43" s="1" t="s">
        <v>42</v>
      </c>
      <c r="X43" s="1" t="s">
        <v>144</v>
      </c>
      <c r="Y43" s="8" t="str">
        <f>IFERROR(VLOOKUP(A43,Sheet3!B:H,6,false),VLOOKUP(J43,Sheet2!A:C,2,false))</f>
        <v>https://assets.roomstogo.com/product/beautyrest-black-series-one-extra-firm-twin-xl-mattress_50037057_image-item</v>
      </c>
      <c r="Z43" s="8" t="str">
        <f>IFERROR(VLOOKUP(A43,Sheet3!B:H,7,false),VLOOKUP(J43,Sheet2!A:C,3,false))</f>
        <v>https://assets.roomstogo.com/product/beautyrest-black-series-one-extra-firm-twin-xl-mattress_50037057_alt-image-1</v>
      </c>
    </row>
    <row r="44">
      <c r="A44" s="4">
        <v>5.0037134E7</v>
      </c>
      <c r="B44" s="9">
        <v>130.0</v>
      </c>
      <c r="C44" s="9">
        <v>4.62</v>
      </c>
      <c r="D44" s="2" t="s">
        <v>207</v>
      </c>
      <c r="E44" s="2" t="s">
        <v>44</v>
      </c>
      <c r="F44" s="2" t="s">
        <v>208</v>
      </c>
      <c r="G44" s="9">
        <v>137.0</v>
      </c>
      <c r="H44" s="9">
        <v>4.58</v>
      </c>
      <c r="I44" s="9">
        <v>7.0</v>
      </c>
      <c r="J44" s="1" t="s">
        <v>209</v>
      </c>
      <c r="K44" s="1" t="s">
        <v>210</v>
      </c>
      <c r="L44" s="6">
        <v>2549.0</v>
      </c>
      <c r="M44" s="6">
        <v>2549.0</v>
      </c>
      <c r="N44" s="1" t="s">
        <v>205</v>
      </c>
      <c r="O44" s="7"/>
      <c r="P44" s="1" t="s">
        <v>211</v>
      </c>
      <c r="Q44" s="1" t="s">
        <v>31</v>
      </c>
      <c r="R44" s="1" t="s">
        <v>32</v>
      </c>
      <c r="S44" s="1" t="s">
        <v>59</v>
      </c>
      <c r="T44" s="1" t="s">
        <v>42</v>
      </c>
      <c r="U44" s="1" t="s">
        <v>35</v>
      </c>
      <c r="V44" s="1" t="s">
        <v>50</v>
      </c>
      <c r="W44" s="1" t="s">
        <v>42</v>
      </c>
      <c r="X44" s="1" t="s">
        <v>37</v>
      </c>
      <c r="Y44" s="8" t="str">
        <f>IFERROR(VLOOKUP(A44,Sheet3!B:H,6,false),VLOOKUP(J44,Sheet2!A:C,2,false))</f>
        <v>https://assets.roomstogo.com/product/beautyrest-black-series-two-medium-twin-xl-mattress_50037134_image-item</v>
      </c>
      <c r="Z44" s="8" t="str">
        <f>IFERROR(VLOOKUP(A44,Sheet3!B:H,7,false),VLOOKUP(J44,Sheet2!A:C,3,false))</f>
        <v>https://assets.roomstogo.com/product/beautyrest-black-series-two-medium-twin-xl-mattress_50037134_alt-image-1</v>
      </c>
    </row>
    <row r="45">
      <c r="A45" s="4">
        <v>5.0037223E7</v>
      </c>
      <c r="B45" s="9">
        <v>285.0</v>
      </c>
      <c r="C45" s="9">
        <v>4.72</v>
      </c>
      <c r="D45" s="2" t="s">
        <v>212</v>
      </c>
      <c r="E45" s="2" t="s">
        <v>44</v>
      </c>
      <c r="F45" s="2" t="s">
        <v>213</v>
      </c>
      <c r="G45" s="9">
        <v>290.0</v>
      </c>
      <c r="H45" s="9">
        <v>4.72</v>
      </c>
      <c r="I45" s="9">
        <v>5.0</v>
      </c>
      <c r="J45" s="1" t="s">
        <v>214</v>
      </c>
      <c r="K45" s="1" t="s">
        <v>215</v>
      </c>
      <c r="L45" s="6">
        <v>3649.0</v>
      </c>
      <c r="M45" s="6">
        <v>3649.0</v>
      </c>
      <c r="N45" s="1" t="s">
        <v>205</v>
      </c>
      <c r="O45" s="7"/>
      <c r="P45" s="1" t="s">
        <v>216</v>
      </c>
      <c r="Q45" s="1" t="s">
        <v>31</v>
      </c>
      <c r="R45" s="1" t="s">
        <v>32</v>
      </c>
      <c r="S45" s="1" t="s">
        <v>59</v>
      </c>
      <c r="T45" s="1" t="s">
        <v>50</v>
      </c>
      <c r="U45" s="1" t="s">
        <v>49</v>
      </c>
      <c r="V45" s="1" t="s">
        <v>50</v>
      </c>
      <c r="W45" s="1" t="s">
        <v>42</v>
      </c>
      <c r="X45" s="1" t="s">
        <v>51</v>
      </c>
      <c r="Y45" s="8" t="str">
        <f>IFERROR(VLOOKUP(A45,Sheet3!B:H,6,false),VLOOKUP(J45,Sheet2!A:C,2,false))</f>
        <v>https://assets.roomstogo.com/product/beautyrest-black-series-three-plush-pillow-top-twin-xl-mattress_50037223_image-item</v>
      </c>
      <c r="Z45" s="8" t="str">
        <f>IFERROR(VLOOKUP(A45,Sheet3!B:H,7,false),VLOOKUP(J45,Sheet2!A:C,3,false))</f>
        <v>https://assets.roomstogo.com/product/beautyrest-black-series-three-plush-pillow-top-twin-xl-mattress_50037223_alt-image-1</v>
      </c>
    </row>
    <row r="46">
      <c r="A46" s="4">
        <v>5.0048036E7</v>
      </c>
      <c r="B46" s="9">
        <v>424.0</v>
      </c>
      <c r="C46" s="9">
        <v>4.53</v>
      </c>
      <c r="D46" s="2" t="s">
        <v>217</v>
      </c>
      <c r="E46" s="2" t="s">
        <v>44</v>
      </c>
      <c r="F46" s="2" t="s">
        <v>218</v>
      </c>
      <c r="G46" s="9">
        <v>438.0</v>
      </c>
      <c r="H46" s="9">
        <v>4.52</v>
      </c>
      <c r="I46" s="9">
        <v>14.0</v>
      </c>
      <c r="J46" s="1" t="s">
        <v>219</v>
      </c>
      <c r="K46" s="1" t="s">
        <v>220</v>
      </c>
      <c r="L46" s="6">
        <v>2299.0</v>
      </c>
      <c r="M46" s="6">
        <v>2299.0</v>
      </c>
      <c r="N46" s="1" t="s">
        <v>221</v>
      </c>
      <c r="O46" s="7"/>
      <c r="P46" s="1" t="s">
        <v>222</v>
      </c>
      <c r="Q46" s="1" t="s">
        <v>31</v>
      </c>
      <c r="R46" s="1" t="s">
        <v>32</v>
      </c>
      <c r="S46" s="1" t="s">
        <v>59</v>
      </c>
      <c r="T46" s="1" t="s">
        <v>34</v>
      </c>
      <c r="U46" s="1" t="s">
        <v>76</v>
      </c>
      <c r="V46" s="1" t="s">
        <v>42</v>
      </c>
      <c r="W46" s="1" t="s">
        <v>34</v>
      </c>
      <c r="X46" s="1" t="s">
        <v>77</v>
      </c>
      <c r="Y46" s="8" t="str">
        <f>IFERROR(VLOOKUP(A46,Sheet3!B:H,6,false),VLOOKUP(J46,Sheet2!A:C,2,false))</f>
        <v>https://assets.roomstogo.com/product/stearns-and-foster-estate-firm-tight-top-twin-xl-mattress_50048036_image-item</v>
      </c>
      <c r="Z46" s="8" t="str">
        <f>IFERROR(VLOOKUP(A46,Sheet3!B:H,7,false),VLOOKUP(J46,Sheet2!A:C,3,false))</f>
        <v>https://assets.roomstogo.com/product/stearns-and-foster-estate-firm-tight-top-twin-xl-mattress_50048036_alt-image-1</v>
      </c>
    </row>
    <row r="47">
      <c r="A47" s="4">
        <v>5.004805E7</v>
      </c>
      <c r="B47" s="5"/>
      <c r="C47" s="5"/>
      <c r="D47" s="5"/>
      <c r="E47" s="5"/>
      <c r="F47" s="5"/>
      <c r="G47" s="5"/>
      <c r="H47" s="5"/>
      <c r="I47" s="5"/>
      <c r="J47" s="1" t="s">
        <v>223</v>
      </c>
      <c r="K47" s="1" t="s">
        <v>224</v>
      </c>
      <c r="L47" s="6">
        <v>2499.0</v>
      </c>
      <c r="M47" s="6">
        <v>2499.0</v>
      </c>
      <c r="N47" s="1" t="s">
        <v>221</v>
      </c>
      <c r="O47" s="7"/>
      <c r="P47" s="1" t="s">
        <v>222</v>
      </c>
      <c r="Q47" s="1" t="s">
        <v>31</v>
      </c>
      <c r="R47" s="1" t="s">
        <v>32</v>
      </c>
      <c r="S47" s="1" t="s">
        <v>59</v>
      </c>
      <c r="T47" s="1" t="s">
        <v>34</v>
      </c>
      <c r="U47" s="1" t="s">
        <v>76</v>
      </c>
      <c r="V47" s="1" t="s">
        <v>42</v>
      </c>
      <c r="W47" s="1" t="s">
        <v>34</v>
      </c>
      <c r="X47" s="1" t="s">
        <v>77</v>
      </c>
      <c r="Y47" s="8" t="str">
        <f>IFERROR(VLOOKUP(A47,Sheet3!B:H,6,false),VLOOKUP(J47,Sheet2!A:C,2,false))</f>
        <v>https://assets.roomstogo.com/product/stearns-and-foster-estate-firm-pillow-top-twin-xl-mattress_50048050_image-item</v>
      </c>
      <c r="Z47" s="8" t="str">
        <f>IFERROR(VLOOKUP(A47,Sheet3!B:H,7,false),VLOOKUP(J47,Sheet2!A:C,3,false))</f>
        <v>https://assets.roomstogo.com/product/stearns-and-foster-estate-firm-pillow-top-twin-xl-mattress_50048050_alt-image-1</v>
      </c>
    </row>
    <row r="48">
      <c r="A48" s="4">
        <v>5.0048276E7</v>
      </c>
      <c r="B48" s="9">
        <v>1.0</v>
      </c>
      <c r="C48" s="9">
        <v>5.0</v>
      </c>
      <c r="D48" s="2" t="s">
        <v>225</v>
      </c>
      <c r="E48" s="2" t="s">
        <v>44</v>
      </c>
      <c r="F48" s="2" t="s">
        <v>226</v>
      </c>
      <c r="G48" s="9">
        <v>1.0</v>
      </c>
      <c r="H48" s="9">
        <v>5.0</v>
      </c>
      <c r="I48" s="9">
        <v>0.0</v>
      </c>
      <c r="J48" s="1" t="s">
        <v>227</v>
      </c>
      <c r="K48" s="1" t="s">
        <v>228</v>
      </c>
      <c r="L48" s="6">
        <v>4099.0</v>
      </c>
      <c r="M48" s="6">
        <v>4099.0</v>
      </c>
      <c r="N48" s="1" t="s">
        <v>221</v>
      </c>
      <c r="O48" s="7"/>
      <c r="P48" s="1" t="s">
        <v>229</v>
      </c>
      <c r="Q48" s="1" t="s">
        <v>31</v>
      </c>
      <c r="R48" s="1" t="s">
        <v>32</v>
      </c>
      <c r="S48" s="1" t="s">
        <v>59</v>
      </c>
      <c r="T48" s="1" t="s">
        <v>42</v>
      </c>
      <c r="U48" s="1" t="s">
        <v>35</v>
      </c>
      <c r="V48" s="1" t="s">
        <v>50</v>
      </c>
      <c r="W48" s="1" t="s">
        <v>42</v>
      </c>
      <c r="X48" s="1" t="s">
        <v>37</v>
      </c>
      <c r="Y48" s="8" t="str">
        <f>IFERROR(VLOOKUP(A48,Sheet3!B:H,6,false),VLOOKUP(J48,Sheet2!A:C,2,false))</f>
        <v>https://assets.roomstogo.com/product/stearns-and-foster-lux-estate-elite-medium-pillow-top-twin-xl-mattress_50048276_image-item</v>
      </c>
      <c r="Z48" s="8" t="str">
        <f>IFERROR(VLOOKUP(A48,Sheet3!B:H,7,false),VLOOKUP(J48,Sheet2!A:C,3,false))</f>
        <v>https://assets.roomstogo.com/product/stearns-and-foster-lux-estate-elite-medium-pillow-top-twin-xl-mattress_50048276_alt-image-1</v>
      </c>
    </row>
    <row r="49">
      <c r="A49" s="4">
        <v>5.007011E7</v>
      </c>
      <c r="B49" s="9">
        <v>1.0</v>
      </c>
      <c r="C49" s="9">
        <v>5.0</v>
      </c>
      <c r="D49" s="2" t="s">
        <v>230</v>
      </c>
      <c r="E49" s="2" t="s">
        <v>44</v>
      </c>
      <c r="F49" s="2" t="s">
        <v>231</v>
      </c>
      <c r="G49" s="9">
        <v>9006.0</v>
      </c>
      <c r="H49" s="9">
        <v>4.32</v>
      </c>
      <c r="I49" s="9">
        <v>9005.0</v>
      </c>
      <c r="J49" s="1" t="s">
        <v>232</v>
      </c>
      <c r="K49" s="1" t="s">
        <v>233</v>
      </c>
      <c r="L49" s="6">
        <v>1548.0</v>
      </c>
      <c r="M49" s="6">
        <v>1935.0</v>
      </c>
      <c r="N49" s="1" t="s">
        <v>234</v>
      </c>
      <c r="O49" s="7"/>
      <c r="P49" s="7"/>
      <c r="Q49" s="1" t="s">
        <v>31</v>
      </c>
      <c r="R49" s="1" t="s">
        <v>32</v>
      </c>
      <c r="S49" s="1" t="s">
        <v>59</v>
      </c>
      <c r="T49" s="1" t="s">
        <v>42</v>
      </c>
      <c r="U49" s="1" t="s">
        <v>35</v>
      </c>
      <c r="V49" s="1" t="s">
        <v>42</v>
      </c>
      <c r="W49" s="1" t="s">
        <v>34</v>
      </c>
      <c r="X49" s="1" t="s">
        <v>37</v>
      </c>
      <c r="Y49" s="8" t="str">
        <f>IFERROR(VLOOKUP(A49,Sheet3!B:H,6,false),VLOOKUP(J49,Sheet2!A:C,2,false))</f>
        <v>https://assets.roomstogo.com/product/helix-midnight-luxe-twin-xl-mattress_50070110_image-item</v>
      </c>
      <c r="Z49" s="8" t="str">
        <f>IFERROR(VLOOKUP(A49,Sheet3!B:H,7,false),VLOOKUP(J49,Sheet2!A:C,3,false))</f>
        <v>https://assets.roomstogo.com/product/helix-midnight-luxe-twin-xl-mattress_50070110_alt-image-1</v>
      </c>
    </row>
    <row r="50">
      <c r="A50" s="4">
        <v>5.0070122E7</v>
      </c>
      <c r="B50" s="9">
        <v>2.0</v>
      </c>
      <c r="C50" s="9">
        <v>2.5</v>
      </c>
      <c r="D50" s="2" t="s">
        <v>235</v>
      </c>
      <c r="E50" s="2" t="s">
        <v>44</v>
      </c>
      <c r="F50" s="2" t="s">
        <v>236</v>
      </c>
      <c r="G50" s="9">
        <v>501.0</v>
      </c>
      <c r="H50" s="9">
        <v>4.22</v>
      </c>
      <c r="I50" s="9">
        <v>499.0</v>
      </c>
      <c r="J50" s="1" t="s">
        <v>237</v>
      </c>
      <c r="K50" s="1" t="s">
        <v>238</v>
      </c>
      <c r="L50" s="6">
        <v>2199.0</v>
      </c>
      <c r="M50" s="6">
        <v>2748.75</v>
      </c>
      <c r="N50" s="1" t="s">
        <v>234</v>
      </c>
      <c r="O50" s="7"/>
      <c r="P50" s="7"/>
      <c r="Q50" s="1" t="s">
        <v>31</v>
      </c>
      <c r="R50" s="1" t="s">
        <v>32</v>
      </c>
      <c r="S50" s="1" t="s">
        <v>59</v>
      </c>
      <c r="T50" s="1" t="s">
        <v>50</v>
      </c>
      <c r="U50" s="1" t="s">
        <v>35</v>
      </c>
      <c r="V50" s="1" t="s">
        <v>42</v>
      </c>
      <c r="W50" s="1" t="s">
        <v>42</v>
      </c>
      <c r="X50" s="1" t="s">
        <v>37</v>
      </c>
      <c r="Y50" s="8" t="str">
        <f>IFERROR(VLOOKUP(A50,Sheet3!B:H,6,false),VLOOKUP(J50,Sheet2!A:C,2,false))</f>
        <v>https://assets.roomstogo.com/product/helix-midnight-elite-twin-xl-mattress_50070122_image-item</v>
      </c>
      <c r="Z50" s="8" t="str">
        <f>IFERROR(VLOOKUP(A50,Sheet3!B:H,7,false),VLOOKUP(J50,Sheet2!A:C,3,false))</f>
        <v>https://assets.roomstogo.com/product/helix-midnight-elite-twin-xl-mattress_50070122_alt-image-1</v>
      </c>
    </row>
    <row r="51">
      <c r="A51" s="4">
        <v>5.0100545E7</v>
      </c>
      <c r="B51" s="9">
        <v>1.0</v>
      </c>
      <c r="C51" s="9">
        <v>5.0</v>
      </c>
      <c r="D51" s="2" t="s">
        <v>239</v>
      </c>
      <c r="E51" s="2" t="s">
        <v>44</v>
      </c>
      <c r="F51" s="2" t="s">
        <v>240</v>
      </c>
      <c r="G51" s="9">
        <v>81.0</v>
      </c>
      <c r="H51" s="9">
        <v>4.23</v>
      </c>
      <c r="I51" s="9">
        <v>80.0</v>
      </c>
      <c r="J51" s="1" t="s">
        <v>28</v>
      </c>
      <c r="K51" s="1" t="s">
        <v>241</v>
      </c>
      <c r="L51" s="6">
        <v>799.0</v>
      </c>
      <c r="M51" s="6">
        <v>999.0</v>
      </c>
      <c r="N51" s="1" t="s">
        <v>30</v>
      </c>
      <c r="O51" s="7"/>
      <c r="P51" s="7"/>
      <c r="Q51" s="1" t="s">
        <v>31</v>
      </c>
      <c r="R51" s="1" t="s">
        <v>242</v>
      </c>
      <c r="S51" s="1" t="s">
        <v>33</v>
      </c>
      <c r="T51" s="1" t="s">
        <v>34</v>
      </c>
      <c r="U51" s="1" t="s">
        <v>35</v>
      </c>
      <c r="V51" s="1" t="s">
        <v>34</v>
      </c>
      <c r="W51" s="1" t="s">
        <v>36</v>
      </c>
      <c r="X51" s="1" t="s">
        <v>37</v>
      </c>
      <c r="Y51" s="8" t="str">
        <f>IFERROR(VLOOKUP(A51,Sheet3!B:H,6,false),VLOOKUP(J51,Sheet2!A:C,2,false))</f>
        <v>https://assets.roomstogo.com/product/casper-cloud-one-twin-xl-mattress_50000543_image-item</v>
      </c>
      <c r="Z51" s="8" t="str">
        <f>IFERROR(VLOOKUP(A51,Sheet3!B:H,7,false),VLOOKUP(J51,Sheet2!A:C,3,false))</f>
        <v>https://assets.roomstogo.com/product/casper-cloud-one-twin-xl-mattress_50000543_alt-image-1</v>
      </c>
    </row>
    <row r="52">
      <c r="A52" s="4">
        <v>5.0100684E7</v>
      </c>
      <c r="B52" s="5"/>
      <c r="C52" s="5"/>
      <c r="D52" s="5"/>
      <c r="E52" s="5"/>
      <c r="F52" s="5"/>
      <c r="G52" s="5"/>
      <c r="H52" s="5"/>
      <c r="I52" s="5"/>
      <c r="J52" s="1" t="s">
        <v>52</v>
      </c>
      <c r="K52" s="1" t="s">
        <v>243</v>
      </c>
      <c r="L52" s="6">
        <v>649.0</v>
      </c>
      <c r="M52" s="6">
        <v>749.0</v>
      </c>
      <c r="N52" s="1" t="s">
        <v>30</v>
      </c>
      <c r="O52" s="1" t="s">
        <v>54</v>
      </c>
      <c r="P52" s="1" t="s">
        <v>244</v>
      </c>
      <c r="Q52" s="1" t="s">
        <v>31</v>
      </c>
      <c r="R52" s="1" t="s">
        <v>242</v>
      </c>
      <c r="S52" s="1" t="s">
        <v>33</v>
      </c>
      <c r="T52" s="1" t="s">
        <v>36</v>
      </c>
      <c r="U52" s="1" t="s">
        <v>35</v>
      </c>
      <c r="V52" s="1" t="s">
        <v>36</v>
      </c>
      <c r="W52" s="1" t="s">
        <v>36</v>
      </c>
      <c r="X52" s="1" t="s">
        <v>37</v>
      </c>
      <c r="Y52" s="8" t="str">
        <f>IFERROR(VLOOKUP(A52,Sheet3!B:H,6,false),VLOOKUP(J52,Sheet2!A:C,2,false))</f>
        <v>https://assets.roomstogo.com/product/casper-onyx-20-twin-xl-mattress_50000682_image-item</v>
      </c>
      <c r="Z52" s="8" t="str">
        <f>IFERROR(VLOOKUP(A52,Sheet3!B:H,7,false),VLOOKUP(J52,Sheet2!A:C,3,false))</f>
        <v>https://assets.roomstogo.com/product/casper-onyx-20-twin-xl-mattress_50000682_alt-image-1</v>
      </c>
    </row>
    <row r="53">
      <c r="A53" s="4">
        <v>5.0101775E7</v>
      </c>
      <c r="B53" s="5"/>
      <c r="C53" s="5"/>
      <c r="D53" s="5"/>
      <c r="E53" s="5"/>
      <c r="F53" s="5"/>
      <c r="G53" s="5"/>
      <c r="H53" s="5"/>
      <c r="I53" s="5"/>
      <c r="J53" s="1" t="s">
        <v>56</v>
      </c>
      <c r="K53" s="1" t="s">
        <v>245</v>
      </c>
      <c r="L53" s="6">
        <v>977.0</v>
      </c>
      <c r="M53" s="6">
        <v>2999.0</v>
      </c>
      <c r="N53" s="1" t="s">
        <v>58</v>
      </c>
      <c r="O53" s="7"/>
      <c r="P53" s="7"/>
      <c r="Q53" s="7"/>
      <c r="R53" s="1" t="s">
        <v>242</v>
      </c>
      <c r="S53" s="1" t="s">
        <v>59</v>
      </c>
      <c r="T53" s="1" t="s">
        <v>42</v>
      </c>
      <c r="U53" s="1" t="s">
        <v>35</v>
      </c>
      <c r="V53" s="1" t="s">
        <v>42</v>
      </c>
      <c r="W53" s="1" t="s">
        <v>34</v>
      </c>
      <c r="X53" s="1" t="s">
        <v>37</v>
      </c>
      <c r="Y53" s="8" t="str">
        <f>IFERROR(VLOOKUP(A53,Sheet3!B:H,6,false),VLOOKUP(J53,Sheet2!A:C,2,false))</f>
        <v>https://assets.roomstogo.com/product/kingsdown-smart-match-20-twin-xl-mattress_50001773_image-item</v>
      </c>
      <c r="Z53" s="8" t="str">
        <f>IFERROR(VLOOKUP(A53,Sheet3!B:H,7,false),VLOOKUP(J53,Sheet2!A:C,3,false))</f>
        <v>https://assets.roomstogo.com/product/kingsdown-smart-match-20-twin-xl-mattress_50001773_alt-image-1</v>
      </c>
    </row>
    <row r="54">
      <c r="A54" s="4">
        <v>5.010226E7</v>
      </c>
      <c r="B54" s="9">
        <v>33.0</v>
      </c>
      <c r="C54" s="9">
        <v>4.48</v>
      </c>
      <c r="D54" s="2" t="s">
        <v>246</v>
      </c>
      <c r="E54" s="2" t="s">
        <v>44</v>
      </c>
      <c r="F54" s="2" t="s">
        <v>247</v>
      </c>
      <c r="G54" s="9">
        <v>43.0</v>
      </c>
      <c r="H54" s="9">
        <v>4.37</v>
      </c>
      <c r="I54" s="9">
        <v>10.0</v>
      </c>
      <c r="J54" s="1" t="s">
        <v>248</v>
      </c>
      <c r="K54" s="1" t="s">
        <v>249</v>
      </c>
      <c r="L54" s="6">
        <v>238.0</v>
      </c>
      <c r="M54" s="6">
        <v>249.99</v>
      </c>
      <c r="N54" s="1" t="s">
        <v>58</v>
      </c>
      <c r="O54" s="1" t="s">
        <v>54</v>
      </c>
      <c r="P54" s="1" t="s">
        <v>250</v>
      </c>
      <c r="Q54" s="1" t="s">
        <v>134</v>
      </c>
      <c r="R54" s="1" t="s">
        <v>242</v>
      </c>
      <c r="S54" s="1" t="s">
        <v>59</v>
      </c>
      <c r="T54" s="1" t="s">
        <v>36</v>
      </c>
      <c r="U54" s="1" t="s">
        <v>35</v>
      </c>
      <c r="V54" s="1" t="s">
        <v>251</v>
      </c>
      <c r="W54" s="1" t="s">
        <v>36</v>
      </c>
      <c r="X54" s="1" t="s">
        <v>37</v>
      </c>
      <c r="Y54" s="8" t="str">
        <f>IFERROR(VLOOKUP(A54,Sheet3!B:H,6,false),VLOOKUP(J54,Sheet2!A:C,2,false))</f>
        <v>https://assets.roomstogo.com/product/kingsdown-turnbull-twin-mattress_50102260_image-item</v>
      </c>
      <c r="Z54" s="8" t="str">
        <f>IFERROR(VLOOKUP(A54,Sheet3!B:H,7,false),VLOOKUP(J54,Sheet2!A:C,3,false))</f>
        <v>https://assets.roomstogo.com/product/kingsdown-turnbull-twin-mattress_50102260_alt-image-1</v>
      </c>
    </row>
    <row r="55">
      <c r="A55" s="4">
        <v>5.0102284E7</v>
      </c>
      <c r="B55" s="9">
        <v>11.0</v>
      </c>
      <c r="C55" s="9">
        <v>4.27</v>
      </c>
      <c r="D55" s="2" t="s">
        <v>252</v>
      </c>
      <c r="E55" s="2" t="s">
        <v>44</v>
      </c>
      <c r="F55" s="2" t="s">
        <v>253</v>
      </c>
      <c r="G55" s="9">
        <v>26.0</v>
      </c>
      <c r="H55" s="9">
        <v>4.46</v>
      </c>
      <c r="I55" s="9">
        <v>15.0</v>
      </c>
      <c r="J55" s="1" t="s">
        <v>254</v>
      </c>
      <c r="K55" s="1" t="s">
        <v>255</v>
      </c>
      <c r="L55" s="6">
        <v>298.0</v>
      </c>
      <c r="M55" s="6">
        <v>349.99</v>
      </c>
      <c r="N55" s="1" t="s">
        <v>58</v>
      </c>
      <c r="O55" s="1" t="s">
        <v>54</v>
      </c>
      <c r="P55" s="1" t="s">
        <v>256</v>
      </c>
      <c r="Q55" s="1" t="s">
        <v>134</v>
      </c>
      <c r="R55" s="1" t="s">
        <v>242</v>
      </c>
      <c r="S55" s="1" t="s">
        <v>59</v>
      </c>
      <c r="T55" s="1" t="s">
        <v>34</v>
      </c>
      <c r="U55" s="1" t="s">
        <v>35</v>
      </c>
      <c r="V55" s="1" t="s">
        <v>42</v>
      </c>
      <c r="W55" s="1" t="s">
        <v>36</v>
      </c>
      <c r="X55" s="1" t="s">
        <v>37</v>
      </c>
      <c r="Y55" s="8" t="str">
        <f>IFERROR(VLOOKUP(A55,Sheet3!B:H,6,false),VLOOKUP(J55,Sheet2!A:C,2,false))</f>
        <v>https://assets.roomstogo.com/product/kingsdown-hawke-twin-mattress_50102284_image-item</v>
      </c>
      <c r="Z55" s="8" t="str">
        <f>IFERROR(VLOOKUP(A55,Sheet3!B:H,7,false),VLOOKUP(J55,Sheet2!A:C,3,false))</f>
        <v>https://assets.roomstogo.com/product/kingsdown-hawke-twin-mattress_50102284_alt-image-1</v>
      </c>
    </row>
    <row r="56">
      <c r="A56" s="4">
        <v>5.0102296E7</v>
      </c>
      <c r="B56" s="9">
        <v>3.0</v>
      </c>
      <c r="C56" s="9">
        <v>4.33</v>
      </c>
      <c r="D56" s="2" t="s">
        <v>257</v>
      </c>
      <c r="E56" s="2" t="s">
        <v>44</v>
      </c>
      <c r="F56" s="2" t="s">
        <v>258</v>
      </c>
      <c r="G56" s="9">
        <v>9.0</v>
      </c>
      <c r="H56" s="9">
        <v>4.56</v>
      </c>
      <c r="I56" s="9">
        <v>6.0</v>
      </c>
      <c r="J56" s="1" t="s">
        <v>259</v>
      </c>
      <c r="K56" s="1" t="s">
        <v>260</v>
      </c>
      <c r="L56" s="6">
        <v>377.0</v>
      </c>
      <c r="M56" s="6">
        <v>449.99</v>
      </c>
      <c r="N56" s="1" t="s">
        <v>58</v>
      </c>
      <c r="O56" s="1" t="s">
        <v>54</v>
      </c>
      <c r="P56" s="1" t="s">
        <v>261</v>
      </c>
      <c r="Q56" s="1" t="s">
        <v>134</v>
      </c>
      <c r="R56" s="1" t="s">
        <v>242</v>
      </c>
      <c r="S56" s="1" t="s">
        <v>33</v>
      </c>
      <c r="T56" s="1" t="s">
        <v>42</v>
      </c>
      <c r="U56" s="1" t="s">
        <v>49</v>
      </c>
      <c r="V56" s="1" t="s">
        <v>34</v>
      </c>
      <c r="W56" s="1" t="s">
        <v>36</v>
      </c>
      <c r="X56" s="1" t="s">
        <v>51</v>
      </c>
      <c r="Y56" s="8" t="str">
        <f>IFERROR(VLOOKUP(A56,Sheet3!B:H,6,false),VLOOKUP(J56,Sheet2!A:C,2,false))</f>
        <v>https://assets.roomstogo.com/product/kingsdown-grenson-twin-mattress_50102296_image-item</v>
      </c>
      <c r="Z56" s="8" t="str">
        <f>IFERROR(VLOOKUP(A56,Sheet3!B:H,7,false),VLOOKUP(J56,Sheet2!A:C,3,false))</f>
        <v>https://assets.roomstogo.com/product/kingsdown-grenson-twin-mattress_50102296_alt-image-1</v>
      </c>
    </row>
    <row r="57">
      <c r="A57" s="4">
        <v>5.0107462E7</v>
      </c>
      <c r="B57" s="5"/>
      <c r="C57" s="5"/>
      <c r="D57" s="5"/>
      <c r="E57" s="5"/>
      <c r="F57" s="5"/>
      <c r="G57" s="5"/>
      <c r="H57" s="5"/>
      <c r="I57" s="5"/>
      <c r="J57" s="1" t="s">
        <v>62</v>
      </c>
      <c r="K57" s="1" t="s">
        <v>262</v>
      </c>
      <c r="L57" s="6">
        <v>1699.0</v>
      </c>
      <c r="M57" s="6">
        <v>1699.0</v>
      </c>
      <c r="N57" s="1" t="s">
        <v>64</v>
      </c>
      <c r="O57" s="7"/>
      <c r="P57" s="1" t="s">
        <v>65</v>
      </c>
      <c r="Q57" s="1" t="s">
        <v>31</v>
      </c>
      <c r="R57" s="1" t="s">
        <v>242</v>
      </c>
      <c r="S57" s="1" t="s">
        <v>33</v>
      </c>
      <c r="T57" s="1" t="s">
        <v>42</v>
      </c>
      <c r="U57" s="1" t="s">
        <v>35</v>
      </c>
      <c r="V57" s="1" t="s">
        <v>42</v>
      </c>
      <c r="W57" s="1" t="s">
        <v>42</v>
      </c>
      <c r="X57" s="1" t="s">
        <v>37</v>
      </c>
      <c r="Y57" s="8" t="str">
        <f>IFERROR(VLOOKUP(A57,Sheet3!B:H,6,false),VLOOKUP(J57,Sheet2!A:C,2,false))</f>
        <v>https://assets.roomstogo.com/product/tempur-pedic-adapt-20-medium-twin-xl-mattress_50007460_image-item</v>
      </c>
      <c r="Z57" s="8" t="str">
        <f>IFERROR(VLOOKUP(A57,Sheet3!B:H,7,false),VLOOKUP(J57,Sheet2!A:C,3,false))</f>
        <v>https://assets.roomstogo.com/product/tempur-pedic-adapt-20-medium-twin-xl-mattress_50007460_alt-image-1</v>
      </c>
    </row>
    <row r="58">
      <c r="A58" s="4">
        <v>5.0107474E7</v>
      </c>
      <c r="B58" s="5"/>
      <c r="C58" s="5"/>
      <c r="D58" s="5"/>
      <c r="E58" s="5"/>
      <c r="F58" s="5"/>
      <c r="G58" s="5"/>
      <c r="H58" s="5"/>
      <c r="I58" s="5"/>
      <c r="J58" s="1" t="s">
        <v>68</v>
      </c>
      <c r="K58" s="1" t="s">
        <v>263</v>
      </c>
      <c r="L58" s="6">
        <v>1999.0</v>
      </c>
      <c r="M58" s="6">
        <v>1999.0</v>
      </c>
      <c r="N58" s="1" t="s">
        <v>64</v>
      </c>
      <c r="O58" s="7"/>
      <c r="P58" s="1" t="s">
        <v>70</v>
      </c>
      <c r="Q58" s="1" t="s">
        <v>31</v>
      </c>
      <c r="R58" s="1" t="s">
        <v>242</v>
      </c>
      <c r="S58" s="1" t="s">
        <v>41</v>
      </c>
      <c r="T58" s="1" t="s">
        <v>42</v>
      </c>
      <c r="U58" s="1" t="s">
        <v>35</v>
      </c>
      <c r="V58" s="1" t="s">
        <v>42</v>
      </c>
      <c r="W58" s="1" t="s">
        <v>42</v>
      </c>
      <c r="X58" s="1" t="s">
        <v>37</v>
      </c>
      <c r="Y58" s="8" t="str">
        <f>IFERROR(VLOOKUP(A58,Sheet3!B:H,6,false),VLOOKUP(J58,Sheet2!A:C,2,false))</f>
        <v>https://assets.roomstogo.com/product/tempur-pedic-adapt-20-medium-hybrid-twin-xl-mattress_50007472_image-item</v>
      </c>
      <c r="Z58" s="8" t="str">
        <f>IFERROR(VLOOKUP(A58,Sheet3!B:H,7,false),VLOOKUP(J58,Sheet2!A:C,3,false))</f>
        <v>https://assets.roomstogo.com/product/tempur-pedic-adapt-20-medium-hybrid-twin-xl-mattress_50007472_alt-image-1</v>
      </c>
    </row>
    <row r="59">
      <c r="A59" s="4">
        <v>5.0107486E7</v>
      </c>
      <c r="B59" s="5"/>
      <c r="C59" s="5"/>
      <c r="D59" s="5"/>
      <c r="E59" s="5"/>
      <c r="F59" s="5"/>
      <c r="G59" s="5"/>
      <c r="H59" s="5"/>
      <c r="I59" s="5"/>
      <c r="J59" s="1" t="s">
        <v>73</v>
      </c>
      <c r="K59" s="1" t="s">
        <v>264</v>
      </c>
      <c r="L59" s="6">
        <v>2899.0</v>
      </c>
      <c r="M59" s="6">
        <v>2899.0</v>
      </c>
      <c r="N59" s="1" t="s">
        <v>64</v>
      </c>
      <c r="O59" s="7"/>
      <c r="P59" s="1" t="s">
        <v>75</v>
      </c>
      <c r="Q59" s="1" t="s">
        <v>31</v>
      </c>
      <c r="R59" s="1" t="s">
        <v>242</v>
      </c>
      <c r="S59" s="1" t="s">
        <v>33</v>
      </c>
      <c r="T59" s="1" t="s">
        <v>42</v>
      </c>
      <c r="U59" s="1" t="s">
        <v>76</v>
      </c>
      <c r="V59" s="1" t="s">
        <v>50</v>
      </c>
      <c r="W59" s="1" t="s">
        <v>42</v>
      </c>
      <c r="X59" s="1" t="s">
        <v>77</v>
      </c>
      <c r="Y59" s="8" t="str">
        <f>IFERROR(VLOOKUP(A59,Sheet3!B:H,6,false),VLOOKUP(J59,Sheet2!A:C,2,false))</f>
        <v>https://assets.roomstogo.com/product/tempur-pedic-proadapt-20-firm-twin-xl-mattress_50007484_image-item</v>
      </c>
      <c r="Z59" s="8" t="str">
        <f>IFERROR(VLOOKUP(A59,Sheet3!B:H,7,false),VLOOKUP(J59,Sheet2!A:C,3,false))</f>
        <v>https://assets.roomstogo.com/product/tempur-pedic-proadapt-20-firm-twin-xl-mattress_50007484_alt-image-1</v>
      </c>
    </row>
    <row r="60">
      <c r="A60" s="4">
        <v>5.0107525E7</v>
      </c>
      <c r="B60" s="5"/>
      <c r="C60" s="5"/>
      <c r="D60" s="5"/>
      <c r="E60" s="5"/>
      <c r="F60" s="5"/>
      <c r="G60" s="5"/>
      <c r="H60" s="5"/>
      <c r="I60" s="5"/>
      <c r="J60" s="1" t="s">
        <v>85</v>
      </c>
      <c r="K60" s="1" t="s">
        <v>265</v>
      </c>
      <c r="L60" s="6">
        <v>2899.0</v>
      </c>
      <c r="M60" s="6">
        <v>2899.0</v>
      </c>
      <c r="N60" s="1" t="s">
        <v>64</v>
      </c>
      <c r="O60" s="7"/>
      <c r="P60" s="1" t="s">
        <v>75</v>
      </c>
      <c r="Q60" s="1" t="s">
        <v>31</v>
      </c>
      <c r="R60" s="1" t="s">
        <v>242</v>
      </c>
      <c r="S60" s="1" t="s">
        <v>33</v>
      </c>
      <c r="T60" s="1" t="s">
        <v>42</v>
      </c>
      <c r="U60" s="1" t="s">
        <v>35</v>
      </c>
      <c r="V60" s="1" t="s">
        <v>50</v>
      </c>
      <c r="W60" s="1" t="s">
        <v>42</v>
      </c>
      <c r="X60" s="1" t="s">
        <v>37</v>
      </c>
      <c r="Y60" s="8" t="str">
        <f>IFERROR(VLOOKUP(A60,Sheet3!B:H,6,false),VLOOKUP(J60,Sheet2!A:C,2,false))</f>
        <v>https://assets.roomstogo.com/product/tempur-pedic-proadapt-20-medium-twin-xl-mattress_50007523_image-item</v>
      </c>
      <c r="Z60" s="8" t="str">
        <f>IFERROR(VLOOKUP(A60,Sheet3!B:H,7,false),VLOOKUP(J60,Sheet2!A:C,3,false))</f>
        <v>https://assets.roomstogo.com/product/tempur-pedic-proadapt-20-medium-twin-xl-mattress_50007523_alt-image-1</v>
      </c>
    </row>
    <row r="61">
      <c r="A61" s="4">
        <v>5.0107537E7</v>
      </c>
      <c r="B61" s="5"/>
      <c r="C61" s="5"/>
      <c r="D61" s="5"/>
      <c r="E61" s="5"/>
      <c r="F61" s="5"/>
      <c r="G61" s="5"/>
      <c r="H61" s="5"/>
      <c r="I61" s="5"/>
      <c r="J61" s="1" t="s">
        <v>89</v>
      </c>
      <c r="K61" s="1" t="s">
        <v>266</v>
      </c>
      <c r="L61" s="6">
        <v>2899.0</v>
      </c>
      <c r="M61" s="6">
        <v>2899.0</v>
      </c>
      <c r="N61" s="1" t="s">
        <v>64</v>
      </c>
      <c r="O61" s="7"/>
      <c r="P61" s="1" t="s">
        <v>91</v>
      </c>
      <c r="Q61" s="1" t="s">
        <v>31</v>
      </c>
      <c r="R61" s="1" t="s">
        <v>242</v>
      </c>
      <c r="S61" s="1" t="s">
        <v>33</v>
      </c>
      <c r="T61" s="1" t="s">
        <v>50</v>
      </c>
      <c r="U61" s="1" t="s">
        <v>49</v>
      </c>
      <c r="V61" s="1" t="s">
        <v>50</v>
      </c>
      <c r="W61" s="1" t="s">
        <v>42</v>
      </c>
      <c r="X61" s="1" t="s">
        <v>51</v>
      </c>
      <c r="Y61" s="8" t="str">
        <f>IFERROR(VLOOKUP(A61,Sheet3!B:H,6,false),VLOOKUP(J61,Sheet2!A:C,2,false))</f>
        <v>https://assets.roomstogo.com/product/tempur-pedic-proadapt-20-soft-twin-xl-mattress_50007535_image-item</v>
      </c>
      <c r="Z61" s="8" t="str">
        <f>IFERROR(VLOOKUP(A61,Sheet3!B:H,7,false),VLOOKUP(J61,Sheet2!A:C,3,false))</f>
        <v>https://assets.roomstogo.com/product/tempur-pedic-proadapt-20-soft-twin-xl-mattress_50007535_alt-image-1</v>
      </c>
    </row>
    <row r="62">
      <c r="A62" s="4">
        <v>5.0107551E7</v>
      </c>
      <c r="B62" s="5"/>
      <c r="C62" s="5"/>
      <c r="D62" s="5"/>
      <c r="E62" s="5"/>
      <c r="F62" s="5"/>
      <c r="G62" s="5"/>
      <c r="H62" s="5"/>
      <c r="I62" s="5"/>
      <c r="J62" s="1" t="s">
        <v>94</v>
      </c>
      <c r="K62" s="1" t="s">
        <v>267</v>
      </c>
      <c r="L62" s="6">
        <v>2899.0</v>
      </c>
      <c r="M62" s="6">
        <v>2899.0</v>
      </c>
      <c r="N62" s="1" t="s">
        <v>64</v>
      </c>
      <c r="O62" s="7"/>
      <c r="P62" s="1" t="s">
        <v>96</v>
      </c>
      <c r="Q62" s="1" t="s">
        <v>31</v>
      </c>
      <c r="R62" s="1" t="s">
        <v>242</v>
      </c>
      <c r="S62" s="1" t="s">
        <v>41</v>
      </c>
      <c r="T62" s="1" t="s">
        <v>42</v>
      </c>
      <c r="U62" s="1" t="s">
        <v>35</v>
      </c>
      <c r="V62" s="1" t="s">
        <v>50</v>
      </c>
      <c r="W62" s="1" t="s">
        <v>42</v>
      </c>
      <c r="X62" s="1" t="s">
        <v>37</v>
      </c>
      <c r="Y62" s="8" t="str">
        <f>IFERROR(VLOOKUP(A62,Sheet3!B:H,6,false),VLOOKUP(J62,Sheet2!A:C,2,false))</f>
        <v>https://assets.roomstogo.com/product/tempur-pedic-proadapt-20-medium-hybrid-twin-xl-mattress_50007559_image-item</v>
      </c>
      <c r="Z62" s="8" t="str">
        <f>IFERROR(VLOOKUP(A62,Sheet3!B:H,7,false),VLOOKUP(J62,Sheet2!A:C,3,false))</f>
        <v>https://assets.roomstogo.com/product/tempur-pedic-proadapt-20-medium-hybrid-twin-xl-mattress_50007559_alt-image-1</v>
      </c>
    </row>
    <row r="63">
      <c r="A63" s="4">
        <v>5.0109872E7</v>
      </c>
      <c r="B63" s="5"/>
      <c r="C63" s="5"/>
      <c r="D63" s="5"/>
      <c r="E63" s="5"/>
      <c r="F63" s="5"/>
      <c r="G63" s="5"/>
      <c r="H63" s="5"/>
      <c r="I63" s="5"/>
      <c r="J63" s="1" t="s">
        <v>112</v>
      </c>
      <c r="K63" s="1" t="s">
        <v>268</v>
      </c>
      <c r="L63" s="6">
        <v>597.0</v>
      </c>
      <c r="M63" s="6">
        <v>799.0</v>
      </c>
      <c r="N63" s="1" t="s">
        <v>114</v>
      </c>
      <c r="O63" s="1" t="s">
        <v>54</v>
      </c>
      <c r="P63" s="7"/>
      <c r="Q63" s="1" t="s">
        <v>31</v>
      </c>
      <c r="R63" s="1" t="s">
        <v>242</v>
      </c>
      <c r="S63" s="1" t="s">
        <v>41</v>
      </c>
      <c r="T63" s="1" t="s">
        <v>34</v>
      </c>
      <c r="U63" s="1" t="s">
        <v>35</v>
      </c>
      <c r="V63" s="1" t="s">
        <v>34</v>
      </c>
      <c r="W63" s="1" t="s">
        <v>34</v>
      </c>
      <c r="X63" s="1" t="s">
        <v>37</v>
      </c>
      <c r="Y63" s="8" t="str">
        <f>IFERROR(VLOOKUP(A63,Sheet3!B:H,6,false),VLOOKUP(J63,Sheet2!A:C,2,false))</f>
        <v>https://assets.roomstogo.com/product/tuft-needle-stitch-tn31-twin-xl-mattress_50009870_image-item</v>
      </c>
      <c r="Z63" s="8" t="str">
        <f>IFERROR(VLOOKUP(A63,Sheet3!B:H,7,false),VLOOKUP(J63,Sheet2!A:C,3,false))</f>
        <v>https://assets.roomstogo.com/product/tuft-needle-stitch-tn31-twin-xl-mattress_50009870_alt-image-1</v>
      </c>
    </row>
    <row r="64">
      <c r="A64" s="4">
        <v>5.0109884E7</v>
      </c>
      <c r="B64" s="5"/>
      <c r="C64" s="5"/>
      <c r="D64" s="5"/>
      <c r="E64" s="5"/>
      <c r="F64" s="5"/>
      <c r="G64" s="5"/>
      <c r="H64" s="5"/>
      <c r="I64" s="5"/>
      <c r="J64" s="1" t="s">
        <v>115</v>
      </c>
      <c r="K64" s="1" t="s">
        <v>269</v>
      </c>
      <c r="L64" s="6">
        <v>695.0</v>
      </c>
      <c r="M64" s="6">
        <v>1299.0</v>
      </c>
      <c r="N64" s="1" t="s">
        <v>114</v>
      </c>
      <c r="O64" s="1" t="s">
        <v>54</v>
      </c>
      <c r="P64" s="7"/>
      <c r="Q64" s="1" t="s">
        <v>31</v>
      </c>
      <c r="R64" s="1" t="s">
        <v>242</v>
      </c>
      <c r="S64" s="1" t="s">
        <v>41</v>
      </c>
      <c r="T64" s="1" t="s">
        <v>42</v>
      </c>
      <c r="U64" s="1" t="s">
        <v>76</v>
      </c>
      <c r="V64" s="1" t="s">
        <v>42</v>
      </c>
      <c r="W64" s="1" t="s">
        <v>42</v>
      </c>
      <c r="X64" s="1" t="s">
        <v>77</v>
      </c>
      <c r="Y64" s="8" t="str">
        <f>IFERROR(VLOOKUP(A64,Sheet3!B:H,6,false),VLOOKUP(J64,Sheet2!A:C,2,false))</f>
        <v>https://assets.roomstogo.com/product/tuft-needle-stitch-tn51-twin-xl-mattress_50009882_image-item</v>
      </c>
      <c r="Z64" s="8" t="str">
        <f>IFERROR(VLOOKUP(A64,Sheet3!B:H,7,false),VLOOKUP(J64,Sheet2!A:C,3,false))</f>
        <v>https://assets.roomstogo.com/product/tuft-needle-stitch-tn51-twin-xl-mattress_50009882_alt-image-1</v>
      </c>
    </row>
    <row r="65">
      <c r="A65" s="4">
        <v>5.0109909E7</v>
      </c>
      <c r="B65" s="5"/>
      <c r="C65" s="5"/>
      <c r="D65" s="5"/>
      <c r="E65" s="5"/>
      <c r="F65" s="5"/>
      <c r="G65" s="5"/>
      <c r="H65" s="5"/>
      <c r="I65" s="5"/>
      <c r="J65" s="1" t="s">
        <v>117</v>
      </c>
      <c r="K65" s="1" t="s">
        <v>270</v>
      </c>
      <c r="L65" s="6">
        <v>1497.0</v>
      </c>
      <c r="M65" s="6">
        <v>1999.0</v>
      </c>
      <c r="N65" s="1" t="s">
        <v>114</v>
      </c>
      <c r="O65" s="1" t="s">
        <v>54</v>
      </c>
      <c r="P65" s="7"/>
      <c r="Q65" s="1" t="s">
        <v>31</v>
      </c>
      <c r="R65" s="1" t="s">
        <v>242</v>
      </c>
      <c r="S65" s="1" t="s">
        <v>41</v>
      </c>
      <c r="T65" s="1" t="s">
        <v>50</v>
      </c>
      <c r="U65" s="1" t="s">
        <v>49</v>
      </c>
      <c r="V65" s="1" t="s">
        <v>42</v>
      </c>
      <c r="W65" s="1" t="s">
        <v>42</v>
      </c>
      <c r="X65" s="1" t="s">
        <v>51</v>
      </c>
      <c r="Y65" s="8" t="str">
        <f>IFERROR(VLOOKUP(A65,Sheet3!B:H,6,false),VLOOKUP(J65,Sheet2!A:C,2,false))</f>
        <v>https://assets.roomstogo.com/product/tuft-needle-stitch-tn91-twin-xl-mattress_50009907_image-item</v>
      </c>
      <c r="Z65" s="8" t="str">
        <f>IFERROR(VLOOKUP(A65,Sheet3!B:H,7,false),VLOOKUP(J65,Sheet2!A:C,3,false))</f>
        <v>https://assets.roomstogo.com/product/tuft-needle-stitch-tn91-twin-xl-mattress_50009907_alt-image-1</v>
      </c>
    </row>
    <row r="66">
      <c r="A66" s="4">
        <v>5.0109923E7</v>
      </c>
      <c r="B66" s="5"/>
      <c r="C66" s="5"/>
      <c r="D66" s="5"/>
      <c r="E66" s="5"/>
      <c r="F66" s="5"/>
      <c r="G66" s="5"/>
      <c r="H66" s="5"/>
      <c r="I66" s="5"/>
      <c r="J66" s="1" t="s">
        <v>271</v>
      </c>
      <c r="K66" s="1" t="s">
        <v>272</v>
      </c>
      <c r="L66" s="6">
        <v>477.0</v>
      </c>
      <c r="M66" s="6">
        <v>499.0</v>
      </c>
      <c r="N66" s="1" t="s">
        <v>114</v>
      </c>
      <c r="O66" s="1" t="s">
        <v>54</v>
      </c>
      <c r="P66" s="1" t="s">
        <v>273</v>
      </c>
      <c r="Q66" s="1" t="s">
        <v>134</v>
      </c>
      <c r="R66" s="1" t="s">
        <v>242</v>
      </c>
      <c r="S66" s="1" t="s">
        <v>33</v>
      </c>
      <c r="T66" s="1" t="s">
        <v>36</v>
      </c>
      <c r="U66" s="1" t="s">
        <v>35</v>
      </c>
      <c r="V66" s="1" t="s">
        <v>36</v>
      </c>
      <c r="W66" s="1" t="s">
        <v>36</v>
      </c>
      <c r="X66" s="1" t="s">
        <v>37</v>
      </c>
      <c r="Y66" s="8" t="str">
        <f>IFERROR(VLOOKUP(A66,Sheet3!B:H,6,false),VLOOKUP(J66,Sheet2!A:C,2,false))</f>
        <v>https://assets.roomstogo.com/product/tuft-needle-kids-glee-twin-mattress_50109923_image-item</v>
      </c>
      <c r="Z66" s="8" t="str">
        <f>IFERROR(VLOOKUP(A66,Sheet3!B:H,7,false),VLOOKUP(J66,Sheet2!A:C,3,false))</f>
        <v>https://assets.roomstogo.com/product/tuft-needle-kids-glee-twin-mattress_50109923_alt-image-1</v>
      </c>
    </row>
    <row r="67">
      <c r="A67" s="4">
        <v>5.0109935E7</v>
      </c>
      <c r="B67" s="9">
        <v>1.0</v>
      </c>
      <c r="C67" s="9">
        <v>5.0</v>
      </c>
      <c r="D67" s="2" t="s">
        <v>274</v>
      </c>
      <c r="E67" s="2" t="s">
        <v>44</v>
      </c>
      <c r="F67" s="2" t="s">
        <v>275</v>
      </c>
      <c r="G67" s="9">
        <v>9.0</v>
      </c>
      <c r="H67" s="9">
        <v>4.89</v>
      </c>
      <c r="I67" s="9">
        <v>8.0</v>
      </c>
      <c r="J67" s="1" t="s">
        <v>119</v>
      </c>
      <c r="K67" s="1" t="s">
        <v>276</v>
      </c>
      <c r="L67" s="6">
        <v>527.0</v>
      </c>
      <c r="M67" s="6">
        <v>649.0</v>
      </c>
      <c r="N67" s="1" t="s">
        <v>114</v>
      </c>
      <c r="O67" s="1" t="s">
        <v>54</v>
      </c>
      <c r="P67" s="1" t="s">
        <v>121</v>
      </c>
      <c r="Q67" s="1" t="s">
        <v>31</v>
      </c>
      <c r="R67" s="1" t="s">
        <v>242</v>
      </c>
      <c r="S67" s="1" t="s">
        <v>33</v>
      </c>
      <c r="T67" s="1" t="s">
        <v>36</v>
      </c>
      <c r="U67" s="1" t="s">
        <v>76</v>
      </c>
      <c r="V67" s="1" t="s">
        <v>36</v>
      </c>
      <c r="W67" s="1" t="s">
        <v>36</v>
      </c>
      <c r="X67" s="1" t="s">
        <v>77</v>
      </c>
      <c r="Y67" s="8" t="str">
        <f>IFERROR(VLOOKUP(A67,Sheet3!B:H,6,false),VLOOKUP(J67,Sheet2!A:C,2,false))</f>
        <v>https://assets.roomstogo.com/product/tuft-needle-tn1-twin-xl-mattress_50009933_image-item</v>
      </c>
      <c r="Z67" s="8" t="str">
        <f>IFERROR(VLOOKUP(A67,Sheet3!B:H,7,false),VLOOKUP(J67,Sheet2!A:C,3,false))</f>
        <v>https://assets.roomstogo.com/product/tuft-needle-tn1-twin-xl-mattress_50009933_alt-image-1</v>
      </c>
    </row>
    <row r="68">
      <c r="A68" s="4">
        <v>5.0110572E7</v>
      </c>
      <c r="B68" s="9">
        <v>1.0</v>
      </c>
      <c r="C68" s="9">
        <v>5.0</v>
      </c>
      <c r="D68" s="2" t="s">
        <v>277</v>
      </c>
      <c r="E68" s="2" t="s">
        <v>44</v>
      </c>
      <c r="F68" s="2" t="s">
        <v>278</v>
      </c>
      <c r="G68" s="9">
        <v>8.0</v>
      </c>
      <c r="H68" s="9">
        <v>4.88</v>
      </c>
      <c r="I68" s="9">
        <v>7.0</v>
      </c>
      <c r="J68" s="1" t="s">
        <v>122</v>
      </c>
      <c r="K68" s="1" t="s">
        <v>279</v>
      </c>
      <c r="L68" s="6">
        <v>397.0</v>
      </c>
      <c r="M68" s="6">
        <v>899.0</v>
      </c>
      <c r="N68" s="1" t="s">
        <v>124</v>
      </c>
      <c r="O68" s="7"/>
      <c r="P68" s="7"/>
      <c r="Q68" s="1" t="s">
        <v>31</v>
      </c>
      <c r="R68" s="1" t="s">
        <v>242</v>
      </c>
      <c r="S68" s="1" t="s">
        <v>33</v>
      </c>
      <c r="T68" s="1" t="s">
        <v>34</v>
      </c>
      <c r="U68" s="1" t="s">
        <v>35</v>
      </c>
      <c r="V68" s="1" t="s">
        <v>34</v>
      </c>
      <c r="W68" s="1" t="s">
        <v>34</v>
      </c>
      <c r="X68" s="1" t="s">
        <v>37</v>
      </c>
      <c r="Y68" s="8" t="str">
        <f>IFERROR(VLOOKUP(A68,Sheet3!B:H,6,false),VLOOKUP(J68,Sheet2!A:C,2,false))</f>
        <v>https://assets.roomstogo.com/product/molecule-core-twin-xl-mattress_50010570_image-item</v>
      </c>
      <c r="Z68" s="8" t="str">
        <f>IFERROR(VLOOKUP(A68,Sheet3!B:H,7,false),VLOOKUP(J68,Sheet2!A:C,3,false))</f>
        <v>https://assets.roomstogo.com/product/molecule-core-twin-xl-mattress_50010570_alt-image-1</v>
      </c>
    </row>
    <row r="69">
      <c r="A69" s="4">
        <v>5.0110673E7</v>
      </c>
      <c r="B69" s="9">
        <v>6.0</v>
      </c>
      <c r="C69" s="9">
        <v>4.17</v>
      </c>
      <c r="D69" s="2" t="s">
        <v>125</v>
      </c>
      <c r="E69" s="2" t="s">
        <v>44</v>
      </c>
      <c r="F69" s="2" t="s">
        <v>126</v>
      </c>
      <c r="G69" s="9">
        <v>192.0</v>
      </c>
      <c r="H69" s="9">
        <v>4.4</v>
      </c>
      <c r="I69" s="9">
        <v>186.0</v>
      </c>
      <c r="J69" s="1" t="s">
        <v>127</v>
      </c>
      <c r="K69" s="1" t="s">
        <v>280</v>
      </c>
      <c r="L69" s="6">
        <v>595.0</v>
      </c>
      <c r="M69" s="6">
        <v>799.99</v>
      </c>
      <c r="N69" s="1" t="s">
        <v>129</v>
      </c>
      <c r="O69" s="1" t="s">
        <v>54</v>
      </c>
      <c r="P69" s="1" t="s">
        <v>130</v>
      </c>
      <c r="Q69" s="1" t="s">
        <v>31</v>
      </c>
      <c r="R69" s="1" t="s">
        <v>242</v>
      </c>
      <c r="S69" s="1" t="s">
        <v>41</v>
      </c>
      <c r="T69" s="1" t="s">
        <v>34</v>
      </c>
      <c r="U69" s="1" t="s">
        <v>35</v>
      </c>
      <c r="V69" s="1" t="s">
        <v>34</v>
      </c>
      <c r="W69" s="1" t="s">
        <v>34</v>
      </c>
      <c r="X69" s="1" t="s">
        <v>37</v>
      </c>
      <c r="Y69" s="8" t="str">
        <f>IFERROR(VLOOKUP(A69,Sheet3!B:H,6,false),VLOOKUP(J69,Sheet2!A:C,2,false))</f>
        <v>https://assets.roomstogo.com/product/beautyrest-select-broad-peak-medium-hybrid-twin-xl-mattress_50010671_image-item</v>
      </c>
      <c r="Z69" s="8" t="str">
        <f>IFERROR(VLOOKUP(A69,Sheet3!B:H,7,false),VLOOKUP(J69,Sheet2!A:C,3,false))</f>
        <v>https://assets.roomstogo.com/product/beautyrest-select-broad-peak-medium-hybrid-twin-xl-mattress_50010671_alt-image-1</v>
      </c>
    </row>
    <row r="70">
      <c r="A70" s="4">
        <v>5.0110938E7</v>
      </c>
      <c r="B70" s="9">
        <v>7.0</v>
      </c>
      <c r="C70" s="9">
        <v>4.0</v>
      </c>
      <c r="D70" s="2" t="s">
        <v>281</v>
      </c>
      <c r="E70" s="2" t="s">
        <v>44</v>
      </c>
      <c r="F70" s="2" t="s">
        <v>282</v>
      </c>
      <c r="G70" s="9">
        <v>8.0</v>
      </c>
      <c r="H70" s="9">
        <v>3.75</v>
      </c>
      <c r="I70" s="9">
        <v>1.0</v>
      </c>
      <c r="J70" s="1" t="s">
        <v>283</v>
      </c>
      <c r="K70" s="1" t="s">
        <v>284</v>
      </c>
      <c r="L70" s="6">
        <v>177.0</v>
      </c>
      <c r="M70" s="6">
        <v>199.0</v>
      </c>
      <c r="N70" s="1" t="s">
        <v>285</v>
      </c>
      <c r="O70" s="1" t="s">
        <v>54</v>
      </c>
      <c r="P70" s="1" t="s">
        <v>286</v>
      </c>
      <c r="Q70" s="1" t="s">
        <v>134</v>
      </c>
      <c r="R70" s="1" t="s">
        <v>242</v>
      </c>
      <c r="S70" s="1" t="s">
        <v>33</v>
      </c>
      <c r="T70" s="1" t="s">
        <v>251</v>
      </c>
      <c r="U70" s="1" t="s">
        <v>76</v>
      </c>
      <c r="V70" s="1" t="s">
        <v>36</v>
      </c>
      <c r="W70" s="1" t="s">
        <v>36</v>
      </c>
      <c r="X70" s="1" t="s">
        <v>77</v>
      </c>
      <c r="Y70" s="8" t="str">
        <f>IFERROR(VLOOKUP(A70,Sheet3!B:H,6,false),VLOOKUP(J70,Sheet2!A:C,2,false))</f>
        <v>https://assets.roomstogo.com/product/simmons-kids-delight-twin-mattress_50110938_image-item</v>
      </c>
      <c r="Z70" s="8" t="str">
        <f>IFERROR(VLOOKUP(A70,Sheet3!B:H,7,false),VLOOKUP(J70,Sheet2!A:C,3,false))</f>
        <v>https://assets.roomstogo.com/product/simmons-kids-delight-twin-mattress_50110938_alt-image-1</v>
      </c>
    </row>
    <row r="71">
      <c r="A71" s="4">
        <v>5.011094E7</v>
      </c>
      <c r="B71" s="9">
        <v>1.0</v>
      </c>
      <c r="C71" s="9">
        <v>5.0</v>
      </c>
      <c r="D71" s="2" t="s">
        <v>287</v>
      </c>
      <c r="E71" s="2" t="s">
        <v>44</v>
      </c>
      <c r="F71" s="2" t="s">
        <v>288</v>
      </c>
      <c r="G71" s="9">
        <v>3.0</v>
      </c>
      <c r="H71" s="9">
        <v>4.33</v>
      </c>
      <c r="I71" s="9">
        <v>2.0</v>
      </c>
      <c r="J71" s="1" t="s">
        <v>289</v>
      </c>
      <c r="K71" s="1" t="s">
        <v>290</v>
      </c>
      <c r="L71" s="6">
        <v>277.0</v>
      </c>
      <c r="M71" s="6">
        <v>299.0</v>
      </c>
      <c r="N71" s="1" t="s">
        <v>285</v>
      </c>
      <c r="O71" s="1" t="s">
        <v>54</v>
      </c>
      <c r="P71" s="1" t="s">
        <v>291</v>
      </c>
      <c r="Q71" s="1" t="s">
        <v>134</v>
      </c>
      <c r="R71" s="1" t="s">
        <v>242</v>
      </c>
      <c r="S71" s="1" t="s">
        <v>33</v>
      </c>
      <c r="T71" s="1" t="s">
        <v>34</v>
      </c>
      <c r="U71" s="1" t="s">
        <v>35</v>
      </c>
      <c r="V71" s="1" t="s">
        <v>36</v>
      </c>
      <c r="W71" s="1" t="s">
        <v>36</v>
      </c>
      <c r="X71" s="1" t="s">
        <v>37</v>
      </c>
      <c r="Y71" s="8" t="str">
        <f>IFERROR(VLOOKUP(A71,Sheet3!B:H,6,false),VLOOKUP(J71,Sheet2!A:C,2,false))</f>
        <v>https://assets.roomstogo.com/product/simmons-kids-glad-twin-mattress_50110940_image-item</v>
      </c>
      <c r="Z71" s="8" t="str">
        <f>IFERROR(VLOOKUP(A71,Sheet3!B:H,7,false),VLOOKUP(J71,Sheet2!A:C,3,false))</f>
        <v>https://assets.roomstogo.com/product/simmons-kids-glad-twin-mattress_50110940_alt-image-1</v>
      </c>
    </row>
    <row r="72">
      <c r="A72" s="4">
        <v>5.0110952E7</v>
      </c>
      <c r="B72" s="9">
        <v>3.0</v>
      </c>
      <c r="C72" s="9">
        <v>3.67</v>
      </c>
      <c r="D72" s="2" t="s">
        <v>292</v>
      </c>
      <c r="E72" s="2" t="s">
        <v>44</v>
      </c>
      <c r="F72" s="2" t="s">
        <v>293</v>
      </c>
      <c r="G72" s="9">
        <v>9.0</v>
      </c>
      <c r="H72" s="9">
        <v>4.22</v>
      </c>
      <c r="I72" s="9">
        <v>6.0</v>
      </c>
      <c r="J72" s="1" t="s">
        <v>294</v>
      </c>
      <c r="K72" s="1" t="s">
        <v>295</v>
      </c>
      <c r="L72" s="6">
        <v>327.0</v>
      </c>
      <c r="M72" s="6">
        <v>349.0</v>
      </c>
      <c r="N72" s="1" t="s">
        <v>285</v>
      </c>
      <c r="O72" s="1" t="s">
        <v>54</v>
      </c>
      <c r="P72" s="1" t="s">
        <v>296</v>
      </c>
      <c r="Q72" s="1" t="s">
        <v>134</v>
      </c>
      <c r="R72" s="1" t="s">
        <v>242</v>
      </c>
      <c r="S72" s="1" t="s">
        <v>59</v>
      </c>
      <c r="T72" s="1" t="s">
        <v>34</v>
      </c>
      <c r="U72" s="1" t="s">
        <v>76</v>
      </c>
      <c r="V72" s="1" t="s">
        <v>36</v>
      </c>
      <c r="W72" s="1" t="s">
        <v>34</v>
      </c>
      <c r="X72" s="1" t="s">
        <v>77</v>
      </c>
      <c r="Y72" s="8" t="str">
        <f>IFERROR(VLOOKUP(A72,Sheet3!B:H,6,false),VLOOKUP(J72,Sheet2!A:C,2,false))</f>
        <v>https://assets.roomstogo.com/product/simmons-kids-happy-twin-mattress_50110952_image-item</v>
      </c>
      <c r="Z72" s="8" t="str">
        <f>IFERROR(VLOOKUP(A72,Sheet3!B:H,7,false),VLOOKUP(J72,Sheet2!A:C,3,false))</f>
        <v>https://assets.roomstogo.com/product/simmons-kids-happy-twin-mattress_50110952_alt-image-1</v>
      </c>
    </row>
    <row r="73">
      <c r="A73" s="4">
        <v>5.0111055E7</v>
      </c>
      <c r="B73" s="5"/>
      <c r="C73" s="5"/>
      <c r="D73" s="5"/>
      <c r="E73" s="5"/>
      <c r="F73" s="5"/>
      <c r="G73" s="5"/>
      <c r="H73" s="5"/>
      <c r="I73" s="5"/>
      <c r="J73" s="1" t="s">
        <v>131</v>
      </c>
      <c r="K73" s="1" t="s">
        <v>297</v>
      </c>
      <c r="L73" s="6">
        <v>345.0</v>
      </c>
      <c r="M73" s="6">
        <v>449.99</v>
      </c>
      <c r="N73" s="1" t="s">
        <v>133</v>
      </c>
      <c r="O73" s="1" t="s">
        <v>54</v>
      </c>
      <c r="P73" s="1" t="s">
        <v>298</v>
      </c>
      <c r="Q73" s="1" t="s">
        <v>134</v>
      </c>
      <c r="R73" s="1" t="s">
        <v>242</v>
      </c>
      <c r="S73" s="1" t="s">
        <v>59</v>
      </c>
      <c r="T73" s="1" t="s">
        <v>36</v>
      </c>
      <c r="U73" s="1" t="s">
        <v>49</v>
      </c>
      <c r="V73" s="1" t="s">
        <v>42</v>
      </c>
      <c r="W73" s="1" t="s">
        <v>36</v>
      </c>
      <c r="X73" s="1" t="s">
        <v>51</v>
      </c>
      <c r="Y73" s="8" t="str">
        <f>IFERROR(VLOOKUP(A73,Sheet3!B:H,6,false),VLOOKUP(J73,Sheet2!A:C,2,false))</f>
        <v>https://assets.roomstogo.com/product/tommy-bahama-bay-dreamer-twin-mattress_50111055_image-item</v>
      </c>
      <c r="Z73" s="8" t="str">
        <f>IFERROR(VLOOKUP(A73,Sheet3!B:H,7,false),VLOOKUP(J73,Sheet2!A:C,3,false))</f>
        <v>https://assets.roomstogo.com/product/tommy-bahama-bay-dreamer-twin-mattress_50111055_alt-image-1</v>
      </c>
    </row>
    <row r="74">
      <c r="A74" s="4">
        <v>5.0111067E7</v>
      </c>
      <c r="B74" s="9">
        <v>3.0</v>
      </c>
      <c r="C74" s="9">
        <v>4.67</v>
      </c>
      <c r="D74" s="2" t="s">
        <v>299</v>
      </c>
      <c r="E74" s="2" t="s">
        <v>44</v>
      </c>
      <c r="F74" s="2" t="s">
        <v>300</v>
      </c>
      <c r="G74" s="9">
        <v>8.0</v>
      </c>
      <c r="H74" s="9">
        <v>4.75</v>
      </c>
      <c r="I74" s="9">
        <v>5.0</v>
      </c>
      <c r="J74" s="1" t="s">
        <v>135</v>
      </c>
      <c r="K74" s="1" t="s">
        <v>301</v>
      </c>
      <c r="L74" s="6">
        <v>395.0</v>
      </c>
      <c r="M74" s="6">
        <v>499.99</v>
      </c>
      <c r="N74" s="1" t="s">
        <v>133</v>
      </c>
      <c r="O74" s="1" t="s">
        <v>54</v>
      </c>
      <c r="P74" s="1" t="s">
        <v>302</v>
      </c>
      <c r="Q74" s="1" t="s">
        <v>134</v>
      </c>
      <c r="R74" s="1" t="s">
        <v>242</v>
      </c>
      <c r="S74" s="1" t="s">
        <v>41</v>
      </c>
      <c r="T74" s="1" t="s">
        <v>36</v>
      </c>
      <c r="U74" s="1" t="s">
        <v>76</v>
      </c>
      <c r="V74" s="1" t="s">
        <v>42</v>
      </c>
      <c r="W74" s="1" t="s">
        <v>36</v>
      </c>
      <c r="X74" s="1" t="s">
        <v>77</v>
      </c>
      <c r="Y74" s="8" t="str">
        <f>IFERROR(VLOOKUP(A74,Sheet3!B:H,6,false),VLOOKUP(J74,Sheet2!A:C,2,false))</f>
        <v>https://assets.roomstogo.com/product/tommy-bahama-make-waves-twin-mattress_50111067_image-item</v>
      </c>
      <c r="Z74" s="8" t="str">
        <f>IFERROR(VLOOKUP(A74,Sheet3!B:H,7,false),VLOOKUP(J74,Sheet2!A:C,3,false))</f>
        <v>https://assets.roomstogo.com/product/tommy-bahama-make-waves-twin-mattress_50111067_alt-image-1</v>
      </c>
    </row>
    <row r="75">
      <c r="A75" s="4">
        <v>5.0111079E7</v>
      </c>
      <c r="B75" s="5"/>
      <c r="C75" s="5"/>
      <c r="D75" s="5"/>
      <c r="E75" s="5"/>
      <c r="F75" s="5"/>
      <c r="G75" s="5"/>
      <c r="H75" s="5"/>
      <c r="I75" s="5"/>
      <c r="J75" s="1" t="s">
        <v>137</v>
      </c>
      <c r="K75" s="1" t="s">
        <v>303</v>
      </c>
      <c r="L75" s="6">
        <v>495.0</v>
      </c>
      <c r="M75" s="6">
        <v>599.99</v>
      </c>
      <c r="N75" s="1" t="s">
        <v>133</v>
      </c>
      <c r="O75" s="1" t="s">
        <v>54</v>
      </c>
      <c r="P75" s="1" t="s">
        <v>304</v>
      </c>
      <c r="Q75" s="1" t="s">
        <v>134</v>
      </c>
      <c r="R75" s="1" t="s">
        <v>242</v>
      </c>
      <c r="S75" s="1" t="s">
        <v>59</v>
      </c>
      <c r="T75" s="1" t="s">
        <v>36</v>
      </c>
      <c r="U75" s="1" t="s">
        <v>35</v>
      </c>
      <c r="V75" s="1" t="s">
        <v>42</v>
      </c>
      <c r="W75" s="1" t="s">
        <v>36</v>
      </c>
      <c r="X75" s="1" t="s">
        <v>37</v>
      </c>
      <c r="Y75" s="8" t="str">
        <f>IFERROR(VLOOKUP(A75,Sheet3!B:H,6,false),VLOOKUP(J75,Sheet2!A:C,2,false))</f>
        <v>https://assets.roomstogo.com/product/tommy-bahama-seaside-serenity-twin-mattress_50111079_image-item</v>
      </c>
      <c r="Z75" s="8" t="str">
        <f>IFERROR(VLOOKUP(A75,Sheet3!B:H,7,false),VLOOKUP(J75,Sheet2!A:C,3,false))</f>
        <v>https://assets.roomstogo.com/product/tommy-bahama-seaside-serenity-twin-mattress_50111079_alt-image-1</v>
      </c>
    </row>
    <row r="76">
      <c r="A76" s="4">
        <v>5.0111144E7</v>
      </c>
      <c r="B76" s="9">
        <v>4.0</v>
      </c>
      <c r="C76" s="9">
        <v>4.5</v>
      </c>
      <c r="D76" s="2" t="s">
        <v>305</v>
      </c>
      <c r="E76" s="2" t="s">
        <v>44</v>
      </c>
      <c r="F76" s="2" t="s">
        <v>306</v>
      </c>
      <c r="G76" s="9">
        <v>7.0</v>
      </c>
      <c r="H76" s="9">
        <v>3.86</v>
      </c>
      <c r="I76" s="9">
        <v>3.0</v>
      </c>
      <c r="J76" s="1" t="s">
        <v>307</v>
      </c>
      <c r="K76" s="1" t="s">
        <v>308</v>
      </c>
      <c r="L76" s="6">
        <v>99.0</v>
      </c>
      <c r="M76" s="6">
        <v>199.99</v>
      </c>
      <c r="N76" s="1" t="s">
        <v>309</v>
      </c>
      <c r="O76" s="1" t="s">
        <v>54</v>
      </c>
      <c r="P76" s="1" t="s">
        <v>310</v>
      </c>
      <c r="Q76" s="1" t="s">
        <v>134</v>
      </c>
      <c r="R76" s="1" t="s">
        <v>242</v>
      </c>
      <c r="S76" s="1" t="s">
        <v>33</v>
      </c>
      <c r="T76" s="1" t="s">
        <v>36</v>
      </c>
      <c r="U76" s="1" t="s">
        <v>35</v>
      </c>
      <c r="V76" s="1" t="s">
        <v>251</v>
      </c>
      <c r="W76" s="1" t="s">
        <v>251</v>
      </c>
      <c r="X76" s="1" t="s">
        <v>37</v>
      </c>
      <c r="Y76" s="8" t="str">
        <f>IFERROR(VLOOKUP(A76,Sheet3!B:H,6,false),VLOOKUP(J76,Sheet2!A:C,2,false))</f>
        <v>https://assets.roomstogo.com/product/therapedic-alder-twin-mattress_50111144_image-item</v>
      </c>
      <c r="Z76" s="8" t="str">
        <f>IFERROR(VLOOKUP(A76,Sheet3!B:H,7,false),VLOOKUP(J76,Sheet2!A:C,3,false))</f>
        <v>https://assets.roomstogo.com/product/therapedic-alder-twin-mattress_50111144_alt-image-1</v>
      </c>
    </row>
    <row r="77">
      <c r="A77" s="4">
        <v>5.0111168E7</v>
      </c>
      <c r="B77" s="9">
        <v>2.0</v>
      </c>
      <c r="C77" s="9">
        <v>5.0</v>
      </c>
      <c r="D77" s="2" t="s">
        <v>311</v>
      </c>
      <c r="E77" s="2" t="s">
        <v>44</v>
      </c>
      <c r="F77" s="2" t="s">
        <v>312</v>
      </c>
      <c r="G77" s="9">
        <v>5.0</v>
      </c>
      <c r="H77" s="9">
        <v>5.0</v>
      </c>
      <c r="I77" s="9">
        <v>3.0</v>
      </c>
      <c r="J77" s="1" t="s">
        <v>313</v>
      </c>
      <c r="K77" s="1" t="s">
        <v>314</v>
      </c>
      <c r="L77" s="6">
        <v>377.0</v>
      </c>
      <c r="M77" s="6">
        <v>399.99</v>
      </c>
      <c r="N77" s="1" t="s">
        <v>309</v>
      </c>
      <c r="O77" s="1" t="s">
        <v>54</v>
      </c>
      <c r="P77" s="1" t="s">
        <v>315</v>
      </c>
      <c r="Q77" s="1" t="s">
        <v>134</v>
      </c>
      <c r="R77" s="1" t="s">
        <v>242</v>
      </c>
      <c r="S77" s="1" t="s">
        <v>33</v>
      </c>
      <c r="T77" s="1" t="s">
        <v>34</v>
      </c>
      <c r="U77" s="1" t="s">
        <v>49</v>
      </c>
      <c r="V77" s="1" t="s">
        <v>36</v>
      </c>
      <c r="W77" s="1" t="s">
        <v>36</v>
      </c>
      <c r="X77" s="1" t="s">
        <v>51</v>
      </c>
      <c r="Y77" s="8" t="str">
        <f>IFERROR(VLOOKUP(A77,Sheet3!B:H,6,false),VLOOKUP(J77,Sheet2!A:C,2,false))</f>
        <v>https://assets.roomstogo.com/product/therapedic-creekmore-twin-mattress_50111168_image-item</v>
      </c>
      <c r="Z77" s="8" t="str">
        <f>IFERROR(VLOOKUP(A77,Sheet3!B:H,7,false),VLOOKUP(J77,Sheet2!A:C,3,false))</f>
        <v>https://assets.roomstogo.com/product/therapedic-creekmore-twin-mattress_50111168_alt-image-1</v>
      </c>
    </row>
    <row r="78">
      <c r="A78" s="4">
        <v>5.011117E7</v>
      </c>
      <c r="B78" s="9">
        <v>6.0</v>
      </c>
      <c r="C78" s="9">
        <v>4.33</v>
      </c>
      <c r="D78" s="2" t="s">
        <v>316</v>
      </c>
      <c r="E78" s="2" t="s">
        <v>44</v>
      </c>
      <c r="F78" s="2" t="s">
        <v>317</v>
      </c>
      <c r="G78" s="9">
        <v>15.0</v>
      </c>
      <c r="H78" s="9">
        <v>4.2</v>
      </c>
      <c r="I78" s="9">
        <v>9.0</v>
      </c>
      <c r="J78" s="1" t="s">
        <v>318</v>
      </c>
      <c r="K78" s="1" t="s">
        <v>319</v>
      </c>
      <c r="L78" s="6">
        <v>427.0</v>
      </c>
      <c r="M78" s="6">
        <v>449.99</v>
      </c>
      <c r="N78" s="1" t="s">
        <v>309</v>
      </c>
      <c r="O78" s="1" t="s">
        <v>54</v>
      </c>
      <c r="P78" s="1" t="s">
        <v>320</v>
      </c>
      <c r="Q78" s="1" t="s">
        <v>134</v>
      </c>
      <c r="R78" s="1" t="s">
        <v>242</v>
      </c>
      <c r="S78" s="1" t="s">
        <v>33</v>
      </c>
      <c r="T78" s="1" t="s">
        <v>42</v>
      </c>
      <c r="U78" s="1" t="s">
        <v>35</v>
      </c>
      <c r="V78" s="1" t="s">
        <v>251</v>
      </c>
      <c r="W78" s="1" t="s">
        <v>36</v>
      </c>
      <c r="X78" s="1" t="s">
        <v>37</v>
      </c>
      <c r="Y78" s="8" t="str">
        <f>IFERROR(VLOOKUP(A78,Sheet3!B:H,6,false),VLOOKUP(J78,Sheet2!A:C,2,false))</f>
        <v>https://assets.roomstogo.com/product/therapedic-flourish-2-sided-twin-mattress_50111170_image-item</v>
      </c>
      <c r="Z78" s="8" t="str">
        <f>IFERROR(VLOOKUP(A78,Sheet3!B:H,7,false),VLOOKUP(J78,Sheet2!A:C,3,false))</f>
        <v>https://assets.roomstogo.com/product/therapedic-flourish-2-sided-twin-mattress_50111170_alt-image-1</v>
      </c>
    </row>
    <row r="79">
      <c r="A79" s="4">
        <v>5.0111233E7</v>
      </c>
      <c r="B79" s="9">
        <v>33.0</v>
      </c>
      <c r="C79" s="9">
        <v>4.76</v>
      </c>
      <c r="D79" s="2" t="s">
        <v>321</v>
      </c>
      <c r="E79" s="2" t="s">
        <v>44</v>
      </c>
      <c r="F79" s="2" t="s">
        <v>322</v>
      </c>
      <c r="G79" s="9">
        <v>90.0</v>
      </c>
      <c r="H79" s="9">
        <v>4.6</v>
      </c>
      <c r="I79" s="9">
        <v>57.0</v>
      </c>
      <c r="J79" s="1" t="s">
        <v>323</v>
      </c>
      <c r="K79" s="1" t="s">
        <v>324</v>
      </c>
      <c r="L79" s="6">
        <v>277.0</v>
      </c>
      <c r="M79" s="6">
        <v>299.99</v>
      </c>
      <c r="N79" s="1" t="s">
        <v>309</v>
      </c>
      <c r="O79" s="1" t="s">
        <v>54</v>
      </c>
      <c r="P79" s="1" t="s">
        <v>325</v>
      </c>
      <c r="Q79" s="1" t="s">
        <v>134</v>
      </c>
      <c r="R79" s="1" t="s">
        <v>242</v>
      </c>
      <c r="S79" s="1" t="s">
        <v>59</v>
      </c>
      <c r="T79" s="1" t="s">
        <v>34</v>
      </c>
      <c r="U79" s="1" t="s">
        <v>49</v>
      </c>
      <c r="V79" s="1" t="s">
        <v>42</v>
      </c>
      <c r="W79" s="1" t="s">
        <v>36</v>
      </c>
      <c r="X79" s="1" t="s">
        <v>51</v>
      </c>
      <c r="Y79" s="8" t="str">
        <f>IFERROR(VLOOKUP(A79,Sheet3!B:H,6,false),VLOOKUP(J79,Sheet2!A:C,2,false))</f>
        <v>https://assets.roomstogo.com/product/therapedic-hamell-twin-mattress_50111233_image-item</v>
      </c>
      <c r="Z79" s="8" t="str">
        <f>IFERROR(VLOOKUP(A79,Sheet3!B:H,7,false),VLOOKUP(J79,Sheet2!A:C,3,false))</f>
        <v>https://assets.roomstogo.com/product/therapedic-hamell-twin-mattress_50111233_alt-image-1</v>
      </c>
    </row>
    <row r="80">
      <c r="A80" s="4">
        <v>5.0111269E7</v>
      </c>
      <c r="B80" s="9">
        <v>15.0</v>
      </c>
      <c r="C80" s="9">
        <v>4.73</v>
      </c>
      <c r="D80" s="2" t="s">
        <v>326</v>
      </c>
      <c r="E80" s="2" t="s">
        <v>44</v>
      </c>
      <c r="F80" s="2" t="s">
        <v>327</v>
      </c>
      <c r="G80" s="9">
        <v>33.0</v>
      </c>
      <c r="H80" s="9">
        <v>4.55</v>
      </c>
      <c r="I80" s="9">
        <v>18.0</v>
      </c>
      <c r="J80" s="1" t="s">
        <v>328</v>
      </c>
      <c r="K80" s="1" t="s">
        <v>329</v>
      </c>
      <c r="L80" s="6">
        <v>327.0</v>
      </c>
      <c r="M80" s="6">
        <v>349.99</v>
      </c>
      <c r="N80" s="1" t="s">
        <v>309</v>
      </c>
      <c r="O80" s="1" t="s">
        <v>54</v>
      </c>
      <c r="P80" s="1" t="s">
        <v>330</v>
      </c>
      <c r="Q80" s="1" t="s">
        <v>134</v>
      </c>
      <c r="R80" s="1" t="s">
        <v>242</v>
      </c>
      <c r="S80" s="1" t="s">
        <v>59</v>
      </c>
      <c r="T80" s="1" t="s">
        <v>34</v>
      </c>
      <c r="U80" s="1" t="s">
        <v>35</v>
      </c>
      <c r="V80" s="1" t="s">
        <v>34</v>
      </c>
      <c r="W80" s="1" t="s">
        <v>251</v>
      </c>
      <c r="X80" s="1" t="s">
        <v>37</v>
      </c>
      <c r="Y80" s="8" t="str">
        <f>IFERROR(VLOOKUP(A80,Sheet3!B:H,6,false),VLOOKUP(J80,Sheet2!A:C,2,false))</f>
        <v>https://assets.roomstogo.com/product/therapedic-impreza-twin-mattress_50111269_image-item</v>
      </c>
      <c r="Z80" s="8" t="str">
        <f>IFERROR(VLOOKUP(A80,Sheet3!B:H,7,false),VLOOKUP(J80,Sheet2!A:C,3,false))</f>
        <v>https://assets.roomstogo.com/product/therapedic-impreza-twin-mattress_50111269_alt-image-1</v>
      </c>
    </row>
    <row r="81">
      <c r="A81" s="4">
        <v>5.0111346E7</v>
      </c>
      <c r="B81" s="5"/>
      <c r="C81" s="5"/>
      <c r="D81" s="5"/>
      <c r="E81" s="5"/>
      <c r="F81" s="5"/>
      <c r="G81" s="5"/>
      <c r="H81" s="5"/>
      <c r="I81" s="5"/>
      <c r="J81" s="1" t="s">
        <v>141</v>
      </c>
      <c r="K81" s="1" t="s">
        <v>331</v>
      </c>
      <c r="L81" s="6">
        <v>597.0</v>
      </c>
      <c r="M81" s="6">
        <v>799.99</v>
      </c>
      <c r="N81" s="1" t="s">
        <v>143</v>
      </c>
      <c r="O81" s="1" t="s">
        <v>54</v>
      </c>
      <c r="P81" s="7"/>
      <c r="Q81" s="1" t="s">
        <v>31</v>
      </c>
      <c r="R81" s="1" t="s">
        <v>242</v>
      </c>
      <c r="S81" s="1" t="s">
        <v>59</v>
      </c>
      <c r="T81" s="1" t="s">
        <v>36</v>
      </c>
      <c r="U81" s="1" t="s">
        <v>76</v>
      </c>
      <c r="V81" s="1" t="s">
        <v>34</v>
      </c>
      <c r="W81" s="1" t="s">
        <v>36</v>
      </c>
      <c r="X81" s="1" t="s">
        <v>144</v>
      </c>
      <c r="Y81" s="8" t="str">
        <f>IFERROR(VLOOKUP(A81,Sheet3!B:H,6,false),VLOOKUP(J81,Sheet2!A:C,2,false))</f>
        <v>https://assets.roomstogo.com/product/therapedic-forester-twin-xl-mattress_50011344_image-item</v>
      </c>
      <c r="Z81" s="8" t="str">
        <f>IFERROR(VLOOKUP(A81,Sheet3!B:H,7,false),VLOOKUP(J81,Sheet2!A:C,3,false))</f>
        <v>https://assets.roomstogo.com/product/therapedic-forester-twin-xl-mattress_50011344_alt-image-1</v>
      </c>
    </row>
    <row r="82">
      <c r="A82" s="4">
        <v>5.011136E7</v>
      </c>
      <c r="B82" s="9">
        <v>3.0</v>
      </c>
      <c r="C82" s="9">
        <v>5.0</v>
      </c>
      <c r="D82" s="2" t="s">
        <v>332</v>
      </c>
      <c r="E82" s="2" t="s">
        <v>44</v>
      </c>
      <c r="F82" s="2" t="s">
        <v>333</v>
      </c>
      <c r="G82" s="9">
        <v>20.0</v>
      </c>
      <c r="H82" s="9">
        <v>4.3</v>
      </c>
      <c r="I82" s="9">
        <v>17.0</v>
      </c>
      <c r="J82" s="1" t="s">
        <v>145</v>
      </c>
      <c r="K82" s="1" t="s">
        <v>334</v>
      </c>
      <c r="L82" s="6">
        <v>497.0</v>
      </c>
      <c r="M82" s="6">
        <v>599.99</v>
      </c>
      <c r="N82" s="1" t="s">
        <v>143</v>
      </c>
      <c r="O82" s="1" t="s">
        <v>54</v>
      </c>
      <c r="P82" s="7"/>
      <c r="Q82" s="1" t="s">
        <v>31</v>
      </c>
      <c r="R82" s="1" t="s">
        <v>242</v>
      </c>
      <c r="S82" s="1" t="s">
        <v>59</v>
      </c>
      <c r="T82" s="1" t="s">
        <v>36</v>
      </c>
      <c r="U82" s="1" t="s">
        <v>35</v>
      </c>
      <c r="V82" s="1" t="s">
        <v>36</v>
      </c>
      <c r="W82" s="1" t="s">
        <v>34</v>
      </c>
      <c r="X82" s="1" t="s">
        <v>37</v>
      </c>
      <c r="Y82" s="8" t="str">
        <f>IFERROR(VLOOKUP(A82,Sheet3!B:H,6,false),VLOOKUP(J82,Sheet2!A:C,2,false))</f>
        <v>https://assets.roomstogo.com/product/therapedic-darlington-twin-xl-mattress_50011368_image-item</v>
      </c>
      <c r="Z82" s="8" t="str">
        <f>IFERROR(VLOOKUP(A82,Sheet3!B:H,7,false),VLOOKUP(J82,Sheet2!A:C,3,false))</f>
        <v>https://assets.roomstogo.com/product/therapedic-darlington-twin-xl-mattress_50011368_alt-image-1</v>
      </c>
    </row>
    <row r="83">
      <c r="A83" s="4">
        <v>5.0122212E7</v>
      </c>
      <c r="B83" s="9">
        <v>1.0</v>
      </c>
      <c r="C83" s="9">
        <v>5.0</v>
      </c>
      <c r="D83" s="2" t="s">
        <v>161</v>
      </c>
      <c r="E83" s="2" t="s">
        <v>44</v>
      </c>
      <c r="F83" s="2" t="s">
        <v>162</v>
      </c>
      <c r="G83" s="9">
        <v>28.0</v>
      </c>
      <c r="H83" s="9">
        <v>4.71</v>
      </c>
      <c r="I83" s="9">
        <v>27.0</v>
      </c>
      <c r="J83" s="1" t="s">
        <v>163</v>
      </c>
      <c r="K83" s="1" t="s">
        <v>335</v>
      </c>
      <c r="L83" s="6">
        <v>347.0</v>
      </c>
      <c r="M83" s="6">
        <v>649.99</v>
      </c>
      <c r="N83" s="1" t="s">
        <v>165</v>
      </c>
      <c r="O83" s="1" t="s">
        <v>54</v>
      </c>
      <c r="P83" s="1" t="s">
        <v>166</v>
      </c>
      <c r="Q83" s="1" t="s">
        <v>31</v>
      </c>
      <c r="R83" s="1" t="s">
        <v>242</v>
      </c>
      <c r="S83" s="1" t="s">
        <v>41</v>
      </c>
      <c r="T83" s="1" t="s">
        <v>36</v>
      </c>
      <c r="U83" s="1" t="s">
        <v>35</v>
      </c>
      <c r="V83" s="1" t="s">
        <v>34</v>
      </c>
      <c r="W83" s="1" t="s">
        <v>36</v>
      </c>
      <c r="X83" s="1" t="s">
        <v>37</v>
      </c>
      <c r="Y83" s="8" t="str">
        <f>IFERROR(VLOOKUP(A83,Sheet3!B:H,6,false),VLOOKUP(J83,Sheet2!A:C,2,false))</f>
        <v>https://assets.roomstogo.com/product/beauty-sleep-oceana-mist-medium-hybrid-twin-xl-mattress_50022210_image-item</v>
      </c>
      <c r="Z83" s="8" t="str">
        <f>IFERROR(VLOOKUP(A83,Sheet3!B:H,7,false),VLOOKUP(J83,Sheet2!A:C,3,false))</f>
        <v>https://assets.roomstogo.com/product/beauty-sleep-oceana-mist-medium-hybrid-twin-xl-mattress_50022210_alt-image-8</v>
      </c>
    </row>
    <row r="84">
      <c r="A84" s="4">
        <v>5.0125749E7</v>
      </c>
      <c r="B84" s="5"/>
      <c r="C84" s="5"/>
      <c r="D84" s="5"/>
      <c r="E84" s="5"/>
      <c r="F84" s="5"/>
      <c r="G84" s="5"/>
      <c r="H84" s="5"/>
      <c r="I84" s="5"/>
      <c r="J84" s="1" t="s">
        <v>169</v>
      </c>
      <c r="K84" s="1" t="s">
        <v>336</v>
      </c>
      <c r="L84" s="6">
        <v>1299.0</v>
      </c>
      <c r="M84" s="6">
        <v>1299.0</v>
      </c>
      <c r="N84" s="1" t="s">
        <v>171</v>
      </c>
      <c r="O84" s="7"/>
      <c r="P84" s="1" t="s">
        <v>172</v>
      </c>
      <c r="Q84" s="1" t="s">
        <v>31</v>
      </c>
      <c r="R84" s="1" t="s">
        <v>242</v>
      </c>
      <c r="S84" s="1" t="s">
        <v>59</v>
      </c>
      <c r="T84" s="1" t="s">
        <v>42</v>
      </c>
      <c r="U84" s="1" t="s">
        <v>49</v>
      </c>
      <c r="V84" s="1" t="s">
        <v>42</v>
      </c>
      <c r="W84" s="1" t="s">
        <v>42</v>
      </c>
      <c r="X84" s="1" t="s">
        <v>51</v>
      </c>
      <c r="Y84" s="8" t="str">
        <f>IFERROR(VLOOKUP(A84,Sheet3!B:H,6,false),VLOOKUP(J84,Sheet2!A:C,2,false))</f>
        <v>https://assets.roomstogo.com/product/beautyrest-world-class-level-three-plush-twin-xl-mattress_50025747_image-item</v>
      </c>
      <c r="Z84" s="8" t="str">
        <f>IFERROR(VLOOKUP(A84,Sheet3!B:H,7,false),VLOOKUP(J84,Sheet2!A:C,3,false))</f>
        <v>https://assets.roomstogo.com/product/beautyrest-world-class-level-three-plush-twin-xl-mattress_50025747_alt-image-13</v>
      </c>
    </row>
    <row r="85">
      <c r="A85" s="4">
        <v>5.0125751E7</v>
      </c>
      <c r="B85" s="5"/>
      <c r="C85" s="5"/>
      <c r="D85" s="5"/>
      <c r="E85" s="5"/>
      <c r="F85" s="5"/>
      <c r="G85" s="5"/>
      <c r="H85" s="5"/>
      <c r="I85" s="5"/>
      <c r="J85" s="1" t="s">
        <v>173</v>
      </c>
      <c r="K85" s="1" t="s">
        <v>337</v>
      </c>
      <c r="L85" s="6">
        <v>1499.0</v>
      </c>
      <c r="M85" s="6">
        <v>1499.0</v>
      </c>
      <c r="N85" s="1" t="s">
        <v>171</v>
      </c>
      <c r="O85" s="7"/>
      <c r="P85" s="1" t="s">
        <v>175</v>
      </c>
      <c r="Q85" s="1" t="s">
        <v>31</v>
      </c>
      <c r="R85" s="1" t="s">
        <v>242</v>
      </c>
      <c r="S85" s="1" t="s">
        <v>59</v>
      </c>
      <c r="T85" s="1" t="s">
        <v>42</v>
      </c>
      <c r="U85" s="1" t="s">
        <v>35</v>
      </c>
      <c r="V85" s="1" t="s">
        <v>42</v>
      </c>
      <c r="W85" s="1" t="s">
        <v>42</v>
      </c>
      <c r="X85" s="1" t="s">
        <v>37</v>
      </c>
      <c r="Y85" s="8" t="str">
        <f>IFERROR(VLOOKUP(A85,Sheet3!B:H,6,false),VLOOKUP(J85,Sheet2!A:C,2,false))</f>
        <v>https://assets.roomstogo.com/product/beautyrest-world-class-level-three-medium-pillow-top-twin-xl-mattress_50025759_image-item</v>
      </c>
      <c r="Z85" s="8" t="str">
        <f>IFERROR(VLOOKUP(A85,Sheet3!B:H,7,false),VLOOKUP(J85,Sheet2!A:C,3,false))</f>
        <v>https://assets.roomstogo.com/product/beautyrest-world-class-level-three-medium-pillow-top-twin-xl-mattress_50025759_alt-image-13</v>
      </c>
    </row>
    <row r="86">
      <c r="A86" s="4">
        <v>5.0125802E7</v>
      </c>
      <c r="B86" s="5"/>
      <c r="C86" s="5"/>
      <c r="D86" s="5"/>
      <c r="E86" s="5"/>
      <c r="F86" s="5"/>
      <c r="G86" s="5"/>
      <c r="H86" s="5"/>
      <c r="I86" s="5"/>
      <c r="J86" s="1" t="s">
        <v>176</v>
      </c>
      <c r="K86" s="1" t="s">
        <v>338</v>
      </c>
      <c r="L86" s="6">
        <v>1799.0</v>
      </c>
      <c r="M86" s="6">
        <v>1799.0</v>
      </c>
      <c r="N86" s="1" t="s">
        <v>171</v>
      </c>
      <c r="O86" s="7"/>
      <c r="P86" s="1" t="s">
        <v>178</v>
      </c>
      <c r="Q86" s="1" t="s">
        <v>31</v>
      </c>
      <c r="R86" s="1" t="s">
        <v>242</v>
      </c>
      <c r="S86" s="1" t="s">
        <v>59</v>
      </c>
      <c r="T86" s="1" t="s">
        <v>50</v>
      </c>
      <c r="U86" s="1" t="s">
        <v>49</v>
      </c>
      <c r="V86" s="1" t="s">
        <v>42</v>
      </c>
      <c r="W86" s="1" t="s">
        <v>42</v>
      </c>
      <c r="X86" s="1" t="s">
        <v>51</v>
      </c>
      <c r="Y86" s="8" t="str">
        <f>IFERROR(VLOOKUP(A86,Sheet3!B:H,6,false),VLOOKUP(J86,Sheet2!A:C,2,false))</f>
        <v>https://assets.roomstogo.com/product/beautyrest-world-class-level-four-plush-pillow-top-twin-xl-mattress_50025800_image-item</v>
      </c>
      <c r="Z86" s="8" t="str">
        <f>IFERROR(VLOOKUP(A86,Sheet3!B:H,7,false),VLOOKUP(J86,Sheet2!A:C,3,false))</f>
        <v>https://assets.roomstogo.com/product/beautyrest-world-class-level-four-plush-pillow-top-twin-xl-mattress_50025800_alt-image-13</v>
      </c>
    </row>
    <row r="87">
      <c r="A87" s="4">
        <v>5.0128959E7</v>
      </c>
      <c r="B87" s="5"/>
      <c r="C87" s="5"/>
      <c r="D87" s="5"/>
      <c r="E87" s="5"/>
      <c r="F87" s="5"/>
      <c r="G87" s="5"/>
      <c r="H87" s="5"/>
      <c r="I87" s="5"/>
      <c r="J87" s="1" t="s">
        <v>179</v>
      </c>
      <c r="K87" s="1" t="s">
        <v>339</v>
      </c>
      <c r="L87" s="6">
        <v>797.0</v>
      </c>
      <c r="M87" s="6">
        <v>1399.0</v>
      </c>
      <c r="N87" s="1" t="s">
        <v>181</v>
      </c>
      <c r="O87" s="1" t="s">
        <v>54</v>
      </c>
      <c r="P87" s="7"/>
      <c r="Q87" s="1" t="s">
        <v>31</v>
      </c>
      <c r="R87" s="1" t="s">
        <v>242</v>
      </c>
      <c r="S87" s="1" t="s">
        <v>59</v>
      </c>
      <c r="T87" s="1" t="s">
        <v>42</v>
      </c>
      <c r="U87" s="1" t="s">
        <v>49</v>
      </c>
      <c r="V87" s="1" t="s">
        <v>34</v>
      </c>
      <c r="W87" s="1" t="s">
        <v>34</v>
      </c>
      <c r="X87" s="1" t="s">
        <v>182</v>
      </c>
      <c r="Y87" s="8" t="str">
        <f>IFERROR(VLOOKUP(A87,Sheet3!B:H,6,false),VLOOKUP(J87,Sheet2!A:C,2,false))</f>
        <v>https://assets.roomstogo.com/product/sealy-correct-comfort-kerry-park-twin-xl-mattress_50028957_image-item</v>
      </c>
      <c r="Z87" s="8" t="str">
        <f>IFERROR(VLOOKUP(A87,Sheet3!B:H,7,false),VLOOKUP(J87,Sheet2!A:C,3,false))</f>
        <v>https://assets.roomstogo.com/product/sealy-correct-comfort-kerry-park-twin-xl-mattress_50028957_alt-image-1</v>
      </c>
    </row>
    <row r="88">
      <c r="A88" s="4">
        <v>5.0128961E7</v>
      </c>
      <c r="B88" s="5"/>
      <c r="C88" s="5"/>
      <c r="D88" s="5"/>
      <c r="E88" s="5"/>
      <c r="F88" s="5"/>
      <c r="G88" s="5"/>
      <c r="H88" s="5"/>
      <c r="I88" s="5"/>
      <c r="J88" s="1" t="s">
        <v>185</v>
      </c>
      <c r="K88" s="1" t="s">
        <v>340</v>
      </c>
      <c r="L88" s="6">
        <v>595.0</v>
      </c>
      <c r="M88" s="6">
        <v>699.0</v>
      </c>
      <c r="N88" s="1" t="s">
        <v>181</v>
      </c>
      <c r="O88" s="1" t="s">
        <v>54</v>
      </c>
      <c r="P88" s="7"/>
      <c r="Q88" s="1" t="s">
        <v>31</v>
      </c>
      <c r="R88" s="1" t="s">
        <v>242</v>
      </c>
      <c r="S88" s="1" t="s">
        <v>33</v>
      </c>
      <c r="T88" s="1" t="s">
        <v>34</v>
      </c>
      <c r="U88" s="1" t="s">
        <v>35</v>
      </c>
      <c r="V88" s="1" t="s">
        <v>34</v>
      </c>
      <c r="W88" s="1" t="s">
        <v>36</v>
      </c>
      <c r="X88" s="1" t="s">
        <v>37</v>
      </c>
      <c r="Y88" s="8" t="str">
        <f>IFERROR(VLOOKUP(A88,Sheet3!B:H,6,false),VLOOKUP(J88,Sheet2!A:C,2,false))</f>
        <v>https://assets.roomstogo.com/product/sealy-correct-comfort-bradford-hill-twin-xl-mattress_50028969_image-item</v>
      </c>
      <c r="Z88" s="8" t="str">
        <f>IFERROR(VLOOKUP(A88,Sheet3!B:H,7,false),VLOOKUP(J88,Sheet2!A:C,3,false))</f>
        <v>https://assets.roomstogo.com/product/sealy-correct-comfort-bradford-hill-twin-xl-mattress_50028969_alt-image-1</v>
      </c>
    </row>
    <row r="89">
      <c r="A89" s="4">
        <v>5.0129177E7</v>
      </c>
      <c r="B89" s="9">
        <v>1.0</v>
      </c>
      <c r="C89" s="9">
        <v>2.0</v>
      </c>
      <c r="D89" s="2" t="s">
        <v>341</v>
      </c>
      <c r="E89" s="2" t="s">
        <v>44</v>
      </c>
      <c r="F89" s="2" t="s">
        <v>342</v>
      </c>
      <c r="G89" s="9">
        <v>6.0</v>
      </c>
      <c r="H89" s="9">
        <v>4.17</v>
      </c>
      <c r="I89" s="9">
        <v>5.0</v>
      </c>
      <c r="J89" s="1" t="s">
        <v>189</v>
      </c>
      <c r="K89" s="1" t="s">
        <v>343</v>
      </c>
      <c r="L89" s="6">
        <v>577.0</v>
      </c>
      <c r="M89" s="6">
        <v>699.0</v>
      </c>
      <c r="N89" s="1" t="s">
        <v>191</v>
      </c>
      <c r="O89" s="1" t="s">
        <v>54</v>
      </c>
      <c r="P89" s="1" t="s">
        <v>192</v>
      </c>
      <c r="Q89" s="1" t="s">
        <v>31</v>
      </c>
      <c r="R89" s="1" t="s">
        <v>242</v>
      </c>
      <c r="S89" s="1" t="s">
        <v>59</v>
      </c>
      <c r="T89" s="1" t="s">
        <v>36</v>
      </c>
      <c r="U89" s="1" t="s">
        <v>35</v>
      </c>
      <c r="V89" s="1" t="s">
        <v>36</v>
      </c>
      <c r="W89" s="1" t="s">
        <v>36</v>
      </c>
      <c r="X89" s="1" t="s">
        <v>37</v>
      </c>
      <c r="Y89" s="8" t="str">
        <f>IFERROR(VLOOKUP(A89,Sheet3!B:H,6,false),VLOOKUP(J89,Sheet2!A:C,2,false))</f>
        <v>https://assets.roomstogo.com/product/sealy-posturepedic-brierwood-twin-xl-mattress_50029175_image-item</v>
      </c>
      <c r="Z89" s="8" t="str">
        <f>IFERROR(VLOOKUP(A89,Sheet3!B:H,7,false),VLOOKUP(J89,Sheet2!A:C,3,false))</f>
        <v>https://assets.roomstogo.com/product/sealy-posturepedic-brierwood-twin-xl-mattress_50029175_alt-image-1</v>
      </c>
    </row>
    <row r="90">
      <c r="A90" s="4">
        <v>5.0129204E7</v>
      </c>
      <c r="B90" s="5"/>
      <c r="C90" s="5"/>
      <c r="D90" s="5"/>
      <c r="E90" s="5"/>
      <c r="F90" s="5"/>
      <c r="G90" s="5"/>
      <c r="H90" s="5"/>
      <c r="I90" s="5"/>
      <c r="J90" s="1" t="s">
        <v>193</v>
      </c>
      <c r="K90" s="1" t="s">
        <v>344</v>
      </c>
      <c r="L90" s="6">
        <v>897.0</v>
      </c>
      <c r="M90" s="6">
        <v>1099.0</v>
      </c>
      <c r="N90" s="1" t="s">
        <v>195</v>
      </c>
      <c r="O90" s="1" t="s">
        <v>54</v>
      </c>
      <c r="P90" s="1" t="s">
        <v>196</v>
      </c>
      <c r="Q90" s="1" t="s">
        <v>31</v>
      </c>
      <c r="R90" s="1" t="s">
        <v>242</v>
      </c>
      <c r="S90" s="1" t="s">
        <v>59</v>
      </c>
      <c r="T90" s="1" t="s">
        <v>34</v>
      </c>
      <c r="U90" s="1" t="s">
        <v>35</v>
      </c>
      <c r="V90" s="1" t="s">
        <v>34</v>
      </c>
      <c r="W90" s="1" t="s">
        <v>36</v>
      </c>
      <c r="X90" s="1" t="s">
        <v>37</v>
      </c>
      <c r="Y90" s="8" t="str">
        <f>IFERROR(VLOOKUP(A90,Sheet3!B:H,6,false),VLOOKUP(J90,Sheet2!A:C,2,false))</f>
        <v>https://assets.roomstogo.com/product/sealy-posturepedic-castle-rock-twin-xl-mattress_50029202_image-item</v>
      </c>
      <c r="Z90" s="8" t="str">
        <f>IFERROR(VLOOKUP(A90,Sheet3!B:H,7,false),VLOOKUP(J90,Sheet2!A:C,3,false))</f>
        <v>https://assets.roomstogo.com/product/sealy-posturepedic-castle-rock-twin-xl-mattress_50029202_alt-image-1</v>
      </c>
    </row>
    <row r="91">
      <c r="A91" s="4">
        <v>5.0129216E7</v>
      </c>
      <c r="B91" s="5"/>
      <c r="C91" s="5"/>
      <c r="D91" s="5"/>
      <c r="E91" s="5"/>
      <c r="F91" s="5"/>
      <c r="G91" s="5"/>
      <c r="H91" s="5"/>
      <c r="I91" s="5"/>
      <c r="J91" s="1" t="s">
        <v>197</v>
      </c>
      <c r="K91" s="1" t="s">
        <v>345</v>
      </c>
      <c r="L91" s="6">
        <v>977.0</v>
      </c>
      <c r="M91" s="6">
        <v>1199.0</v>
      </c>
      <c r="N91" s="1" t="s">
        <v>199</v>
      </c>
      <c r="O91" s="7"/>
      <c r="P91" s="1" t="s">
        <v>200</v>
      </c>
      <c r="Q91" s="1" t="s">
        <v>31</v>
      </c>
      <c r="R91" s="1" t="s">
        <v>242</v>
      </c>
      <c r="S91" s="1" t="s">
        <v>59</v>
      </c>
      <c r="T91" s="1" t="s">
        <v>34</v>
      </c>
      <c r="U91" s="1" t="s">
        <v>35</v>
      </c>
      <c r="V91" s="1" t="s">
        <v>42</v>
      </c>
      <c r="W91" s="1" t="s">
        <v>34</v>
      </c>
      <c r="X91" s="1" t="s">
        <v>37</v>
      </c>
      <c r="Y91" s="8" t="str">
        <f>IFERROR(VLOOKUP(A91,Sheet3!B:H,6,false),VLOOKUP(J91,Sheet2!A:C,2,false))</f>
        <v>https://assets.roomstogo.com/product/sealy-posturepedic-pebblebrook-twin-xl-mattress_50029214_image-item</v>
      </c>
      <c r="Z91" s="8" t="str">
        <f>IFERROR(VLOOKUP(A91,Sheet3!B:H,7,false),VLOOKUP(J91,Sheet2!A:C,3,false))</f>
        <v>https://assets.roomstogo.com/product/sealy-posturepedic-pebblebrook-twin-xl-mattress_50029214_alt-image-1</v>
      </c>
    </row>
    <row r="92">
      <c r="A92" s="4">
        <v>5.0134116E7</v>
      </c>
      <c r="B92" s="9">
        <v>2.0</v>
      </c>
      <c r="C92" s="9">
        <v>3.0</v>
      </c>
      <c r="D92" s="2" t="s">
        <v>346</v>
      </c>
      <c r="E92" s="2" t="s">
        <v>44</v>
      </c>
      <c r="F92" s="2" t="s">
        <v>347</v>
      </c>
      <c r="G92" s="9">
        <v>13.0</v>
      </c>
      <c r="H92" s="9">
        <v>3.92</v>
      </c>
      <c r="I92" s="9">
        <v>11.0</v>
      </c>
      <c r="J92" s="1" t="s">
        <v>348</v>
      </c>
      <c r="K92" s="1" t="s">
        <v>349</v>
      </c>
      <c r="L92" s="6">
        <v>699.0</v>
      </c>
      <c r="M92" s="6">
        <v>799.0</v>
      </c>
      <c r="N92" s="1" t="s">
        <v>64</v>
      </c>
      <c r="O92" s="7"/>
      <c r="P92" s="1" t="s">
        <v>350</v>
      </c>
      <c r="Q92" s="1" t="s">
        <v>134</v>
      </c>
      <c r="R92" s="1" t="s">
        <v>242</v>
      </c>
      <c r="S92" s="1" t="s">
        <v>33</v>
      </c>
      <c r="T92" s="1" t="s">
        <v>50</v>
      </c>
      <c r="U92" s="1" t="s">
        <v>35</v>
      </c>
      <c r="V92" s="1" t="s">
        <v>50</v>
      </c>
      <c r="W92" s="1" t="s">
        <v>36</v>
      </c>
      <c r="X92" s="1" t="s">
        <v>37</v>
      </c>
      <c r="Y92" s="8" t="str">
        <f>IFERROR(VLOOKUP(A92,Sheet3!B:H,6,false),VLOOKUP(J92,Sheet2!A:C,2,false))</f>
        <v>https://assets.roomstogo.com/product/tempur-kids-twin-mattress_50134116_image-item</v>
      </c>
      <c r="Z92" s="8" t="str">
        <f>IFERROR(VLOOKUP(A92,Sheet3!B:H,7,false),VLOOKUP(J92,Sheet2!A:C,3,false))</f>
        <v>https://assets.roomstogo.com/product/tempur-kids-project-z-twin-mattress_50134116_alt-image-1</v>
      </c>
    </row>
    <row r="93">
      <c r="A93" s="4">
        <v>5.015257E7</v>
      </c>
      <c r="B93" s="9">
        <v>2.0</v>
      </c>
      <c r="C93" s="9">
        <v>5.0</v>
      </c>
      <c r="D93" s="2" t="s">
        <v>351</v>
      </c>
      <c r="E93" s="2" t="s">
        <v>44</v>
      </c>
      <c r="F93" s="2" t="s">
        <v>352</v>
      </c>
      <c r="G93" s="9">
        <v>3.0</v>
      </c>
      <c r="H93" s="9">
        <v>5.0</v>
      </c>
      <c r="I93" s="9">
        <v>1.0</v>
      </c>
      <c r="J93" s="1" t="s">
        <v>352</v>
      </c>
      <c r="K93" s="1" t="s">
        <v>353</v>
      </c>
      <c r="L93" s="6">
        <v>277.0</v>
      </c>
      <c r="M93" s="6">
        <v>299.99</v>
      </c>
      <c r="N93" s="1" t="s">
        <v>354</v>
      </c>
      <c r="O93" s="1" t="s">
        <v>54</v>
      </c>
      <c r="P93" s="1" t="s">
        <v>355</v>
      </c>
      <c r="Q93" s="1" t="s">
        <v>134</v>
      </c>
      <c r="R93" s="1" t="s">
        <v>242</v>
      </c>
      <c r="S93" s="1" t="s">
        <v>59</v>
      </c>
      <c r="T93" s="1" t="s">
        <v>36</v>
      </c>
      <c r="U93" s="1" t="s">
        <v>35</v>
      </c>
      <c r="V93" s="1" t="s">
        <v>36</v>
      </c>
      <c r="W93" s="1" t="s">
        <v>36</v>
      </c>
      <c r="X93" s="1" t="s">
        <v>37</v>
      </c>
      <c r="Y93" s="8" t="str">
        <f>IFERROR(VLOOKUP(A93,Sheet3!B:H,6,false),VLOOKUP(J93,Sheet2!A:C,2,false))</f>
        <v>https://assets.roomstogo.com/product/sealy-kids-z-305-twin-mattress_50152570_image-item</v>
      </c>
      <c r="Z93" s="8" t="str">
        <f>IFERROR(VLOOKUP(A93,Sheet3!B:H,7,false),VLOOKUP(J93,Sheet2!A:C,3,false))</f>
        <v>https://assets.roomstogo.com/product/sealy-kids-z-305-twin-mattress_50152570_alt-image-1</v>
      </c>
    </row>
    <row r="94">
      <c r="A94" s="4">
        <v>5.0152582E7</v>
      </c>
      <c r="B94" s="5"/>
      <c r="C94" s="5"/>
      <c r="D94" s="5"/>
      <c r="E94" s="5"/>
      <c r="F94" s="5"/>
      <c r="G94" s="5"/>
      <c r="H94" s="5"/>
      <c r="I94" s="5"/>
      <c r="J94" s="1" t="s">
        <v>356</v>
      </c>
      <c r="K94" s="1" t="s">
        <v>357</v>
      </c>
      <c r="L94" s="6">
        <v>327.0</v>
      </c>
      <c r="M94" s="6">
        <v>349.99</v>
      </c>
      <c r="N94" s="1" t="s">
        <v>354</v>
      </c>
      <c r="O94" s="1" t="s">
        <v>54</v>
      </c>
      <c r="P94" s="1" t="s">
        <v>358</v>
      </c>
      <c r="Q94" s="1" t="s">
        <v>134</v>
      </c>
      <c r="R94" s="1" t="s">
        <v>242</v>
      </c>
      <c r="S94" s="1" t="s">
        <v>59</v>
      </c>
      <c r="T94" s="1" t="s">
        <v>34</v>
      </c>
      <c r="U94" s="1" t="s">
        <v>49</v>
      </c>
      <c r="V94" s="1" t="s">
        <v>34</v>
      </c>
      <c r="W94" s="1" t="s">
        <v>42</v>
      </c>
      <c r="X94" s="1" t="s">
        <v>51</v>
      </c>
      <c r="Y94" s="8" t="str">
        <f>IFERROR(VLOOKUP(A94,Sheet3!B:H,6,false),VLOOKUP(J94,Sheet2!A:C,2,false))</f>
        <v>https://assets.roomstogo.com/product/sealy-kids-z-505-twin-mattress_50152582_image-item</v>
      </c>
      <c r="Z94" s="8" t="str">
        <f>IFERROR(VLOOKUP(A94,Sheet3!B:H,7,false),VLOOKUP(J94,Sheet2!A:C,3,false))</f>
        <v>https://assets.roomstogo.com/product/sealy-kids-z-505-twin-mattress_50152582_alt-image-1</v>
      </c>
    </row>
    <row r="95">
      <c r="A95" s="4">
        <v>5.0170047E7</v>
      </c>
      <c r="B95" s="9">
        <v>1.0</v>
      </c>
      <c r="C95" s="9">
        <v>5.0</v>
      </c>
      <c r="D95" s="2" t="s">
        <v>359</v>
      </c>
      <c r="E95" s="2" t="s">
        <v>44</v>
      </c>
      <c r="F95" s="2" t="s">
        <v>360</v>
      </c>
      <c r="G95" s="9">
        <v>1.0</v>
      </c>
      <c r="H95" s="9">
        <v>5.0</v>
      </c>
      <c r="I95" s="9">
        <v>0.0</v>
      </c>
      <c r="J95" s="1" t="s">
        <v>361</v>
      </c>
      <c r="K95" s="1" t="s">
        <v>362</v>
      </c>
      <c r="L95" s="6">
        <v>599.0</v>
      </c>
      <c r="M95" s="6">
        <v>748.75</v>
      </c>
      <c r="N95" s="1" t="s">
        <v>234</v>
      </c>
      <c r="O95" s="7"/>
      <c r="P95" s="7"/>
      <c r="Q95" s="1" t="s">
        <v>134</v>
      </c>
      <c r="R95" s="1" t="s">
        <v>242</v>
      </c>
      <c r="S95" s="1" t="s">
        <v>59</v>
      </c>
      <c r="T95" s="1" t="s">
        <v>42</v>
      </c>
      <c r="U95" s="1" t="s">
        <v>35</v>
      </c>
      <c r="V95" s="1" t="s">
        <v>50</v>
      </c>
      <c r="W95" s="1" t="s">
        <v>34</v>
      </c>
      <c r="X95" s="1" t="s">
        <v>363</v>
      </c>
      <c r="Y95" s="8" t="str">
        <f>IFERROR(VLOOKUP(A95,Sheet3!B:H,6,false),VLOOKUP(J95,Sheet2!A:C,2,false))</f>
        <v>https://assets.roomstogo.com/product/helix-kids-twin-mattress_50170047_image-item</v>
      </c>
      <c r="Z95" s="8" t="str">
        <f>IFERROR(VLOOKUP(A95,Sheet3!B:H,7,false),VLOOKUP(J95,Sheet2!A:C,3,false))</f>
        <v>https://assets.roomstogo.com/product/helix-kids-twin-mattress_50170047_alt-image-6</v>
      </c>
    </row>
    <row r="96">
      <c r="A96" s="4">
        <v>5.0170112E7</v>
      </c>
      <c r="B96" s="5"/>
      <c r="C96" s="5"/>
      <c r="D96" s="5"/>
      <c r="E96" s="5"/>
      <c r="F96" s="5"/>
      <c r="G96" s="5"/>
      <c r="H96" s="5"/>
      <c r="I96" s="5"/>
      <c r="J96" s="1" t="s">
        <v>232</v>
      </c>
      <c r="K96" s="1" t="s">
        <v>364</v>
      </c>
      <c r="L96" s="6">
        <v>1348.0</v>
      </c>
      <c r="M96" s="6">
        <v>1685.0</v>
      </c>
      <c r="N96" s="1" t="s">
        <v>234</v>
      </c>
      <c r="O96" s="7"/>
      <c r="P96" s="7"/>
      <c r="Q96" s="1" t="s">
        <v>31</v>
      </c>
      <c r="R96" s="1" t="s">
        <v>242</v>
      </c>
      <c r="S96" s="1" t="s">
        <v>59</v>
      </c>
      <c r="T96" s="1" t="s">
        <v>42</v>
      </c>
      <c r="U96" s="1" t="s">
        <v>35</v>
      </c>
      <c r="V96" s="1" t="s">
        <v>42</v>
      </c>
      <c r="W96" s="1" t="s">
        <v>34</v>
      </c>
      <c r="X96" s="1" t="s">
        <v>37</v>
      </c>
      <c r="Y96" s="8" t="str">
        <f>IFERROR(VLOOKUP(A96,Sheet3!B:H,6,false),VLOOKUP(J96,Sheet2!A:C,2,false))</f>
        <v>https://assets.roomstogo.com/product/helix-midnight-luxe-twin-xl-mattress_50070110_image-item</v>
      </c>
      <c r="Z96" s="8" t="str">
        <f>IFERROR(VLOOKUP(A96,Sheet3!B:H,7,false),VLOOKUP(J96,Sheet2!A:C,3,false))</f>
        <v>https://assets.roomstogo.com/product/helix-midnight-luxe-twin-xl-mattress_50070110_alt-image-1</v>
      </c>
    </row>
    <row r="97">
      <c r="A97" s="4">
        <v>5.0170124E7</v>
      </c>
      <c r="B97" s="5"/>
      <c r="C97" s="5"/>
      <c r="D97" s="5"/>
      <c r="E97" s="5"/>
      <c r="F97" s="5"/>
      <c r="G97" s="5"/>
      <c r="H97" s="5"/>
      <c r="I97" s="5"/>
      <c r="J97" s="1" t="s">
        <v>237</v>
      </c>
      <c r="K97" s="1" t="s">
        <v>365</v>
      </c>
      <c r="L97" s="6">
        <v>1999.0</v>
      </c>
      <c r="M97" s="6">
        <v>2498.75</v>
      </c>
      <c r="N97" s="1" t="s">
        <v>234</v>
      </c>
      <c r="O97" s="7"/>
      <c r="P97" s="7"/>
      <c r="Q97" s="1" t="s">
        <v>31</v>
      </c>
      <c r="R97" s="1" t="s">
        <v>242</v>
      </c>
      <c r="S97" s="1" t="s">
        <v>59</v>
      </c>
      <c r="T97" s="1" t="s">
        <v>50</v>
      </c>
      <c r="U97" s="1" t="s">
        <v>35</v>
      </c>
      <c r="V97" s="1" t="s">
        <v>42</v>
      </c>
      <c r="W97" s="1" t="s">
        <v>42</v>
      </c>
      <c r="X97" s="1" t="s">
        <v>37</v>
      </c>
      <c r="Y97" s="8" t="str">
        <f>IFERROR(VLOOKUP(A97,Sheet3!B:H,6,false),VLOOKUP(J97,Sheet2!A:C,2,false))</f>
        <v>https://assets.roomstogo.com/product/helix-midnight-elite-twin-xl-mattress_50070122_image-item</v>
      </c>
      <c r="Z97" s="8" t="str">
        <f>IFERROR(VLOOKUP(A97,Sheet3!B:H,7,false),VLOOKUP(J97,Sheet2!A:C,3,false))</f>
        <v>https://assets.roomstogo.com/product/helix-midnight-elite-twin-xl-mattress_50070122_alt-image-1</v>
      </c>
    </row>
    <row r="98">
      <c r="A98" s="4">
        <v>5.0218607E7</v>
      </c>
      <c r="B98" s="9">
        <v>6.0</v>
      </c>
      <c r="C98" s="9">
        <v>4.5</v>
      </c>
      <c r="D98" s="2" t="s">
        <v>366</v>
      </c>
      <c r="E98" s="2" t="s">
        <v>367</v>
      </c>
      <c r="F98" s="2" t="s">
        <v>368</v>
      </c>
      <c r="G98" s="9">
        <v>11.0</v>
      </c>
      <c r="H98" s="9">
        <v>4.45</v>
      </c>
      <c r="I98" s="9">
        <v>5.0</v>
      </c>
      <c r="J98" s="1" t="s">
        <v>369</v>
      </c>
      <c r="K98" s="1" t="s">
        <v>370</v>
      </c>
      <c r="L98" s="6">
        <v>899.0</v>
      </c>
      <c r="M98" s="6">
        <v>899.0</v>
      </c>
      <c r="N98" s="7"/>
      <c r="O98" s="7"/>
      <c r="P98" s="1" t="s">
        <v>371</v>
      </c>
      <c r="Q98" s="1" t="s">
        <v>31</v>
      </c>
      <c r="R98" s="1" t="s">
        <v>242</v>
      </c>
      <c r="S98" s="7"/>
      <c r="T98" s="7"/>
      <c r="U98" s="7"/>
      <c r="V98" s="7"/>
      <c r="W98" s="7"/>
      <c r="X98" s="7"/>
      <c r="Y98" s="11" t="str">
        <f>IFERROR(VLOOKUP(A98,Sheet3!B:H,6,false),VLOOKUP(J98,Sheet2!A:C,2,false))</f>
        <v>#N/A</v>
      </c>
      <c r="Z98" s="11" t="str">
        <f>IFERROR(VLOOKUP(A98,Sheet3!B:H,7,false),VLOOKUP(J98,Sheet2!A:C,3,false))</f>
        <v>#N/A</v>
      </c>
    </row>
    <row r="99">
      <c r="A99" s="4">
        <v>5.0300549E7</v>
      </c>
      <c r="B99" s="9">
        <v>78.0</v>
      </c>
      <c r="C99" s="9">
        <v>4.21</v>
      </c>
      <c r="D99" s="2" t="s">
        <v>239</v>
      </c>
      <c r="E99" s="2" t="s">
        <v>44</v>
      </c>
      <c r="F99" s="2" t="s">
        <v>240</v>
      </c>
      <c r="G99" s="9">
        <v>81.0</v>
      </c>
      <c r="H99" s="9">
        <v>4.23</v>
      </c>
      <c r="I99" s="9">
        <v>3.0</v>
      </c>
      <c r="J99" s="1" t="s">
        <v>28</v>
      </c>
      <c r="K99" s="1" t="s">
        <v>372</v>
      </c>
      <c r="L99" s="6">
        <v>959.0</v>
      </c>
      <c r="M99" s="6">
        <v>1199.0</v>
      </c>
      <c r="N99" s="1" t="s">
        <v>30</v>
      </c>
      <c r="O99" s="7"/>
      <c r="P99" s="7"/>
      <c r="Q99" s="1" t="s">
        <v>31</v>
      </c>
      <c r="R99" s="1" t="s">
        <v>373</v>
      </c>
      <c r="S99" s="1" t="s">
        <v>33</v>
      </c>
      <c r="T99" s="1" t="s">
        <v>34</v>
      </c>
      <c r="U99" s="1" t="s">
        <v>35</v>
      </c>
      <c r="V99" s="1" t="s">
        <v>34</v>
      </c>
      <c r="W99" s="1" t="s">
        <v>36</v>
      </c>
      <c r="X99" s="1" t="s">
        <v>37</v>
      </c>
      <c r="Y99" s="8" t="str">
        <f>IFERROR(VLOOKUP(A99,Sheet3!B:H,6,false),VLOOKUP(J99,Sheet2!A:C,2,false))</f>
        <v>https://assets.roomstogo.com/product/casper-cloud-one-twin-xl-mattress_50000543_image-item</v>
      </c>
      <c r="Z99" s="8" t="str">
        <f>IFERROR(VLOOKUP(A99,Sheet3!B:H,7,false),VLOOKUP(J99,Sheet2!A:C,3,false))</f>
        <v>https://assets.roomstogo.com/product/casper-cloud-one-twin-xl-mattress_50000543_alt-image-1</v>
      </c>
    </row>
    <row r="100">
      <c r="A100" s="4">
        <v>5.0300575E7</v>
      </c>
      <c r="B100" s="5"/>
      <c r="C100" s="5"/>
      <c r="D100" s="5"/>
      <c r="E100" s="5"/>
      <c r="F100" s="5"/>
      <c r="G100" s="5"/>
      <c r="H100" s="5"/>
      <c r="I100" s="5"/>
      <c r="J100" s="1" t="s">
        <v>38</v>
      </c>
      <c r="K100" s="1" t="s">
        <v>374</v>
      </c>
      <c r="L100" s="6">
        <v>1995.0</v>
      </c>
      <c r="M100" s="6">
        <v>2495.0</v>
      </c>
      <c r="N100" s="1" t="s">
        <v>30</v>
      </c>
      <c r="O100" s="7"/>
      <c r="P100" s="1" t="s">
        <v>375</v>
      </c>
      <c r="Q100" s="1" t="s">
        <v>31</v>
      </c>
      <c r="R100" s="1" t="s">
        <v>373</v>
      </c>
      <c r="S100" s="1" t="s">
        <v>41</v>
      </c>
      <c r="T100" s="1" t="s">
        <v>34</v>
      </c>
      <c r="U100" s="1" t="s">
        <v>35</v>
      </c>
      <c r="V100" s="1" t="s">
        <v>34</v>
      </c>
      <c r="W100" s="1" t="s">
        <v>42</v>
      </c>
      <c r="X100" s="1" t="s">
        <v>37</v>
      </c>
      <c r="Y100" s="8" t="str">
        <f>IFERROR(VLOOKUP(A100,Sheet3!B:H,6,false),VLOOKUP(J100,Sheet2!A:C,2,false))</f>
        <v>https://assets.roomstogo.com/product/casper-snow-20-twin-xl-mattress_50000579_image-item</v>
      </c>
      <c r="Z100" s="8" t="str">
        <f>IFERROR(VLOOKUP(A100,Sheet3!B:H,7,false),VLOOKUP(J100,Sheet2!A:C,3,false))</f>
        <v>https://assets.roomstogo.com/product/casper-snow-20-twin-xl-mattress_50000579_alt-image-1</v>
      </c>
    </row>
    <row r="101">
      <c r="A101" s="4">
        <v>5.0300587E7</v>
      </c>
      <c r="B101" s="9">
        <v>1.0</v>
      </c>
      <c r="C101" s="9">
        <v>5.0</v>
      </c>
      <c r="D101" s="2" t="s">
        <v>43</v>
      </c>
      <c r="E101" s="2" t="s">
        <v>44</v>
      </c>
      <c r="F101" s="2" t="s">
        <v>45</v>
      </c>
      <c r="G101" s="9">
        <v>380.0</v>
      </c>
      <c r="H101" s="9">
        <v>4.42</v>
      </c>
      <c r="I101" s="9">
        <v>379.0</v>
      </c>
      <c r="J101" s="1" t="s">
        <v>46</v>
      </c>
      <c r="K101" s="1" t="s">
        <v>376</v>
      </c>
      <c r="L101" s="6">
        <v>2995.0</v>
      </c>
      <c r="M101" s="6">
        <v>3795.0</v>
      </c>
      <c r="N101" s="1" t="s">
        <v>30</v>
      </c>
      <c r="O101" s="7"/>
      <c r="P101" s="1" t="s">
        <v>48</v>
      </c>
      <c r="Q101" s="1" t="s">
        <v>31</v>
      </c>
      <c r="R101" s="1" t="s">
        <v>373</v>
      </c>
      <c r="S101" s="1" t="s">
        <v>41</v>
      </c>
      <c r="T101" s="1" t="s">
        <v>42</v>
      </c>
      <c r="U101" s="1" t="s">
        <v>49</v>
      </c>
      <c r="V101" s="1" t="s">
        <v>34</v>
      </c>
      <c r="W101" s="1" t="s">
        <v>50</v>
      </c>
      <c r="X101" s="1" t="s">
        <v>51</v>
      </c>
      <c r="Y101" s="8" t="str">
        <f>IFERROR(VLOOKUP(A101,Sheet3!B:H,6,false),VLOOKUP(J101,Sheet2!A:C,2,false))</f>
        <v>https://assets.roomstogo.com/product/casper-snow-max-twin-xl-mattress_50000581_image-item</v>
      </c>
      <c r="Z101" s="8" t="str">
        <f>IFERROR(VLOOKUP(A101,Sheet3!B:H,7,false),VLOOKUP(J101,Sheet2!A:C,3,false))</f>
        <v>https://assets.roomstogo.com/product/casper-snow-max-twin-xl-mattress_50000581_alt-image-1</v>
      </c>
    </row>
    <row r="102">
      <c r="A102" s="4">
        <v>5.0300688E7</v>
      </c>
      <c r="B102" s="9">
        <v>3.0</v>
      </c>
      <c r="C102" s="9">
        <v>3.67</v>
      </c>
      <c r="D102" s="2" t="s">
        <v>377</v>
      </c>
      <c r="E102" s="2" t="s">
        <v>44</v>
      </c>
      <c r="F102" s="2" t="s">
        <v>378</v>
      </c>
      <c r="G102" s="9">
        <v>6.0</v>
      </c>
      <c r="H102" s="9">
        <v>3.67</v>
      </c>
      <c r="I102" s="9">
        <v>3.0</v>
      </c>
      <c r="J102" s="1" t="s">
        <v>52</v>
      </c>
      <c r="K102" s="1" t="s">
        <v>379</v>
      </c>
      <c r="L102" s="6">
        <v>749.0</v>
      </c>
      <c r="M102" s="6">
        <v>849.0</v>
      </c>
      <c r="N102" s="1" t="s">
        <v>30</v>
      </c>
      <c r="O102" s="1" t="s">
        <v>54</v>
      </c>
      <c r="P102" s="1" t="s">
        <v>244</v>
      </c>
      <c r="Q102" s="1" t="s">
        <v>31</v>
      </c>
      <c r="R102" s="1" t="s">
        <v>373</v>
      </c>
      <c r="S102" s="1" t="s">
        <v>33</v>
      </c>
      <c r="T102" s="1" t="s">
        <v>36</v>
      </c>
      <c r="U102" s="1" t="s">
        <v>35</v>
      </c>
      <c r="V102" s="1" t="s">
        <v>36</v>
      </c>
      <c r="W102" s="1" t="s">
        <v>36</v>
      </c>
      <c r="X102" s="1" t="s">
        <v>37</v>
      </c>
      <c r="Y102" s="8" t="str">
        <f>IFERROR(VLOOKUP(A102,Sheet3!B:H,6,false),VLOOKUP(J102,Sheet2!A:C,2,false))</f>
        <v>https://assets.roomstogo.com/product/casper-onyx-20-twin-xl-mattress_50000682_image-item</v>
      </c>
      <c r="Z102" s="8" t="str">
        <f>IFERROR(VLOOKUP(A102,Sheet3!B:H,7,false),VLOOKUP(J102,Sheet2!A:C,3,false))</f>
        <v>https://assets.roomstogo.com/product/casper-onyx-20-twin-xl-mattress_50000682_alt-image-1</v>
      </c>
    </row>
    <row r="103">
      <c r="A103" s="4">
        <v>5.0301779E7</v>
      </c>
      <c r="B103" s="5"/>
      <c r="C103" s="5"/>
      <c r="D103" s="5"/>
      <c r="E103" s="5"/>
      <c r="F103" s="5"/>
      <c r="G103" s="5"/>
      <c r="H103" s="5"/>
      <c r="I103" s="5"/>
      <c r="J103" s="1" t="s">
        <v>56</v>
      </c>
      <c r="K103" s="1" t="s">
        <v>380</v>
      </c>
      <c r="L103" s="6">
        <v>1177.0</v>
      </c>
      <c r="M103" s="6">
        <v>3599.0</v>
      </c>
      <c r="N103" s="1" t="s">
        <v>58</v>
      </c>
      <c r="O103" s="7"/>
      <c r="P103" s="7"/>
      <c r="Q103" s="7"/>
      <c r="R103" s="1" t="s">
        <v>373</v>
      </c>
      <c r="S103" s="1" t="s">
        <v>59</v>
      </c>
      <c r="T103" s="1" t="s">
        <v>42</v>
      </c>
      <c r="U103" s="1" t="s">
        <v>35</v>
      </c>
      <c r="V103" s="1" t="s">
        <v>42</v>
      </c>
      <c r="W103" s="1" t="s">
        <v>34</v>
      </c>
      <c r="X103" s="1" t="s">
        <v>37</v>
      </c>
      <c r="Y103" s="8" t="str">
        <f>IFERROR(VLOOKUP(A103,Sheet3!B:H,6,false),VLOOKUP(J103,Sheet2!A:C,2,false))</f>
        <v>https://assets.roomstogo.com/product/kingsdown-smart-match-20-twin-xl-mattress_50001773_image-item</v>
      </c>
      <c r="Z103" s="8" t="str">
        <f>IFERROR(VLOOKUP(A103,Sheet3!B:H,7,false),VLOOKUP(J103,Sheet2!A:C,3,false))</f>
        <v>https://assets.roomstogo.com/product/kingsdown-smart-match-20-twin-xl-mattress_50001773_alt-image-1</v>
      </c>
    </row>
    <row r="104">
      <c r="A104" s="4">
        <v>5.0302264E7</v>
      </c>
      <c r="B104" s="9">
        <v>10.0</v>
      </c>
      <c r="C104" s="9">
        <v>4.0</v>
      </c>
      <c r="D104" s="2" t="s">
        <v>246</v>
      </c>
      <c r="E104" s="2" t="s">
        <v>44</v>
      </c>
      <c r="F104" s="2" t="s">
        <v>247</v>
      </c>
      <c r="G104" s="9">
        <v>43.0</v>
      </c>
      <c r="H104" s="9">
        <v>4.37</v>
      </c>
      <c r="I104" s="9">
        <v>33.0</v>
      </c>
      <c r="J104" s="1" t="s">
        <v>248</v>
      </c>
      <c r="K104" s="1" t="s">
        <v>381</v>
      </c>
      <c r="L104" s="6">
        <v>338.0</v>
      </c>
      <c r="M104" s="6">
        <v>349.99</v>
      </c>
      <c r="N104" s="1" t="s">
        <v>58</v>
      </c>
      <c r="O104" s="1" t="s">
        <v>54</v>
      </c>
      <c r="P104" s="1" t="s">
        <v>250</v>
      </c>
      <c r="Q104" s="1" t="s">
        <v>134</v>
      </c>
      <c r="R104" s="1" t="s">
        <v>373</v>
      </c>
      <c r="S104" s="1" t="s">
        <v>59</v>
      </c>
      <c r="T104" s="1" t="s">
        <v>36</v>
      </c>
      <c r="U104" s="1" t="s">
        <v>35</v>
      </c>
      <c r="V104" s="1" t="s">
        <v>251</v>
      </c>
      <c r="W104" s="1" t="s">
        <v>36</v>
      </c>
      <c r="X104" s="1" t="s">
        <v>37</v>
      </c>
      <c r="Y104" s="8" t="str">
        <f>IFERROR(VLOOKUP(A104,Sheet3!B:H,6,false),VLOOKUP(J104,Sheet2!A:C,2,false))</f>
        <v>https://assets.roomstogo.com/product/kingsdown-turnbull-twin-mattress_50102260_image-item</v>
      </c>
      <c r="Z104" s="8" t="str">
        <f>IFERROR(VLOOKUP(A104,Sheet3!B:H,7,false),VLOOKUP(J104,Sheet2!A:C,3,false))</f>
        <v>https://assets.roomstogo.com/product/kingsdown-turnbull-twin-mattress_50102260_alt-image-1</v>
      </c>
    </row>
    <row r="105">
      <c r="A105" s="4">
        <v>5.0302288E7</v>
      </c>
      <c r="B105" s="9">
        <v>15.0</v>
      </c>
      <c r="C105" s="9">
        <v>4.6</v>
      </c>
      <c r="D105" s="2" t="s">
        <v>252</v>
      </c>
      <c r="E105" s="2" t="s">
        <v>44</v>
      </c>
      <c r="F105" s="2" t="s">
        <v>253</v>
      </c>
      <c r="G105" s="9">
        <v>26.0</v>
      </c>
      <c r="H105" s="9">
        <v>4.46</v>
      </c>
      <c r="I105" s="9">
        <v>11.0</v>
      </c>
      <c r="J105" s="1" t="s">
        <v>254</v>
      </c>
      <c r="K105" s="1" t="s">
        <v>382</v>
      </c>
      <c r="L105" s="6">
        <v>398.0</v>
      </c>
      <c r="M105" s="6">
        <v>499.99</v>
      </c>
      <c r="N105" s="1" t="s">
        <v>58</v>
      </c>
      <c r="O105" s="1" t="s">
        <v>54</v>
      </c>
      <c r="P105" s="1" t="s">
        <v>256</v>
      </c>
      <c r="Q105" s="1" t="s">
        <v>134</v>
      </c>
      <c r="R105" s="1" t="s">
        <v>373</v>
      </c>
      <c r="S105" s="1" t="s">
        <v>59</v>
      </c>
      <c r="T105" s="1" t="s">
        <v>34</v>
      </c>
      <c r="U105" s="1" t="s">
        <v>35</v>
      </c>
      <c r="V105" s="1" t="s">
        <v>42</v>
      </c>
      <c r="W105" s="1" t="s">
        <v>36</v>
      </c>
      <c r="X105" s="1" t="s">
        <v>37</v>
      </c>
      <c r="Y105" s="8" t="str">
        <f>IFERROR(VLOOKUP(A105,Sheet3!B:H,6,false),VLOOKUP(J105,Sheet2!A:C,2,false))</f>
        <v>https://assets.roomstogo.com/product/kingsdown-hawke-twin-mattress_50102284_image-item</v>
      </c>
      <c r="Z105" s="8" t="str">
        <f>IFERROR(VLOOKUP(A105,Sheet3!B:H,7,false),VLOOKUP(J105,Sheet2!A:C,3,false))</f>
        <v>https://assets.roomstogo.com/product/kingsdown-hawke-twin-mattress_50102284_alt-image-1</v>
      </c>
    </row>
    <row r="106">
      <c r="A106" s="4">
        <v>5.030229E7</v>
      </c>
      <c r="B106" s="9">
        <v>6.0</v>
      </c>
      <c r="C106" s="9">
        <v>4.67</v>
      </c>
      <c r="D106" s="2" t="s">
        <v>257</v>
      </c>
      <c r="E106" s="2" t="s">
        <v>44</v>
      </c>
      <c r="F106" s="2" t="s">
        <v>258</v>
      </c>
      <c r="G106" s="9">
        <v>9.0</v>
      </c>
      <c r="H106" s="9">
        <v>4.56</v>
      </c>
      <c r="I106" s="9">
        <v>3.0</v>
      </c>
      <c r="J106" s="1" t="s">
        <v>259</v>
      </c>
      <c r="K106" s="1" t="s">
        <v>383</v>
      </c>
      <c r="L106" s="6">
        <v>527.0</v>
      </c>
      <c r="M106" s="6">
        <v>599.99</v>
      </c>
      <c r="N106" s="1" t="s">
        <v>58</v>
      </c>
      <c r="O106" s="1" t="s">
        <v>54</v>
      </c>
      <c r="P106" s="1" t="s">
        <v>261</v>
      </c>
      <c r="Q106" s="1" t="s">
        <v>134</v>
      </c>
      <c r="R106" s="1" t="s">
        <v>373</v>
      </c>
      <c r="S106" s="1" t="s">
        <v>33</v>
      </c>
      <c r="T106" s="1" t="s">
        <v>42</v>
      </c>
      <c r="U106" s="1" t="s">
        <v>49</v>
      </c>
      <c r="V106" s="1" t="s">
        <v>34</v>
      </c>
      <c r="W106" s="1" t="s">
        <v>36</v>
      </c>
      <c r="X106" s="1" t="s">
        <v>51</v>
      </c>
      <c r="Y106" s="8" t="str">
        <f>IFERROR(VLOOKUP(A106,Sheet3!B:H,6,false),VLOOKUP(J106,Sheet2!A:C,2,false))</f>
        <v>https://assets.roomstogo.com/product/kingsdown-grenson-twin-mattress_50102296_image-item</v>
      </c>
      <c r="Z106" s="8" t="str">
        <f>IFERROR(VLOOKUP(A106,Sheet3!B:H,7,false),VLOOKUP(J106,Sheet2!A:C,3,false))</f>
        <v>https://assets.roomstogo.com/product/kingsdown-grenson-twin-mattress_50102296_alt-image-1</v>
      </c>
    </row>
    <row r="107">
      <c r="A107" s="4">
        <v>5.0307466E7</v>
      </c>
      <c r="B107" s="9">
        <v>3.0</v>
      </c>
      <c r="C107" s="9">
        <v>4.0</v>
      </c>
      <c r="D107" s="2" t="s">
        <v>60</v>
      </c>
      <c r="E107" s="2" t="s">
        <v>44</v>
      </c>
      <c r="F107" s="2" t="s">
        <v>61</v>
      </c>
      <c r="G107" s="9">
        <v>346.0</v>
      </c>
      <c r="H107" s="9">
        <v>4.43</v>
      </c>
      <c r="I107" s="9">
        <v>343.0</v>
      </c>
      <c r="J107" s="1" t="s">
        <v>62</v>
      </c>
      <c r="K107" s="1" t="s">
        <v>384</v>
      </c>
      <c r="L107" s="6">
        <v>2049.0</v>
      </c>
      <c r="M107" s="6">
        <v>2049.0</v>
      </c>
      <c r="N107" s="1" t="s">
        <v>64</v>
      </c>
      <c r="O107" s="7"/>
      <c r="P107" s="1" t="s">
        <v>65</v>
      </c>
      <c r="Q107" s="1" t="s">
        <v>31</v>
      </c>
      <c r="R107" s="1" t="s">
        <v>373</v>
      </c>
      <c r="S107" s="1" t="s">
        <v>33</v>
      </c>
      <c r="T107" s="1" t="s">
        <v>42</v>
      </c>
      <c r="U107" s="1" t="s">
        <v>35</v>
      </c>
      <c r="V107" s="1" t="s">
        <v>42</v>
      </c>
      <c r="W107" s="1" t="s">
        <v>42</v>
      </c>
      <c r="X107" s="1" t="s">
        <v>37</v>
      </c>
      <c r="Y107" s="8" t="str">
        <f>IFERROR(VLOOKUP(A107,Sheet3!B:H,6,false),VLOOKUP(J107,Sheet2!A:C,2,false))</f>
        <v>https://assets.roomstogo.com/product/tempur-pedic-adapt-20-medium-twin-xl-mattress_50007460_image-item</v>
      </c>
      <c r="Z107" s="8" t="str">
        <f>IFERROR(VLOOKUP(A107,Sheet3!B:H,7,false),VLOOKUP(J107,Sheet2!A:C,3,false))</f>
        <v>https://assets.roomstogo.com/product/tempur-pedic-adapt-20-medium-twin-xl-mattress_50007460_alt-image-1</v>
      </c>
    </row>
    <row r="108">
      <c r="A108" s="4">
        <v>5.0307478E7</v>
      </c>
      <c r="B108" s="5"/>
      <c r="C108" s="5"/>
      <c r="D108" s="5"/>
      <c r="E108" s="5"/>
      <c r="F108" s="5"/>
      <c r="G108" s="5"/>
      <c r="H108" s="5"/>
      <c r="I108" s="5"/>
      <c r="J108" s="1" t="s">
        <v>68</v>
      </c>
      <c r="K108" s="1" t="s">
        <v>385</v>
      </c>
      <c r="L108" s="6">
        <v>2349.0</v>
      </c>
      <c r="M108" s="6">
        <v>2349.0</v>
      </c>
      <c r="N108" s="1" t="s">
        <v>64</v>
      </c>
      <c r="O108" s="7"/>
      <c r="P108" s="1" t="s">
        <v>70</v>
      </c>
      <c r="Q108" s="1" t="s">
        <v>31</v>
      </c>
      <c r="R108" s="1" t="s">
        <v>373</v>
      </c>
      <c r="S108" s="1" t="s">
        <v>41</v>
      </c>
      <c r="T108" s="1" t="s">
        <v>42</v>
      </c>
      <c r="U108" s="1" t="s">
        <v>35</v>
      </c>
      <c r="V108" s="1" t="s">
        <v>42</v>
      </c>
      <c r="W108" s="1" t="s">
        <v>42</v>
      </c>
      <c r="X108" s="1" t="s">
        <v>37</v>
      </c>
      <c r="Y108" s="8" t="str">
        <f>IFERROR(VLOOKUP(A108,Sheet3!B:H,6,false),VLOOKUP(J108,Sheet2!A:C,2,false))</f>
        <v>https://assets.roomstogo.com/product/tempur-pedic-adapt-20-medium-hybrid-twin-xl-mattress_50007472_image-item</v>
      </c>
      <c r="Z108" s="8" t="str">
        <f>IFERROR(VLOOKUP(A108,Sheet3!B:H,7,false),VLOOKUP(J108,Sheet2!A:C,3,false))</f>
        <v>https://assets.roomstogo.com/product/tempur-pedic-adapt-20-medium-hybrid-twin-xl-mattress_50007472_alt-image-1</v>
      </c>
    </row>
    <row r="109">
      <c r="A109" s="4">
        <v>5.030748E7</v>
      </c>
      <c r="B109" s="5"/>
      <c r="C109" s="5"/>
      <c r="D109" s="5"/>
      <c r="E109" s="5"/>
      <c r="F109" s="5"/>
      <c r="G109" s="5"/>
      <c r="H109" s="5"/>
      <c r="I109" s="5"/>
      <c r="J109" s="1" t="s">
        <v>73</v>
      </c>
      <c r="K109" s="1" t="s">
        <v>386</v>
      </c>
      <c r="L109" s="6">
        <v>3249.0</v>
      </c>
      <c r="M109" s="6">
        <v>3249.0</v>
      </c>
      <c r="N109" s="1" t="s">
        <v>64</v>
      </c>
      <c r="O109" s="7"/>
      <c r="P109" s="1" t="s">
        <v>75</v>
      </c>
      <c r="Q109" s="1" t="s">
        <v>31</v>
      </c>
      <c r="R109" s="1" t="s">
        <v>373</v>
      </c>
      <c r="S109" s="1" t="s">
        <v>33</v>
      </c>
      <c r="T109" s="1" t="s">
        <v>42</v>
      </c>
      <c r="U109" s="1" t="s">
        <v>76</v>
      </c>
      <c r="V109" s="1" t="s">
        <v>50</v>
      </c>
      <c r="W109" s="1" t="s">
        <v>42</v>
      </c>
      <c r="X109" s="1" t="s">
        <v>77</v>
      </c>
      <c r="Y109" s="8" t="str">
        <f>IFERROR(VLOOKUP(A109,Sheet3!B:H,6,false),VLOOKUP(J109,Sheet2!A:C,2,false))</f>
        <v>https://assets.roomstogo.com/product/tempur-pedic-proadapt-20-firm-twin-xl-mattress_50007484_image-item</v>
      </c>
      <c r="Z109" s="8" t="str">
        <f>IFERROR(VLOOKUP(A109,Sheet3!B:H,7,false),VLOOKUP(J109,Sheet2!A:C,3,false))</f>
        <v>https://assets.roomstogo.com/product/tempur-pedic-proadapt-20-firm-twin-xl-mattress_50007484_alt-image-1</v>
      </c>
    </row>
    <row r="110">
      <c r="A110" s="4">
        <v>5.0307529E7</v>
      </c>
      <c r="B110" s="5"/>
      <c r="C110" s="5"/>
      <c r="D110" s="5"/>
      <c r="E110" s="5"/>
      <c r="F110" s="5"/>
      <c r="G110" s="5"/>
      <c r="H110" s="5"/>
      <c r="I110" s="5"/>
      <c r="J110" s="1" t="s">
        <v>85</v>
      </c>
      <c r="K110" s="1" t="s">
        <v>387</v>
      </c>
      <c r="L110" s="6">
        <v>3249.0</v>
      </c>
      <c r="M110" s="6">
        <v>3249.0</v>
      </c>
      <c r="N110" s="1" t="s">
        <v>64</v>
      </c>
      <c r="O110" s="7"/>
      <c r="P110" s="1" t="s">
        <v>75</v>
      </c>
      <c r="Q110" s="1" t="s">
        <v>31</v>
      </c>
      <c r="R110" s="1" t="s">
        <v>373</v>
      </c>
      <c r="S110" s="1" t="s">
        <v>33</v>
      </c>
      <c r="T110" s="1" t="s">
        <v>42</v>
      </c>
      <c r="U110" s="1" t="s">
        <v>35</v>
      </c>
      <c r="V110" s="1" t="s">
        <v>50</v>
      </c>
      <c r="W110" s="1" t="s">
        <v>42</v>
      </c>
      <c r="X110" s="1" t="s">
        <v>37</v>
      </c>
      <c r="Y110" s="8" t="str">
        <f>IFERROR(VLOOKUP(A110,Sheet3!B:H,6,false),VLOOKUP(J110,Sheet2!A:C,2,false))</f>
        <v>https://assets.roomstogo.com/product/tempur-pedic-proadapt-20-medium-twin-xl-mattress_50007523_image-item</v>
      </c>
      <c r="Z110" s="8" t="str">
        <f>IFERROR(VLOOKUP(A110,Sheet3!B:H,7,false),VLOOKUP(J110,Sheet2!A:C,3,false))</f>
        <v>https://assets.roomstogo.com/product/tempur-pedic-proadapt-20-medium-twin-xl-mattress_50007523_alt-image-1</v>
      </c>
    </row>
    <row r="111">
      <c r="A111" s="4">
        <v>5.0307531E7</v>
      </c>
      <c r="B111" s="5"/>
      <c r="C111" s="5"/>
      <c r="D111" s="5"/>
      <c r="E111" s="5"/>
      <c r="F111" s="5"/>
      <c r="G111" s="5"/>
      <c r="H111" s="5"/>
      <c r="I111" s="5"/>
      <c r="J111" s="1" t="s">
        <v>89</v>
      </c>
      <c r="K111" s="1" t="s">
        <v>388</v>
      </c>
      <c r="L111" s="6">
        <v>3249.0</v>
      </c>
      <c r="M111" s="6">
        <v>3249.0</v>
      </c>
      <c r="N111" s="1" t="s">
        <v>64</v>
      </c>
      <c r="O111" s="7"/>
      <c r="P111" s="1" t="s">
        <v>91</v>
      </c>
      <c r="Q111" s="1" t="s">
        <v>31</v>
      </c>
      <c r="R111" s="1" t="s">
        <v>373</v>
      </c>
      <c r="S111" s="1" t="s">
        <v>33</v>
      </c>
      <c r="T111" s="1" t="s">
        <v>50</v>
      </c>
      <c r="U111" s="1" t="s">
        <v>49</v>
      </c>
      <c r="V111" s="1" t="s">
        <v>50</v>
      </c>
      <c r="W111" s="1" t="s">
        <v>42</v>
      </c>
      <c r="X111" s="1" t="s">
        <v>51</v>
      </c>
      <c r="Y111" s="8" t="str">
        <f>IFERROR(VLOOKUP(A111,Sheet3!B:H,6,false),VLOOKUP(J111,Sheet2!A:C,2,false))</f>
        <v>https://assets.roomstogo.com/product/tempur-pedic-proadapt-20-soft-twin-xl-mattress_50007535_image-item</v>
      </c>
      <c r="Z111" s="8" t="str">
        <f>IFERROR(VLOOKUP(A111,Sheet3!B:H,7,false),VLOOKUP(J111,Sheet2!A:C,3,false))</f>
        <v>https://assets.roomstogo.com/product/tempur-pedic-proadapt-20-soft-twin-xl-mattress_50007535_alt-image-1</v>
      </c>
    </row>
    <row r="112">
      <c r="A112" s="4">
        <v>5.0307555E7</v>
      </c>
      <c r="B112" s="9">
        <v>1.0</v>
      </c>
      <c r="C112" s="9">
        <v>5.0</v>
      </c>
      <c r="D112" s="2" t="s">
        <v>92</v>
      </c>
      <c r="E112" s="2" t="s">
        <v>44</v>
      </c>
      <c r="F112" s="2" t="s">
        <v>93</v>
      </c>
      <c r="G112" s="9">
        <v>975.0</v>
      </c>
      <c r="H112" s="9">
        <v>4.38</v>
      </c>
      <c r="I112" s="9">
        <v>974.0</v>
      </c>
      <c r="J112" s="1" t="s">
        <v>94</v>
      </c>
      <c r="K112" s="1" t="s">
        <v>389</v>
      </c>
      <c r="L112" s="6">
        <v>3249.0</v>
      </c>
      <c r="M112" s="6">
        <v>3249.0</v>
      </c>
      <c r="N112" s="1" t="s">
        <v>64</v>
      </c>
      <c r="O112" s="7"/>
      <c r="P112" s="1" t="s">
        <v>390</v>
      </c>
      <c r="Q112" s="1" t="s">
        <v>31</v>
      </c>
      <c r="R112" s="1" t="s">
        <v>373</v>
      </c>
      <c r="S112" s="1" t="s">
        <v>41</v>
      </c>
      <c r="T112" s="1" t="s">
        <v>42</v>
      </c>
      <c r="U112" s="1" t="s">
        <v>35</v>
      </c>
      <c r="V112" s="1" t="s">
        <v>50</v>
      </c>
      <c r="W112" s="1" t="s">
        <v>42</v>
      </c>
      <c r="X112" s="1" t="s">
        <v>37</v>
      </c>
      <c r="Y112" s="8" t="str">
        <f>IFERROR(VLOOKUP(A112,Sheet3!B:H,6,false),VLOOKUP(J112,Sheet2!A:C,2,false))</f>
        <v>https://assets.roomstogo.com/product/tempur-pedic-proadapt-20-medium-hybrid-twin-xl-mattress_50007559_image-item</v>
      </c>
      <c r="Z112" s="8" t="str">
        <f>IFERROR(VLOOKUP(A112,Sheet3!B:H,7,false),VLOOKUP(J112,Sheet2!A:C,3,false))</f>
        <v>https://assets.roomstogo.com/product/tempur-pedic-proadapt-20-medium-hybrid-twin-xl-mattress_50007559_alt-image-1</v>
      </c>
    </row>
    <row r="113">
      <c r="A113" s="4">
        <v>5.0309876E7</v>
      </c>
      <c r="B113" s="9">
        <v>3.0</v>
      </c>
      <c r="C113" s="9">
        <v>3.67</v>
      </c>
      <c r="D113" s="2" t="s">
        <v>391</v>
      </c>
      <c r="E113" s="2" t="s">
        <v>44</v>
      </c>
      <c r="F113" s="2" t="s">
        <v>392</v>
      </c>
      <c r="G113" s="9">
        <v>10.0</v>
      </c>
      <c r="H113" s="9">
        <v>4.0</v>
      </c>
      <c r="I113" s="9">
        <v>7.0</v>
      </c>
      <c r="J113" s="1" t="s">
        <v>112</v>
      </c>
      <c r="K113" s="1" t="s">
        <v>393</v>
      </c>
      <c r="L113" s="6">
        <v>897.0</v>
      </c>
      <c r="M113" s="6">
        <v>1099.0</v>
      </c>
      <c r="N113" s="1" t="s">
        <v>114</v>
      </c>
      <c r="O113" s="1" t="s">
        <v>54</v>
      </c>
      <c r="P113" s="7"/>
      <c r="Q113" s="1" t="s">
        <v>31</v>
      </c>
      <c r="R113" s="1" t="s">
        <v>373</v>
      </c>
      <c r="S113" s="1" t="s">
        <v>41</v>
      </c>
      <c r="T113" s="1" t="s">
        <v>34</v>
      </c>
      <c r="U113" s="1" t="s">
        <v>35</v>
      </c>
      <c r="V113" s="1" t="s">
        <v>34</v>
      </c>
      <c r="W113" s="1" t="s">
        <v>34</v>
      </c>
      <c r="X113" s="1" t="s">
        <v>37</v>
      </c>
      <c r="Y113" s="8" t="str">
        <f>IFERROR(VLOOKUP(A113,Sheet3!B:H,6,false),VLOOKUP(J113,Sheet2!A:C,2,false))</f>
        <v>https://assets.roomstogo.com/product/tuft-needle-stitch-tn31-twin-xl-mattress_50009870_image-item</v>
      </c>
      <c r="Z113" s="8" t="str">
        <f>IFERROR(VLOOKUP(A113,Sheet3!B:H,7,false),VLOOKUP(J113,Sheet2!A:C,3,false))</f>
        <v>https://assets.roomstogo.com/product/tuft-needle-stitch-tn31-twin-xl-mattress_50009870_alt-image-1</v>
      </c>
    </row>
    <row r="114">
      <c r="A114" s="4">
        <v>5.0309888E7</v>
      </c>
      <c r="B114" s="9">
        <v>1.0</v>
      </c>
      <c r="C114" s="9">
        <v>5.0</v>
      </c>
      <c r="D114" s="2" t="s">
        <v>394</v>
      </c>
      <c r="E114" s="2" t="s">
        <v>44</v>
      </c>
      <c r="F114" s="2" t="s">
        <v>395</v>
      </c>
      <c r="G114" s="9">
        <v>11.0</v>
      </c>
      <c r="H114" s="9">
        <v>3.91</v>
      </c>
      <c r="I114" s="9">
        <v>10.0</v>
      </c>
      <c r="J114" s="1" t="s">
        <v>115</v>
      </c>
      <c r="K114" s="1" t="s">
        <v>396</v>
      </c>
      <c r="L114" s="6">
        <v>995.0</v>
      </c>
      <c r="M114" s="6">
        <v>1599.0</v>
      </c>
      <c r="N114" s="1" t="s">
        <v>114</v>
      </c>
      <c r="O114" s="1" t="s">
        <v>54</v>
      </c>
      <c r="P114" s="7"/>
      <c r="Q114" s="1" t="s">
        <v>31</v>
      </c>
      <c r="R114" s="1" t="s">
        <v>373</v>
      </c>
      <c r="S114" s="1" t="s">
        <v>41</v>
      </c>
      <c r="T114" s="1" t="s">
        <v>42</v>
      </c>
      <c r="U114" s="1" t="s">
        <v>76</v>
      </c>
      <c r="V114" s="1" t="s">
        <v>42</v>
      </c>
      <c r="W114" s="1" t="s">
        <v>42</v>
      </c>
      <c r="X114" s="1" t="s">
        <v>77</v>
      </c>
      <c r="Y114" s="8" t="str">
        <f>IFERROR(VLOOKUP(A114,Sheet3!B:H,6,false),VLOOKUP(J114,Sheet2!A:C,2,false))</f>
        <v>https://assets.roomstogo.com/product/tuft-needle-stitch-tn51-twin-xl-mattress_50009882_image-item</v>
      </c>
      <c r="Z114" s="8" t="str">
        <f>IFERROR(VLOOKUP(A114,Sheet3!B:H,7,false),VLOOKUP(J114,Sheet2!A:C,3,false))</f>
        <v>https://assets.roomstogo.com/product/tuft-needle-stitch-tn51-twin-xl-mattress_50009882_alt-image-1</v>
      </c>
    </row>
    <row r="115">
      <c r="A115" s="4">
        <v>5.0309903E7</v>
      </c>
      <c r="B115" s="5"/>
      <c r="C115" s="5"/>
      <c r="D115" s="5"/>
      <c r="E115" s="5"/>
      <c r="F115" s="5"/>
      <c r="G115" s="5"/>
      <c r="H115" s="5"/>
      <c r="I115" s="5"/>
      <c r="J115" s="1" t="s">
        <v>117</v>
      </c>
      <c r="K115" s="1" t="s">
        <v>397</v>
      </c>
      <c r="L115" s="6">
        <v>1797.0</v>
      </c>
      <c r="M115" s="6">
        <v>2299.0</v>
      </c>
      <c r="N115" s="1" t="s">
        <v>114</v>
      </c>
      <c r="O115" s="1" t="s">
        <v>54</v>
      </c>
      <c r="P115" s="7"/>
      <c r="Q115" s="1" t="s">
        <v>31</v>
      </c>
      <c r="R115" s="1" t="s">
        <v>373</v>
      </c>
      <c r="S115" s="1" t="s">
        <v>41</v>
      </c>
      <c r="T115" s="1" t="s">
        <v>50</v>
      </c>
      <c r="U115" s="1" t="s">
        <v>49</v>
      </c>
      <c r="V115" s="1" t="s">
        <v>42</v>
      </c>
      <c r="W115" s="1" t="s">
        <v>42</v>
      </c>
      <c r="X115" s="1" t="s">
        <v>51</v>
      </c>
      <c r="Y115" s="8" t="str">
        <f>IFERROR(VLOOKUP(A115,Sheet3!B:H,6,false),VLOOKUP(J115,Sheet2!A:C,2,false))</f>
        <v>https://assets.roomstogo.com/product/tuft-needle-stitch-tn91-twin-xl-mattress_50009907_image-item</v>
      </c>
      <c r="Z115" s="8" t="str">
        <f>IFERROR(VLOOKUP(A115,Sheet3!B:H,7,false),VLOOKUP(J115,Sheet2!A:C,3,false))</f>
        <v>https://assets.roomstogo.com/product/tuft-needle-stitch-tn91-twin-xl-mattress_50009907_alt-image-1</v>
      </c>
    </row>
    <row r="116">
      <c r="A116" s="4">
        <v>5.0309927E7</v>
      </c>
      <c r="B116" s="9">
        <v>3.0</v>
      </c>
      <c r="C116" s="9">
        <v>3.33</v>
      </c>
      <c r="D116" s="2" t="s">
        <v>398</v>
      </c>
      <c r="E116" s="2" t="s">
        <v>44</v>
      </c>
      <c r="F116" s="2" t="s">
        <v>399</v>
      </c>
      <c r="G116" s="9">
        <v>3.0</v>
      </c>
      <c r="H116" s="9">
        <v>3.33</v>
      </c>
      <c r="I116" s="9">
        <v>0.0</v>
      </c>
      <c r="J116" s="1" t="s">
        <v>271</v>
      </c>
      <c r="K116" s="1" t="s">
        <v>400</v>
      </c>
      <c r="L116" s="6">
        <v>577.0</v>
      </c>
      <c r="M116" s="6">
        <v>599.0</v>
      </c>
      <c r="N116" s="1" t="s">
        <v>114</v>
      </c>
      <c r="O116" s="1" t="s">
        <v>54</v>
      </c>
      <c r="P116" s="1" t="s">
        <v>273</v>
      </c>
      <c r="Q116" s="1" t="s">
        <v>134</v>
      </c>
      <c r="R116" s="1" t="s">
        <v>373</v>
      </c>
      <c r="S116" s="1" t="s">
        <v>33</v>
      </c>
      <c r="T116" s="1" t="s">
        <v>36</v>
      </c>
      <c r="U116" s="1" t="s">
        <v>35</v>
      </c>
      <c r="V116" s="1" t="s">
        <v>36</v>
      </c>
      <c r="W116" s="1" t="s">
        <v>36</v>
      </c>
      <c r="X116" s="1" t="s">
        <v>37</v>
      </c>
      <c r="Y116" s="8" t="str">
        <f>IFERROR(VLOOKUP(A116,Sheet3!B:H,6,false),VLOOKUP(J116,Sheet2!A:C,2,false))</f>
        <v>https://assets.roomstogo.com/product/tuft-needle-kids-glee-twin-mattress_50109923_image-item</v>
      </c>
      <c r="Z116" s="8" t="str">
        <f>IFERROR(VLOOKUP(A116,Sheet3!B:H,7,false),VLOOKUP(J116,Sheet2!A:C,3,false))</f>
        <v>https://assets.roomstogo.com/product/tuft-needle-kids-glee-twin-mattress_50109923_alt-image-1</v>
      </c>
    </row>
    <row r="117">
      <c r="A117" s="4">
        <v>5.0309939E7</v>
      </c>
      <c r="B117" s="9">
        <v>3.0</v>
      </c>
      <c r="C117" s="9">
        <v>4.67</v>
      </c>
      <c r="D117" s="2" t="s">
        <v>274</v>
      </c>
      <c r="E117" s="2" t="s">
        <v>44</v>
      </c>
      <c r="F117" s="2" t="s">
        <v>275</v>
      </c>
      <c r="G117" s="9">
        <v>9.0</v>
      </c>
      <c r="H117" s="9">
        <v>4.89</v>
      </c>
      <c r="I117" s="9">
        <v>6.0</v>
      </c>
      <c r="J117" s="1" t="s">
        <v>119</v>
      </c>
      <c r="K117" s="1" t="s">
        <v>401</v>
      </c>
      <c r="L117" s="6">
        <v>677.0</v>
      </c>
      <c r="M117" s="6">
        <v>799.0</v>
      </c>
      <c r="N117" s="1" t="s">
        <v>114</v>
      </c>
      <c r="O117" s="1" t="s">
        <v>54</v>
      </c>
      <c r="P117" s="1" t="s">
        <v>121</v>
      </c>
      <c r="Q117" s="1" t="s">
        <v>31</v>
      </c>
      <c r="R117" s="1" t="s">
        <v>373</v>
      </c>
      <c r="S117" s="1" t="s">
        <v>33</v>
      </c>
      <c r="T117" s="1" t="s">
        <v>36</v>
      </c>
      <c r="U117" s="1" t="s">
        <v>76</v>
      </c>
      <c r="V117" s="1" t="s">
        <v>36</v>
      </c>
      <c r="W117" s="1" t="s">
        <v>36</v>
      </c>
      <c r="X117" s="1" t="s">
        <v>77</v>
      </c>
      <c r="Y117" s="8" t="str">
        <f>IFERROR(VLOOKUP(A117,Sheet3!B:H,6,false),VLOOKUP(J117,Sheet2!A:C,2,false))</f>
        <v>https://assets.roomstogo.com/product/tuft-needle-tn1-twin-xl-mattress_50009933_image-item</v>
      </c>
      <c r="Z117" s="8" t="str">
        <f>IFERROR(VLOOKUP(A117,Sheet3!B:H,7,false),VLOOKUP(J117,Sheet2!A:C,3,false))</f>
        <v>https://assets.roomstogo.com/product/tuft-needle-tn1-twin-xl-mattress_50009933_alt-image-1</v>
      </c>
    </row>
    <row r="118">
      <c r="A118" s="4">
        <v>5.0310576E7</v>
      </c>
      <c r="B118" s="5"/>
      <c r="C118" s="5"/>
      <c r="D118" s="5"/>
      <c r="E118" s="5"/>
      <c r="F118" s="5"/>
      <c r="G118" s="5"/>
      <c r="H118" s="5"/>
      <c r="I118" s="5"/>
      <c r="J118" s="1" t="s">
        <v>122</v>
      </c>
      <c r="K118" s="1" t="s">
        <v>402</v>
      </c>
      <c r="L118" s="6">
        <v>477.0</v>
      </c>
      <c r="M118" s="6">
        <v>979.0</v>
      </c>
      <c r="N118" s="1" t="s">
        <v>124</v>
      </c>
      <c r="O118" s="7"/>
      <c r="P118" s="7"/>
      <c r="Q118" s="1" t="s">
        <v>31</v>
      </c>
      <c r="R118" s="1" t="s">
        <v>373</v>
      </c>
      <c r="S118" s="1" t="s">
        <v>33</v>
      </c>
      <c r="T118" s="1" t="s">
        <v>34</v>
      </c>
      <c r="U118" s="1" t="s">
        <v>35</v>
      </c>
      <c r="V118" s="1" t="s">
        <v>34</v>
      </c>
      <c r="W118" s="1" t="s">
        <v>34</v>
      </c>
      <c r="X118" s="1" t="s">
        <v>37</v>
      </c>
      <c r="Y118" s="8" t="str">
        <f>IFERROR(VLOOKUP(A118,Sheet3!B:H,6,false),VLOOKUP(J118,Sheet2!A:C,2,false))</f>
        <v>https://assets.roomstogo.com/product/molecule-core-twin-xl-mattress_50010570_image-item</v>
      </c>
      <c r="Z118" s="8" t="str">
        <f>IFERROR(VLOOKUP(A118,Sheet3!B:H,7,false),VLOOKUP(J118,Sheet2!A:C,3,false))</f>
        <v>https://assets.roomstogo.com/product/molecule-core-twin-xl-mattress_50010570_alt-image-1</v>
      </c>
    </row>
    <row r="119">
      <c r="A119" s="4">
        <v>5.0310677E7</v>
      </c>
      <c r="B119" s="9">
        <v>23.0</v>
      </c>
      <c r="C119" s="9">
        <v>4.3</v>
      </c>
      <c r="D119" s="2" t="s">
        <v>125</v>
      </c>
      <c r="E119" s="2" t="s">
        <v>44</v>
      </c>
      <c r="F119" s="2" t="s">
        <v>126</v>
      </c>
      <c r="G119" s="9">
        <v>192.0</v>
      </c>
      <c r="H119" s="9">
        <v>4.4</v>
      </c>
      <c r="I119" s="9">
        <v>169.0</v>
      </c>
      <c r="J119" s="1" t="s">
        <v>127</v>
      </c>
      <c r="K119" s="1" t="s">
        <v>403</v>
      </c>
      <c r="L119" s="6">
        <v>695.0</v>
      </c>
      <c r="M119" s="6">
        <v>899.99</v>
      </c>
      <c r="N119" s="1" t="s">
        <v>129</v>
      </c>
      <c r="O119" s="1" t="s">
        <v>54</v>
      </c>
      <c r="P119" s="1" t="s">
        <v>130</v>
      </c>
      <c r="Q119" s="1" t="s">
        <v>31</v>
      </c>
      <c r="R119" s="1" t="s">
        <v>373</v>
      </c>
      <c r="S119" s="1" t="s">
        <v>41</v>
      </c>
      <c r="T119" s="1" t="s">
        <v>34</v>
      </c>
      <c r="U119" s="1" t="s">
        <v>35</v>
      </c>
      <c r="V119" s="1" t="s">
        <v>34</v>
      </c>
      <c r="W119" s="1" t="s">
        <v>34</v>
      </c>
      <c r="X119" s="1" t="s">
        <v>37</v>
      </c>
      <c r="Y119" s="8" t="str">
        <f>IFERROR(VLOOKUP(A119,Sheet3!B:H,6,false),VLOOKUP(J119,Sheet2!A:C,2,false))</f>
        <v>https://assets.roomstogo.com/product/beautyrest-select-broad-peak-medium-hybrid-twin-xl-mattress_50010671_image-item</v>
      </c>
      <c r="Z119" s="8" t="str">
        <f>IFERROR(VLOOKUP(A119,Sheet3!B:H,7,false),VLOOKUP(J119,Sheet2!A:C,3,false))</f>
        <v>https://assets.roomstogo.com/product/beautyrest-select-broad-peak-medium-hybrid-twin-xl-mattress_50010671_alt-image-1</v>
      </c>
    </row>
    <row r="120">
      <c r="A120" s="4">
        <v>5.0310932E7</v>
      </c>
      <c r="B120" s="9">
        <v>1.0</v>
      </c>
      <c r="C120" s="9">
        <v>2.0</v>
      </c>
      <c r="D120" s="2" t="s">
        <v>281</v>
      </c>
      <c r="E120" s="2" t="s">
        <v>44</v>
      </c>
      <c r="F120" s="2" t="s">
        <v>282</v>
      </c>
      <c r="G120" s="9">
        <v>8.0</v>
      </c>
      <c r="H120" s="9">
        <v>3.75</v>
      </c>
      <c r="I120" s="9">
        <v>7.0</v>
      </c>
      <c r="J120" s="1" t="s">
        <v>283</v>
      </c>
      <c r="K120" s="1" t="s">
        <v>404</v>
      </c>
      <c r="L120" s="6">
        <v>277.0</v>
      </c>
      <c r="M120" s="6">
        <v>299.0</v>
      </c>
      <c r="N120" s="1" t="s">
        <v>285</v>
      </c>
      <c r="O120" s="1" t="s">
        <v>54</v>
      </c>
      <c r="P120" s="1" t="s">
        <v>286</v>
      </c>
      <c r="Q120" s="1" t="s">
        <v>134</v>
      </c>
      <c r="R120" s="1" t="s">
        <v>373</v>
      </c>
      <c r="S120" s="1" t="s">
        <v>33</v>
      </c>
      <c r="T120" s="1" t="s">
        <v>251</v>
      </c>
      <c r="U120" s="1" t="s">
        <v>76</v>
      </c>
      <c r="V120" s="1" t="s">
        <v>36</v>
      </c>
      <c r="W120" s="1" t="s">
        <v>36</v>
      </c>
      <c r="X120" s="1" t="s">
        <v>77</v>
      </c>
      <c r="Y120" s="8" t="str">
        <f>IFERROR(VLOOKUP(A120,Sheet3!B:H,6,false),VLOOKUP(J120,Sheet2!A:C,2,false))</f>
        <v>https://assets.roomstogo.com/product/simmons-kids-delight-twin-mattress_50110938_image-item</v>
      </c>
      <c r="Z120" s="8" t="str">
        <f>IFERROR(VLOOKUP(A120,Sheet3!B:H,7,false),VLOOKUP(J120,Sheet2!A:C,3,false))</f>
        <v>https://assets.roomstogo.com/product/simmons-kids-delight-twin-mattress_50110938_alt-image-1</v>
      </c>
    </row>
    <row r="121">
      <c r="A121" s="4">
        <v>5.0310944E7</v>
      </c>
      <c r="B121" s="9">
        <v>2.0</v>
      </c>
      <c r="C121" s="9">
        <v>4.0</v>
      </c>
      <c r="D121" s="2" t="s">
        <v>287</v>
      </c>
      <c r="E121" s="2" t="s">
        <v>44</v>
      </c>
      <c r="F121" s="2" t="s">
        <v>288</v>
      </c>
      <c r="G121" s="9">
        <v>3.0</v>
      </c>
      <c r="H121" s="9">
        <v>4.33</v>
      </c>
      <c r="I121" s="9">
        <v>1.0</v>
      </c>
      <c r="J121" s="1" t="s">
        <v>289</v>
      </c>
      <c r="K121" s="1" t="s">
        <v>405</v>
      </c>
      <c r="L121" s="6">
        <v>377.0</v>
      </c>
      <c r="M121" s="6">
        <v>399.0</v>
      </c>
      <c r="N121" s="1" t="s">
        <v>285</v>
      </c>
      <c r="O121" s="1" t="s">
        <v>54</v>
      </c>
      <c r="P121" s="1" t="s">
        <v>291</v>
      </c>
      <c r="Q121" s="1" t="s">
        <v>134</v>
      </c>
      <c r="R121" s="1" t="s">
        <v>373</v>
      </c>
      <c r="S121" s="1" t="s">
        <v>33</v>
      </c>
      <c r="T121" s="1" t="s">
        <v>34</v>
      </c>
      <c r="U121" s="1" t="s">
        <v>35</v>
      </c>
      <c r="V121" s="1" t="s">
        <v>36</v>
      </c>
      <c r="W121" s="1" t="s">
        <v>36</v>
      </c>
      <c r="X121" s="1" t="s">
        <v>37</v>
      </c>
      <c r="Y121" s="8" t="str">
        <f>IFERROR(VLOOKUP(A121,Sheet3!B:H,6,false),VLOOKUP(J121,Sheet2!A:C,2,false))</f>
        <v>https://assets.roomstogo.com/product/simmons-kids-glad-twin-mattress_50110940_image-item</v>
      </c>
      <c r="Z121" s="8" t="str">
        <f>IFERROR(VLOOKUP(A121,Sheet3!B:H,7,false),VLOOKUP(J121,Sheet2!A:C,3,false))</f>
        <v>https://assets.roomstogo.com/product/simmons-kids-glad-twin-mattress_50110940_alt-image-1</v>
      </c>
    </row>
    <row r="122">
      <c r="A122" s="4">
        <v>5.0310956E7</v>
      </c>
      <c r="B122" s="9">
        <v>6.0</v>
      </c>
      <c r="C122" s="9">
        <v>4.5</v>
      </c>
      <c r="D122" s="2" t="s">
        <v>292</v>
      </c>
      <c r="E122" s="2" t="s">
        <v>44</v>
      </c>
      <c r="F122" s="2" t="s">
        <v>293</v>
      </c>
      <c r="G122" s="9">
        <v>9.0</v>
      </c>
      <c r="H122" s="9">
        <v>4.22</v>
      </c>
      <c r="I122" s="9">
        <v>3.0</v>
      </c>
      <c r="J122" s="1" t="s">
        <v>294</v>
      </c>
      <c r="K122" s="1" t="s">
        <v>406</v>
      </c>
      <c r="L122" s="6">
        <v>427.0</v>
      </c>
      <c r="M122" s="6">
        <v>449.0</v>
      </c>
      <c r="N122" s="1" t="s">
        <v>285</v>
      </c>
      <c r="O122" s="1" t="s">
        <v>54</v>
      </c>
      <c r="P122" s="1" t="s">
        <v>296</v>
      </c>
      <c r="Q122" s="1" t="s">
        <v>134</v>
      </c>
      <c r="R122" s="1" t="s">
        <v>373</v>
      </c>
      <c r="S122" s="1" t="s">
        <v>59</v>
      </c>
      <c r="T122" s="1" t="s">
        <v>34</v>
      </c>
      <c r="U122" s="1" t="s">
        <v>76</v>
      </c>
      <c r="V122" s="1" t="s">
        <v>36</v>
      </c>
      <c r="W122" s="1" t="s">
        <v>34</v>
      </c>
      <c r="X122" s="1" t="s">
        <v>77</v>
      </c>
      <c r="Y122" s="8" t="str">
        <f>IFERROR(VLOOKUP(A122,Sheet3!B:H,6,false),VLOOKUP(J122,Sheet2!A:C,2,false))</f>
        <v>https://assets.roomstogo.com/product/simmons-kids-happy-twin-mattress_50110952_image-item</v>
      </c>
      <c r="Z122" s="8" t="str">
        <f>IFERROR(VLOOKUP(A122,Sheet3!B:H,7,false),VLOOKUP(J122,Sheet2!A:C,3,false))</f>
        <v>https://assets.roomstogo.com/product/simmons-kids-happy-twin-mattress_50110952_alt-image-1</v>
      </c>
    </row>
    <row r="123">
      <c r="A123" s="4">
        <v>5.0311059E7</v>
      </c>
      <c r="B123" s="9">
        <v>3.0</v>
      </c>
      <c r="C123" s="9">
        <v>4.67</v>
      </c>
      <c r="D123" s="2" t="s">
        <v>407</v>
      </c>
      <c r="E123" s="2" t="s">
        <v>44</v>
      </c>
      <c r="F123" s="2" t="s">
        <v>408</v>
      </c>
      <c r="G123" s="9">
        <v>3.0</v>
      </c>
      <c r="H123" s="9">
        <v>4.67</v>
      </c>
      <c r="I123" s="9">
        <v>0.0</v>
      </c>
      <c r="J123" s="1" t="s">
        <v>131</v>
      </c>
      <c r="K123" s="1" t="s">
        <v>409</v>
      </c>
      <c r="L123" s="6">
        <v>495.0</v>
      </c>
      <c r="M123" s="6">
        <v>599.99</v>
      </c>
      <c r="N123" s="1" t="s">
        <v>133</v>
      </c>
      <c r="O123" s="1" t="s">
        <v>54</v>
      </c>
      <c r="P123" s="1" t="s">
        <v>298</v>
      </c>
      <c r="Q123" s="1" t="s">
        <v>134</v>
      </c>
      <c r="R123" s="1" t="s">
        <v>373</v>
      </c>
      <c r="S123" s="1" t="s">
        <v>59</v>
      </c>
      <c r="T123" s="1" t="s">
        <v>36</v>
      </c>
      <c r="U123" s="1" t="s">
        <v>49</v>
      </c>
      <c r="V123" s="1" t="s">
        <v>42</v>
      </c>
      <c r="W123" s="1" t="s">
        <v>36</v>
      </c>
      <c r="X123" s="1" t="s">
        <v>51</v>
      </c>
      <c r="Y123" s="8" t="str">
        <f>IFERROR(VLOOKUP(A123,Sheet3!B:H,6,false),VLOOKUP(J123,Sheet2!A:C,2,false))</f>
        <v>https://assets.roomstogo.com/product/tommy-bahama-bay-dreamer-twin-mattress_50111055_image-item</v>
      </c>
      <c r="Z123" s="8" t="str">
        <f>IFERROR(VLOOKUP(A123,Sheet3!B:H,7,false),VLOOKUP(J123,Sheet2!A:C,3,false))</f>
        <v>https://assets.roomstogo.com/product/tommy-bahama-bay-dreamer-twin-mattress_50111055_alt-image-1</v>
      </c>
    </row>
    <row r="124">
      <c r="A124" s="4">
        <v>5.0311061E7</v>
      </c>
      <c r="B124" s="9">
        <v>5.0</v>
      </c>
      <c r="C124" s="9">
        <v>4.8</v>
      </c>
      <c r="D124" s="2" t="s">
        <v>299</v>
      </c>
      <c r="E124" s="2" t="s">
        <v>44</v>
      </c>
      <c r="F124" s="2" t="s">
        <v>300</v>
      </c>
      <c r="G124" s="9">
        <v>8.0</v>
      </c>
      <c r="H124" s="9">
        <v>4.75</v>
      </c>
      <c r="I124" s="9">
        <v>3.0</v>
      </c>
      <c r="J124" s="1" t="s">
        <v>135</v>
      </c>
      <c r="K124" s="1" t="s">
        <v>410</v>
      </c>
      <c r="L124" s="6">
        <v>545.0</v>
      </c>
      <c r="M124" s="6">
        <v>649.99</v>
      </c>
      <c r="N124" s="1" t="s">
        <v>133</v>
      </c>
      <c r="O124" s="1" t="s">
        <v>54</v>
      </c>
      <c r="P124" s="1" t="s">
        <v>302</v>
      </c>
      <c r="Q124" s="1" t="s">
        <v>134</v>
      </c>
      <c r="R124" s="1" t="s">
        <v>373</v>
      </c>
      <c r="S124" s="1" t="s">
        <v>41</v>
      </c>
      <c r="T124" s="1" t="s">
        <v>36</v>
      </c>
      <c r="U124" s="1" t="s">
        <v>76</v>
      </c>
      <c r="V124" s="1" t="s">
        <v>42</v>
      </c>
      <c r="W124" s="1" t="s">
        <v>36</v>
      </c>
      <c r="X124" s="1" t="s">
        <v>77</v>
      </c>
      <c r="Y124" s="8" t="str">
        <f>IFERROR(VLOOKUP(A124,Sheet3!B:H,6,false),VLOOKUP(J124,Sheet2!A:C,2,false))</f>
        <v>https://assets.roomstogo.com/product/tommy-bahama-make-waves-twin-mattress_50111067_image-item</v>
      </c>
      <c r="Z124" s="8" t="str">
        <f>IFERROR(VLOOKUP(A124,Sheet3!B:H,7,false),VLOOKUP(J124,Sheet2!A:C,3,false))</f>
        <v>https://assets.roomstogo.com/product/tommy-bahama-make-waves-twin-mattress_50111067_alt-image-1</v>
      </c>
    </row>
    <row r="125">
      <c r="A125" s="4">
        <v>5.0311073E7</v>
      </c>
      <c r="B125" s="9">
        <v>2.0</v>
      </c>
      <c r="C125" s="9">
        <v>5.0</v>
      </c>
      <c r="D125" s="2" t="s">
        <v>411</v>
      </c>
      <c r="E125" s="2" t="s">
        <v>44</v>
      </c>
      <c r="F125" s="2" t="s">
        <v>412</v>
      </c>
      <c r="G125" s="9">
        <v>2.0</v>
      </c>
      <c r="H125" s="9">
        <v>5.0</v>
      </c>
      <c r="I125" s="9">
        <v>0.0</v>
      </c>
      <c r="J125" s="1" t="s">
        <v>137</v>
      </c>
      <c r="K125" s="1" t="s">
        <v>413</v>
      </c>
      <c r="L125" s="6">
        <v>645.0</v>
      </c>
      <c r="M125" s="6">
        <v>749.99</v>
      </c>
      <c r="N125" s="1" t="s">
        <v>133</v>
      </c>
      <c r="O125" s="1" t="s">
        <v>54</v>
      </c>
      <c r="P125" s="1" t="s">
        <v>304</v>
      </c>
      <c r="Q125" s="1" t="s">
        <v>134</v>
      </c>
      <c r="R125" s="1" t="s">
        <v>373</v>
      </c>
      <c r="S125" s="1" t="s">
        <v>59</v>
      </c>
      <c r="T125" s="1" t="s">
        <v>36</v>
      </c>
      <c r="U125" s="1" t="s">
        <v>35</v>
      </c>
      <c r="V125" s="1" t="s">
        <v>42</v>
      </c>
      <c r="W125" s="1" t="s">
        <v>36</v>
      </c>
      <c r="X125" s="1" t="s">
        <v>37</v>
      </c>
      <c r="Y125" s="8" t="str">
        <f>IFERROR(VLOOKUP(A125,Sheet3!B:H,6,false),VLOOKUP(J125,Sheet2!A:C,2,false))</f>
        <v>https://assets.roomstogo.com/product/tommy-bahama-seaside-serenity-twin-mattress_50111079_image-item</v>
      </c>
      <c r="Z125" s="8" t="str">
        <f>IFERROR(VLOOKUP(A125,Sheet3!B:H,7,false),VLOOKUP(J125,Sheet2!A:C,3,false))</f>
        <v>https://assets.roomstogo.com/product/tommy-bahama-seaside-serenity-twin-mattress_50111079_alt-image-1</v>
      </c>
    </row>
    <row r="126">
      <c r="A126" s="4">
        <v>5.0311148E7</v>
      </c>
      <c r="B126" s="9">
        <v>3.0</v>
      </c>
      <c r="C126" s="9">
        <v>3.0</v>
      </c>
      <c r="D126" s="2" t="s">
        <v>305</v>
      </c>
      <c r="E126" s="2" t="s">
        <v>44</v>
      </c>
      <c r="F126" s="2" t="s">
        <v>306</v>
      </c>
      <c r="G126" s="9">
        <v>7.0</v>
      </c>
      <c r="H126" s="9">
        <v>3.86</v>
      </c>
      <c r="I126" s="9">
        <v>4.0</v>
      </c>
      <c r="J126" s="1" t="s">
        <v>307</v>
      </c>
      <c r="K126" s="1" t="s">
        <v>414</v>
      </c>
      <c r="L126" s="6">
        <v>199.0</v>
      </c>
      <c r="M126" s="6">
        <v>299.99</v>
      </c>
      <c r="N126" s="1" t="s">
        <v>309</v>
      </c>
      <c r="O126" s="1" t="s">
        <v>54</v>
      </c>
      <c r="P126" s="1" t="s">
        <v>310</v>
      </c>
      <c r="Q126" s="1" t="s">
        <v>134</v>
      </c>
      <c r="R126" s="1" t="s">
        <v>373</v>
      </c>
      <c r="S126" s="1" t="s">
        <v>33</v>
      </c>
      <c r="T126" s="1" t="s">
        <v>36</v>
      </c>
      <c r="U126" s="1" t="s">
        <v>35</v>
      </c>
      <c r="V126" s="1" t="s">
        <v>251</v>
      </c>
      <c r="W126" s="1" t="s">
        <v>251</v>
      </c>
      <c r="X126" s="1" t="s">
        <v>37</v>
      </c>
      <c r="Y126" s="8" t="str">
        <f>IFERROR(VLOOKUP(A126,Sheet3!B:H,6,false),VLOOKUP(J126,Sheet2!A:C,2,false))</f>
        <v>https://assets.roomstogo.com/product/therapedic-alder-twin-mattress_50111144_image-item</v>
      </c>
      <c r="Z126" s="8" t="str">
        <f>IFERROR(VLOOKUP(A126,Sheet3!B:H,7,false),VLOOKUP(J126,Sheet2!A:C,3,false))</f>
        <v>https://assets.roomstogo.com/product/therapedic-alder-twin-mattress_50111144_alt-image-1</v>
      </c>
    </row>
    <row r="127">
      <c r="A127" s="4">
        <v>5.0311162E7</v>
      </c>
      <c r="B127" s="9">
        <v>3.0</v>
      </c>
      <c r="C127" s="9">
        <v>5.0</v>
      </c>
      <c r="D127" s="2" t="s">
        <v>311</v>
      </c>
      <c r="E127" s="2" t="s">
        <v>44</v>
      </c>
      <c r="F127" s="2" t="s">
        <v>312</v>
      </c>
      <c r="G127" s="9">
        <v>5.0</v>
      </c>
      <c r="H127" s="9">
        <v>5.0</v>
      </c>
      <c r="I127" s="9">
        <v>2.0</v>
      </c>
      <c r="J127" s="1" t="s">
        <v>313</v>
      </c>
      <c r="K127" s="1" t="s">
        <v>415</v>
      </c>
      <c r="L127" s="6">
        <v>477.0</v>
      </c>
      <c r="M127" s="6">
        <v>499.99</v>
      </c>
      <c r="N127" s="1" t="s">
        <v>309</v>
      </c>
      <c r="O127" s="1" t="s">
        <v>54</v>
      </c>
      <c r="P127" s="1" t="s">
        <v>315</v>
      </c>
      <c r="Q127" s="1" t="s">
        <v>134</v>
      </c>
      <c r="R127" s="1" t="s">
        <v>373</v>
      </c>
      <c r="S127" s="1" t="s">
        <v>33</v>
      </c>
      <c r="T127" s="1" t="s">
        <v>34</v>
      </c>
      <c r="U127" s="1" t="s">
        <v>49</v>
      </c>
      <c r="V127" s="1" t="s">
        <v>36</v>
      </c>
      <c r="W127" s="1" t="s">
        <v>36</v>
      </c>
      <c r="X127" s="1" t="s">
        <v>51</v>
      </c>
      <c r="Y127" s="8" t="str">
        <f>IFERROR(VLOOKUP(A127,Sheet3!B:H,6,false),VLOOKUP(J127,Sheet2!A:C,2,false))</f>
        <v>https://assets.roomstogo.com/product/therapedic-creekmore-twin-mattress_50111168_image-item</v>
      </c>
      <c r="Z127" s="8" t="str">
        <f>IFERROR(VLOOKUP(A127,Sheet3!B:H,7,false),VLOOKUP(J127,Sheet2!A:C,3,false))</f>
        <v>https://assets.roomstogo.com/product/therapedic-creekmore-twin-mattress_50111168_alt-image-1</v>
      </c>
    </row>
    <row r="128">
      <c r="A128" s="4">
        <v>5.0311174E7</v>
      </c>
      <c r="B128" s="9">
        <v>9.0</v>
      </c>
      <c r="C128" s="9">
        <v>4.11</v>
      </c>
      <c r="D128" s="2" t="s">
        <v>316</v>
      </c>
      <c r="E128" s="2" t="s">
        <v>44</v>
      </c>
      <c r="F128" s="2" t="s">
        <v>317</v>
      </c>
      <c r="G128" s="9">
        <v>15.0</v>
      </c>
      <c r="H128" s="9">
        <v>4.2</v>
      </c>
      <c r="I128" s="9">
        <v>6.0</v>
      </c>
      <c r="J128" s="1" t="s">
        <v>318</v>
      </c>
      <c r="K128" s="1" t="s">
        <v>416</v>
      </c>
      <c r="L128" s="6">
        <v>627.0</v>
      </c>
      <c r="M128" s="6">
        <v>649.99</v>
      </c>
      <c r="N128" s="1" t="s">
        <v>309</v>
      </c>
      <c r="O128" s="1" t="s">
        <v>54</v>
      </c>
      <c r="P128" s="1" t="s">
        <v>320</v>
      </c>
      <c r="Q128" s="1" t="s">
        <v>134</v>
      </c>
      <c r="R128" s="1" t="s">
        <v>373</v>
      </c>
      <c r="S128" s="1" t="s">
        <v>33</v>
      </c>
      <c r="T128" s="1" t="s">
        <v>42</v>
      </c>
      <c r="U128" s="1" t="s">
        <v>35</v>
      </c>
      <c r="V128" s="1" t="s">
        <v>251</v>
      </c>
      <c r="W128" s="1" t="s">
        <v>36</v>
      </c>
      <c r="X128" s="1" t="s">
        <v>37</v>
      </c>
      <c r="Y128" s="8" t="str">
        <f>IFERROR(VLOOKUP(A128,Sheet3!B:H,6,false),VLOOKUP(J128,Sheet2!A:C,2,false))</f>
        <v>https://assets.roomstogo.com/product/therapedic-flourish-2-sided-twin-mattress_50111170_image-item</v>
      </c>
      <c r="Z128" s="8" t="str">
        <f>IFERROR(VLOOKUP(A128,Sheet3!B:H,7,false),VLOOKUP(J128,Sheet2!A:C,3,false))</f>
        <v>https://assets.roomstogo.com/product/therapedic-flourish-2-sided-twin-mattress_50111170_alt-image-1</v>
      </c>
    </row>
    <row r="129">
      <c r="A129" s="4">
        <v>5.0311237E7</v>
      </c>
      <c r="B129" s="9">
        <v>57.0</v>
      </c>
      <c r="C129" s="9">
        <v>4.51</v>
      </c>
      <c r="D129" s="2" t="s">
        <v>321</v>
      </c>
      <c r="E129" s="2" t="s">
        <v>44</v>
      </c>
      <c r="F129" s="2" t="s">
        <v>322</v>
      </c>
      <c r="G129" s="9">
        <v>90.0</v>
      </c>
      <c r="H129" s="9">
        <v>4.6</v>
      </c>
      <c r="I129" s="9">
        <v>33.0</v>
      </c>
      <c r="J129" s="1" t="s">
        <v>323</v>
      </c>
      <c r="K129" s="1" t="s">
        <v>417</v>
      </c>
      <c r="L129" s="6">
        <v>377.0</v>
      </c>
      <c r="M129" s="6">
        <v>399.99</v>
      </c>
      <c r="N129" s="1" t="s">
        <v>309</v>
      </c>
      <c r="O129" s="1" t="s">
        <v>54</v>
      </c>
      <c r="P129" s="1" t="s">
        <v>325</v>
      </c>
      <c r="Q129" s="1" t="s">
        <v>134</v>
      </c>
      <c r="R129" s="1" t="s">
        <v>373</v>
      </c>
      <c r="S129" s="1" t="s">
        <v>59</v>
      </c>
      <c r="T129" s="1" t="s">
        <v>34</v>
      </c>
      <c r="U129" s="1" t="s">
        <v>49</v>
      </c>
      <c r="V129" s="1" t="s">
        <v>42</v>
      </c>
      <c r="W129" s="1" t="s">
        <v>36</v>
      </c>
      <c r="X129" s="1" t="s">
        <v>51</v>
      </c>
      <c r="Y129" s="8" t="str">
        <f>IFERROR(VLOOKUP(A129,Sheet3!B:H,6,false),VLOOKUP(J129,Sheet2!A:C,2,false))</f>
        <v>https://assets.roomstogo.com/product/therapedic-hamell-twin-mattress_50111233_image-item</v>
      </c>
      <c r="Z129" s="8" t="str">
        <f>IFERROR(VLOOKUP(A129,Sheet3!B:H,7,false),VLOOKUP(J129,Sheet2!A:C,3,false))</f>
        <v>https://assets.roomstogo.com/product/therapedic-hamell-twin-mattress_50111233_alt-image-1</v>
      </c>
    </row>
    <row r="130">
      <c r="A130" s="4">
        <v>5.0311263E7</v>
      </c>
      <c r="B130" s="9">
        <v>18.0</v>
      </c>
      <c r="C130" s="9">
        <v>4.39</v>
      </c>
      <c r="D130" s="2" t="s">
        <v>326</v>
      </c>
      <c r="E130" s="2" t="s">
        <v>44</v>
      </c>
      <c r="F130" s="2" t="s">
        <v>327</v>
      </c>
      <c r="G130" s="9">
        <v>33.0</v>
      </c>
      <c r="H130" s="9">
        <v>4.55</v>
      </c>
      <c r="I130" s="9">
        <v>15.0</v>
      </c>
      <c r="J130" s="1" t="s">
        <v>328</v>
      </c>
      <c r="K130" s="1" t="s">
        <v>418</v>
      </c>
      <c r="L130" s="6">
        <v>477.0</v>
      </c>
      <c r="M130" s="6">
        <v>499.99</v>
      </c>
      <c r="N130" s="1" t="s">
        <v>309</v>
      </c>
      <c r="O130" s="1" t="s">
        <v>54</v>
      </c>
      <c r="P130" s="1" t="s">
        <v>330</v>
      </c>
      <c r="Q130" s="1" t="s">
        <v>134</v>
      </c>
      <c r="R130" s="1" t="s">
        <v>373</v>
      </c>
      <c r="S130" s="1" t="s">
        <v>59</v>
      </c>
      <c r="T130" s="1" t="s">
        <v>34</v>
      </c>
      <c r="U130" s="1" t="s">
        <v>35</v>
      </c>
      <c r="V130" s="1" t="s">
        <v>34</v>
      </c>
      <c r="W130" s="1" t="s">
        <v>251</v>
      </c>
      <c r="X130" s="1" t="s">
        <v>37</v>
      </c>
      <c r="Y130" s="8" t="str">
        <f>IFERROR(VLOOKUP(A130,Sheet3!B:H,6,false),VLOOKUP(J130,Sheet2!A:C,2,false))</f>
        <v>https://assets.roomstogo.com/product/therapedic-impreza-twin-mattress_50111269_image-item</v>
      </c>
      <c r="Z130" s="8" t="str">
        <f>IFERROR(VLOOKUP(A130,Sheet3!B:H,7,false),VLOOKUP(J130,Sheet2!A:C,3,false))</f>
        <v>https://assets.roomstogo.com/product/therapedic-impreza-twin-mattress_50111269_alt-image-1</v>
      </c>
    </row>
    <row r="131">
      <c r="A131" s="4">
        <v>5.031134E7</v>
      </c>
      <c r="B131" s="9">
        <v>2.0</v>
      </c>
      <c r="C131" s="9">
        <v>5.0</v>
      </c>
      <c r="D131" s="2" t="s">
        <v>139</v>
      </c>
      <c r="E131" s="2" t="s">
        <v>44</v>
      </c>
      <c r="F131" s="2" t="s">
        <v>140</v>
      </c>
      <c r="G131" s="9">
        <v>10.0</v>
      </c>
      <c r="H131" s="9">
        <v>4.2</v>
      </c>
      <c r="I131" s="9">
        <v>8.0</v>
      </c>
      <c r="J131" s="1" t="s">
        <v>141</v>
      </c>
      <c r="K131" s="1" t="s">
        <v>419</v>
      </c>
      <c r="L131" s="6">
        <v>677.0</v>
      </c>
      <c r="M131" s="6">
        <v>879.99</v>
      </c>
      <c r="N131" s="1" t="s">
        <v>143</v>
      </c>
      <c r="O131" s="1" t="s">
        <v>54</v>
      </c>
      <c r="P131" s="7"/>
      <c r="Q131" s="1" t="s">
        <v>31</v>
      </c>
      <c r="R131" s="1" t="s">
        <v>373</v>
      </c>
      <c r="S131" s="1" t="s">
        <v>59</v>
      </c>
      <c r="T131" s="1" t="s">
        <v>36</v>
      </c>
      <c r="U131" s="1" t="s">
        <v>76</v>
      </c>
      <c r="V131" s="1" t="s">
        <v>34</v>
      </c>
      <c r="W131" s="1" t="s">
        <v>36</v>
      </c>
      <c r="X131" s="1" t="s">
        <v>144</v>
      </c>
      <c r="Y131" s="8" t="str">
        <f>IFERROR(VLOOKUP(A131,Sheet3!B:H,6,false),VLOOKUP(J131,Sheet2!A:C,2,false))</f>
        <v>https://assets.roomstogo.com/product/therapedic-forester-twin-xl-mattress_50011344_image-item</v>
      </c>
      <c r="Z131" s="8" t="str">
        <f>IFERROR(VLOOKUP(A131,Sheet3!B:H,7,false),VLOOKUP(J131,Sheet2!A:C,3,false))</f>
        <v>https://assets.roomstogo.com/product/therapedic-forester-twin-xl-mattress_50011344_alt-image-1</v>
      </c>
    </row>
    <row r="132">
      <c r="A132" s="4">
        <v>5.0311364E7</v>
      </c>
      <c r="B132" s="9">
        <v>2.0</v>
      </c>
      <c r="C132" s="9">
        <v>5.0</v>
      </c>
      <c r="D132" s="2" t="s">
        <v>332</v>
      </c>
      <c r="E132" s="2" t="s">
        <v>44</v>
      </c>
      <c r="F132" s="2" t="s">
        <v>333</v>
      </c>
      <c r="G132" s="9">
        <v>20.0</v>
      </c>
      <c r="H132" s="9">
        <v>4.3</v>
      </c>
      <c r="I132" s="9">
        <v>18.0</v>
      </c>
      <c r="J132" s="1" t="s">
        <v>145</v>
      </c>
      <c r="K132" s="1" t="s">
        <v>420</v>
      </c>
      <c r="L132" s="6">
        <v>577.0</v>
      </c>
      <c r="M132" s="6">
        <v>679.99</v>
      </c>
      <c r="N132" s="1" t="s">
        <v>143</v>
      </c>
      <c r="O132" s="1" t="s">
        <v>54</v>
      </c>
      <c r="P132" s="7"/>
      <c r="Q132" s="1" t="s">
        <v>31</v>
      </c>
      <c r="R132" s="1" t="s">
        <v>373</v>
      </c>
      <c r="S132" s="1" t="s">
        <v>59</v>
      </c>
      <c r="T132" s="1" t="s">
        <v>36</v>
      </c>
      <c r="U132" s="1" t="s">
        <v>35</v>
      </c>
      <c r="V132" s="1" t="s">
        <v>36</v>
      </c>
      <c r="W132" s="1" t="s">
        <v>34</v>
      </c>
      <c r="X132" s="1" t="s">
        <v>37</v>
      </c>
      <c r="Y132" s="8" t="str">
        <f>IFERROR(VLOOKUP(A132,Sheet3!B:H,6,false),VLOOKUP(J132,Sheet2!A:C,2,false))</f>
        <v>https://assets.roomstogo.com/product/therapedic-darlington-twin-xl-mattress_50011368_image-item</v>
      </c>
      <c r="Z132" s="8" t="str">
        <f>IFERROR(VLOOKUP(A132,Sheet3!B:H,7,false),VLOOKUP(J132,Sheet2!A:C,3,false))</f>
        <v>https://assets.roomstogo.com/product/therapedic-darlington-twin-xl-mattress_50011368_alt-image-1</v>
      </c>
    </row>
    <row r="133">
      <c r="A133" s="4">
        <v>5.0322216E7</v>
      </c>
      <c r="B133" s="9">
        <v>5.0</v>
      </c>
      <c r="C133" s="9">
        <v>5.0</v>
      </c>
      <c r="D133" s="2" t="s">
        <v>161</v>
      </c>
      <c r="E133" s="2" t="s">
        <v>44</v>
      </c>
      <c r="F133" s="2" t="s">
        <v>162</v>
      </c>
      <c r="G133" s="9">
        <v>28.0</v>
      </c>
      <c r="H133" s="9">
        <v>4.71</v>
      </c>
      <c r="I133" s="9">
        <v>23.0</v>
      </c>
      <c r="J133" s="1" t="s">
        <v>163</v>
      </c>
      <c r="K133" s="1" t="s">
        <v>421</v>
      </c>
      <c r="L133" s="6">
        <v>377.0</v>
      </c>
      <c r="M133" s="6">
        <v>679.99</v>
      </c>
      <c r="N133" s="1" t="s">
        <v>165</v>
      </c>
      <c r="O133" s="1" t="s">
        <v>54</v>
      </c>
      <c r="P133" s="1" t="s">
        <v>166</v>
      </c>
      <c r="Q133" s="1" t="s">
        <v>31</v>
      </c>
      <c r="R133" s="1" t="s">
        <v>373</v>
      </c>
      <c r="S133" s="1" t="s">
        <v>41</v>
      </c>
      <c r="T133" s="1" t="s">
        <v>36</v>
      </c>
      <c r="U133" s="1" t="s">
        <v>35</v>
      </c>
      <c r="V133" s="1" t="s">
        <v>34</v>
      </c>
      <c r="W133" s="1" t="s">
        <v>36</v>
      </c>
      <c r="X133" s="1" t="s">
        <v>37</v>
      </c>
      <c r="Y133" s="8" t="str">
        <f>IFERROR(VLOOKUP(A133,Sheet3!B:H,6,false),VLOOKUP(J133,Sheet2!A:C,2,false))</f>
        <v>https://assets.roomstogo.com/product/beauty-sleep-oceana-mist-medium-hybrid-twin-xl-mattress_50022210_image-item</v>
      </c>
      <c r="Z133" s="8" t="str">
        <f>IFERROR(VLOOKUP(A133,Sheet3!B:H,7,false),VLOOKUP(J133,Sheet2!A:C,3,false))</f>
        <v>https://assets.roomstogo.com/product/beauty-sleep-oceana-mist-medium-hybrid-twin-xl-mattress_50022210_alt-image-8</v>
      </c>
    </row>
    <row r="134">
      <c r="A134" s="4">
        <v>5.0325743E7</v>
      </c>
      <c r="B134" s="5"/>
      <c r="C134" s="5"/>
      <c r="D134" s="5"/>
      <c r="E134" s="5"/>
      <c r="F134" s="5"/>
      <c r="G134" s="5"/>
      <c r="H134" s="5"/>
      <c r="I134" s="5"/>
      <c r="J134" s="1" t="s">
        <v>169</v>
      </c>
      <c r="K134" s="1" t="s">
        <v>422</v>
      </c>
      <c r="L134" s="6">
        <v>1379.0</v>
      </c>
      <c r="M134" s="6">
        <v>1379.0</v>
      </c>
      <c r="N134" s="1" t="s">
        <v>171</v>
      </c>
      <c r="O134" s="7"/>
      <c r="P134" s="1" t="s">
        <v>172</v>
      </c>
      <c r="Q134" s="1" t="s">
        <v>31</v>
      </c>
      <c r="R134" s="1" t="s">
        <v>373</v>
      </c>
      <c r="S134" s="1" t="s">
        <v>59</v>
      </c>
      <c r="T134" s="1" t="s">
        <v>42</v>
      </c>
      <c r="U134" s="1" t="s">
        <v>49</v>
      </c>
      <c r="V134" s="1" t="s">
        <v>42</v>
      </c>
      <c r="W134" s="1" t="s">
        <v>42</v>
      </c>
      <c r="X134" s="1" t="s">
        <v>51</v>
      </c>
      <c r="Y134" s="8" t="str">
        <f>IFERROR(VLOOKUP(A134,Sheet3!B:H,6,false),VLOOKUP(J134,Sheet2!A:C,2,false))</f>
        <v>https://assets.roomstogo.com/product/beautyrest-world-class-level-three-plush-twin-xl-mattress_50025747_image-item</v>
      </c>
      <c r="Z134" s="8" t="str">
        <f>IFERROR(VLOOKUP(A134,Sheet3!B:H,7,false),VLOOKUP(J134,Sheet2!A:C,3,false))</f>
        <v>https://assets.roomstogo.com/product/beautyrest-world-class-level-three-plush-twin-xl-mattress_50025747_alt-image-13</v>
      </c>
    </row>
    <row r="135">
      <c r="A135" s="4">
        <v>5.0325755E7</v>
      </c>
      <c r="B135" s="5"/>
      <c r="C135" s="5"/>
      <c r="D135" s="5"/>
      <c r="E135" s="5"/>
      <c r="F135" s="5"/>
      <c r="G135" s="5"/>
      <c r="H135" s="5"/>
      <c r="I135" s="5"/>
      <c r="J135" s="1" t="s">
        <v>173</v>
      </c>
      <c r="K135" s="1" t="s">
        <v>423</v>
      </c>
      <c r="L135" s="6">
        <v>1579.0</v>
      </c>
      <c r="M135" s="6">
        <v>1579.0</v>
      </c>
      <c r="N135" s="1" t="s">
        <v>171</v>
      </c>
      <c r="O135" s="7"/>
      <c r="P135" s="1" t="s">
        <v>175</v>
      </c>
      <c r="Q135" s="1" t="s">
        <v>31</v>
      </c>
      <c r="R135" s="1" t="s">
        <v>373</v>
      </c>
      <c r="S135" s="1" t="s">
        <v>59</v>
      </c>
      <c r="T135" s="1" t="s">
        <v>42</v>
      </c>
      <c r="U135" s="1" t="s">
        <v>35</v>
      </c>
      <c r="V135" s="1" t="s">
        <v>42</v>
      </c>
      <c r="W135" s="1" t="s">
        <v>42</v>
      </c>
      <c r="X135" s="1" t="s">
        <v>37</v>
      </c>
      <c r="Y135" s="8" t="str">
        <f>IFERROR(VLOOKUP(A135,Sheet3!B:H,6,false),VLOOKUP(J135,Sheet2!A:C,2,false))</f>
        <v>https://assets.roomstogo.com/product/beautyrest-world-class-level-three-medium-pillow-top-twin-xl-mattress_50025759_image-item</v>
      </c>
      <c r="Z135" s="8" t="str">
        <f>IFERROR(VLOOKUP(A135,Sheet3!B:H,7,false),VLOOKUP(J135,Sheet2!A:C,3,false))</f>
        <v>https://assets.roomstogo.com/product/beautyrest-world-class-level-three-medium-pillow-top-twin-xl-mattress_50025759_alt-image-13</v>
      </c>
    </row>
    <row r="136">
      <c r="A136" s="4">
        <v>5.0325806E7</v>
      </c>
      <c r="B136" s="5"/>
      <c r="C136" s="5"/>
      <c r="D136" s="5"/>
      <c r="E136" s="5"/>
      <c r="F136" s="5"/>
      <c r="G136" s="5"/>
      <c r="H136" s="5"/>
      <c r="I136" s="5"/>
      <c r="J136" s="1" t="s">
        <v>176</v>
      </c>
      <c r="K136" s="1" t="s">
        <v>424</v>
      </c>
      <c r="L136" s="6">
        <v>1879.0</v>
      </c>
      <c r="M136" s="6">
        <v>1879.0</v>
      </c>
      <c r="N136" s="1" t="s">
        <v>171</v>
      </c>
      <c r="O136" s="7"/>
      <c r="P136" s="1" t="s">
        <v>178</v>
      </c>
      <c r="Q136" s="1" t="s">
        <v>31</v>
      </c>
      <c r="R136" s="1" t="s">
        <v>373</v>
      </c>
      <c r="S136" s="1" t="s">
        <v>59</v>
      </c>
      <c r="T136" s="1" t="s">
        <v>50</v>
      </c>
      <c r="U136" s="1" t="s">
        <v>49</v>
      </c>
      <c r="V136" s="1" t="s">
        <v>42</v>
      </c>
      <c r="W136" s="1" t="s">
        <v>42</v>
      </c>
      <c r="X136" s="1" t="s">
        <v>51</v>
      </c>
      <c r="Y136" s="8" t="str">
        <f>IFERROR(VLOOKUP(A136,Sheet3!B:H,6,false),VLOOKUP(J136,Sheet2!A:C,2,false))</f>
        <v>https://assets.roomstogo.com/product/beautyrest-world-class-level-four-plush-pillow-top-twin-xl-mattress_50025800_image-item</v>
      </c>
      <c r="Z136" s="8" t="str">
        <f>IFERROR(VLOOKUP(A136,Sheet3!B:H,7,false),VLOOKUP(J136,Sheet2!A:C,3,false))</f>
        <v>https://assets.roomstogo.com/product/beautyrest-world-class-level-four-plush-pillow-top-twin-xl-mattress_50025800_alt-image-13</v>
      </c>
    </row>
    <row r="137">
      <c r="A137" s="4">
        <v>5.0328953E7</v>
      </c>
      <c r="B137" s="5"/>
      <c r="C137" s="5"/>
      <c r="D137" s="5"/>
      <c r="E137" s="5"/>
      <c r="F137" s="5"/>
      <c r="G137" s="5"/>
      <c r="H137" s="5"/>
      <c r="I137" s="5"/>
      <c r="J137" s="1" t="s">
        <v>179</v>
      </c>
      <c r="K137" s="1" t="s">
        <v>425</v>
      </c>
      <c r="L137" s="6">
        <v>877.0</v>
      </c>
      <c r="M137" s="6">
        <v>1479.0</v>
      </c>
      <c r="N137" s="1" t="s">
        <v>181</v>
      </c>
      <c r="O137" s="1" t="s">
        <v>54</v>
      </c>
      <c r="P137" s="7"/>
      <c r="Q137" s="1" t="s">
        <v>31</v>
      </c>
      <c r="R137" s="1" t="s">
        <v>373</v>
      </c>
      <c r="S137" s="1" t="s">
        <v>59</v>
      </c>
      <c r="T137" s="1" t="s">
        <v>42</v>
      </c>
      <c r="U137" s="1" t="s">
        <v>49</v>
      </c>
      <c r="V137" s="1" t="s">
        <v>34</v>
      </c>
      <c r="W137" s="1" t="s">
        <v>34</v>
      </c>
      <c r="X137" s="1" t="s">
        <v>182</v>
      </c>
      <c r="Y137" s="8" t="str">
        <f>IFERROR(VLOOKUP(A137,Sheet3!B:H,6,false),VLOOKUP(J137,Sheet2!A:C,2,false))</f>
        <v>https://assets.roomstogo.com/product/sealy-correct-comfort-kerry-park-twin-xl-mattress_50028957_image-item</v>
      </c>
      <c r="Z137" s="8" t="str">
        <f>IFERROR(VLOOKUP(A137,Sheet3!B:H,7,false),VLOOKUP(J137,Sheet2!A:C,3,false))</f>
        <v>https://assets.roomstogo.com/product/sealy-correct-comfort-kerry-park-twin-xl-mattress_50028957_alt-image-1</v>
      </c>
    </row>
    <row r="138">
      <c r="A138" s="4">
        <v>5.0328965E7</v>
      </c>
      <c r="B138" s="9">
        <v>2.0</v>
      </c>
      <c r="C138" s="9">
        <v>5.0</v>
      </c>
      <c r="D138" s="2" t="s">
        <v>183</v>
      </c>
      <c r="E138" s="2" t="s">
        <v>44</v>
      </c>
      <c r="F138" s="2" t="s">
        <v>184</v>
      </c>
      <c r="G138" s="9">
        <v>12.0</v>
      </c>
      <c r="H138" s="9">
        <v>4.83</v>
      </c>
      <c r="I138" s="9">
        <v>10.0</v>
      </c>
      <c r="J138" s="1" t="s">
        <v>185</v>
      </c>
      <c r="K138" s="1" t="s">
        <v>426</v>
      </c>
      <c r="L138" s="6">
        <v>645.0</v>
      </c>
      <c r="M138" s="6">
        <v>749.0</v>
      </c>
      <c r="N138" s="1" t="s">
        <v>181</v>
      </c>
      <c r="O138" s="1" t="s">
        <v>54</v>
      </c>
      <c r="P138" s="7"/>
      <c r="Q138" s="1" t="s">
        <v>31</v>
      </c>
      <c r="R138" s="1" t="s">
        <v>373</v>
      </c>
      <c r="S138" s="1" t="s">
        <v>33</v>
      </c>
      <c r="T138" s="1" t="s">
        <v>34</v>
      </c>
      <c r="U138" s="1" t="s">
        <v>35</v>
      </c>
      <c r="V138" s="1" t="s">
        <v>34</v>
      </c>
      <c r="W138" s="1" t="s">
        <v>36</v>
      </c>
      <c r="X138" s="1" t="s">
        <v>37</v>
      </c>
      <c r="Y138" s="8" t="str">
        <f>IFERROR(VLOOKUP(A138,Sheet3!B:H,6,false),VLOOKUP(J138,Sheet2!A:C,2,false))</f>
        <v>https://assets.roomstogo.com/product/sealy-correct-comfort-bradford-hill-twin-xl-mattress_50028969_image-item</v>
      </c>
      <c r="Z138" s="8" t="str">
        <f>IFERROR(VLOOKUP(A138,Sheet3!B:H,7,false),VLOOKUP(J138,Sheet2!A:C,3,false))</f>
        <v>https://assets.roomstogo.com/product/sealy-correct-comfort-bradford-hill-twin-xl-mattress_50028969_alt-image-1</v>
      </c>
    </row>
    <row r="139">
      <c r="A139" s="4">
        <v>5.0329171E7</v>
      </c>
      <c r="B139" s="9">
        <v>2.0</v>
      </c>
      <c r="C139" s="9">
        <v>4.5</v>
      </c>
      <c r="D139" s="2" t="s">
        <v>341</v>
      </c>
      <c r="E139" s="2" t="s">
        <v>44</v>
      </c>
      <c r="F139" s="2" t="s">
        <v>342</v>
      </c>
      <c r="G139" s="9">
        <v>6.0</v>
      </c>
      <c r="H139" s="9">
        <v>4.17</v>
      </c>
      <c r="I139" s="9">
        <v>4.0</v>
      </c>
      <c r="J139" s="1" t="s">
        <v>189</v>
      </c>
      <c r="K139" s="1" t="s">
        <v>427</v>
      </c>
      <c r="L139" s="6">
        <v>627.0</v>
      </c>
      <c r="M139" s="6">
        <v>749.0</v>
      </c>
      <c r="N139" s="1" t="s">
        <v>191</v>
      </c>
      <c r="O139" s="1" t="s">
        <v>54</v>
      </c>
      <c r="P139" s="1" t="s">
        <v>192</v>
      </c>
      <c r="Q139" s="1" t="s">
        <v>31</v>
      </c>
      <c r="R139" s="1" t="s">
        <v>373</v>
      </c>
      <c r="S139" s="1" t="s">
        <v>59</v>
      </c>
      <c r="T139" s="1" t="s">
        <v>36</v>
      </c>
      <c r="U139" s="1" t="s">
        <v>35</v>
      </c>
      <c r="V139" s="1" t="s">
        <v>36</v>
      </c>
      <c r="W139" s="1" t="s">
        <v>36</v>
      </c>
      <c r="X139" s="1" t="s">
        <v>37</v>
      </c>
      <c r="Y139" s="8" t="str">
        <f>IFERROR(VLOOKUP(A139,Sheet3!B:H,6,false),VLOOKUP(J139,Sheet2!A:C,2,false))</f>
        <v>https://assets.roomstogo.com/product/sealy-posturepedic-brierwood-twin-xl-mattress_50029175_image-item</v>
      </c>
      <c r="Z139" s="8" t="str">
        <f>IFERROR(VLOOKUP(A139,Sheet3!B:H,7,false),VLOOKUP(J139,Sheet2!A:C,3,false))</f>
        <v>https://assets.roomstogo.com/product/sealy-posturepedic-brierwood-twin-xl-mattress_50029175_alt-image-1</v>
      </c>
    </row>
    <row r="140">
      <c r="A140" s="4">
        <v>5.0329208E7</v>
      </c>
      <c r="B140" s="5"/>
      <c r="C140" s="5"/>
      <c r="D140" s="5"/>
      <c r="E140" s="5"/>
      <c r="F140" s="5"/>
      <c r="G140" s="5"/>
      <c r="H140" s="5"/>
      <c r="I140" s="5"/>
      <c r="J140" s="1" t="s">
        <v>193</v>
      </c>
      <c r="K140" s="1" t="s">
        <v>428</v>
      </c>
      <c r="L140" s="6">
        <v>947.0</v>
      </c>
      <c r="M140" s="6">
        <v>1149.0</v>
      </c>
      <c r="N140" s="1" t="s">
        <v>195</v>
      </c>
      <c r="O140" s="1" t="s">
        <v>54</v>
      </c>
      <c r="P140" s="1" t="s">
        <v>196</v>
      </c>
      <c r="Q140" s="1" t="s">
        <v>31</v>
      </c>
      <c r="R140" s="1" t="s">
        <v>373</v>
      </c>
      <c r="S140" s="1" t="s">
        <v>59</v>
      </c>
      <c r="T140" s="1" t="s">
        <v>34</v>
      </c>
      <c r="U140" s="1" t="s">
        <v>35</v>
      </c>
      <c r="V140" s="1" t="s">
        <v>34</v>
      </c>
      <c r="W140" s="1" t="s">
        <v>36</v>
      </c>
      <c r="X140" s="1" t="s">
        <v>37</v>
      </c>
      <c r="Y140" s="8" t="str">
        <f>IFERROR(VLOOKUP(A140,Sheet3!B:H,6,false),VLOOKUP(J140,Sheet2!A:C,2,false))</f>
        <v>https://assets.roomstogo.com/product/sealy-posturepedic-castle-rock-twin-xl-mattress_50029202_image-item</v>
      </c>
      <c r="Z140" s="8" t="str">
        <f>IFERROR(VLOOKUP(A140,Sheet3!B:H,7,false),VLOOKUP(J140,Sheet2!A:C,3,false))</f>
        <v>https://assets.roomstogo.com/product/sealy-posturepedic-castle-rock-twin-xl-mattress_50029202_alt-image-1</v>
      </c>
    </row>
    <row r="141">
      <c r="A141" s="4">
        <v>5.032921E7</v>
      </c>
      <c r="B141" s="5"/>
      <c r="C141" s="5"/>
      <c r="D141" s="5"/>
      <c r="E141" s="5"/>
      <c r="F141" s="5"/>
      <c r="G141" s="5"/>
      <c r="H141" s="5"/>
      <c r="I141" s="5"/>
      <c r="J141" s="1" t="s">
        <v>197</v>
      </c>
      <c r="K141" s="1" t="s">
        <v>429</v>
      </c>
      <c r="L141" s="6">
        <v>1027.0</v>
      </c>
      <c r="M141" s="6">
        <v>1249.0</v>
      </c>
      <c r="N141" s="1" t="s">
        <v>199</v>
      </c>
      <c r="O141" s="7"/>
      <c r="P141" s="1" t="s">
        <v>200</v>
      </c>
      <c r="Q141" s="1" t="s">
        <v>31</v>
      </c>
      <c r="R141" s="1" t="s">
        <v>373</v>
      </c>
      <c r="S141" s="1" t="s">
        <v>59</v>
      </c>
      <c r="T141" s="1" t="s">
        <v>34</v>
      </c>
      <c r="U141" s="1" t="s">
        <v>35</v>
      </c>
      <c r="V141" s="1" t="s">
        <v>42</v>
      </c>
      <c r="W141" s="1" t="s">
        <v>34</v>
      </c>
      <c r="X141" s="1" t="s">
        <v>37</v>
      </c>
      <c r="Y141" s="8" t="str">
        <f>IFERROR(VLOOKUP(A141,Sheet3!B:H,6,false),VLOOKUP(J141,Sheet2!A:C,2,false))</f>
        <v>https://assets.roomstogo.com/product/sealy-posturepedic-pebblebrook-twin-xl-mattress_50029214_image-item</v>
      </c>
      <c r="Z141" s="8" t="str">
        <f>IFERROR(VLOOKUP(A141,Sheet3!B:H,7,false),VLOOKUP(J141,Sheet2!A:C,3,false))</f>
        <v>https://assets.roomstogo.com/product/sealy-posturepedic-pebblebrook-twin-xl-mattress_50029214_alt-image-1</v>
      </c>
    </row>
    <row r="142">
      <c r="A142" s="4">
        <v>5.033411E7</v>
      </c>
      <c r="B142" s="9">
        <v>11.0</v>
      </c>
      <c r="C142" s="9">
        <v>4.09</v>
      </c>
      <c r="D142" s="2" t="s">
        <v>346</v>
      </c>
      <c r="E142" s="2" t="s">
        <v>44</v>
      </c>
      <c r="F142" s="2" t="s">
        <v>347</v>
      </c>
      <c r="G142" s="9">
        <v>13.0</v>
      </c>
      <c r="H142" s="9">
        <v>3.92</v>
      </c>
      <c r="I142" s="9">
        <v>2.0</v>
      </c>
      <c r="J142" s="1" t="s">
        <v>348</v>
      </c>
      <c r="K142" s="1" t="s">
        <v>430</v>
      </c>
      <c r="L142" s="6">
        <v>799.0</v>
      </c>
      <c r="M142" s="6">
        <v>899.0</v>
      </c>
      <c r="N142" s="1" t="s">
        <v>64</v>
      </c>
      <c r="O142" s="7"/>
      <c r="P142" s="1" t="s">
        <v>350</v>
      </c>
      <c r="Q142" s="1" t="s">
        <v>134</v>
      </c>
      <c r="R142" s="1" t="s">
        <v>373</v>
      </c>
      <c r="S142" s="1" t="s">
        <v>33</v>
      </c>
      <c r="T142" s="1" t="s">
        <v>50</v>
      </c>
      <c r="U142" s="1" t="s">
        <v>35</v>
      </c>
      <c r="V142" s="1" t="s">
        <v>50</v>
      </c>
      <c r="W142" s="1" t="s">
        <v>36</v>
      </c>
      <c r="X142" s="1" t="s">
        <v>37</v>
      </c>
      <c r="Y142" s="8" t="str">
        <f>IFERROR(VLOOKUP(A142,Sheet3!B:H,6,false),VLOOKUP(J142,Sheet2!A:C,2,false))</f>
        <v>https://assets.roomstogo.com/product/tempur-kids-twin-mattress_50134116_image-item</v>
      </c>
      <c r="Z142" s="8" t="str">
        <f>IFERROR(VLOOKUP(A142,Sheet3!B:H,7,false),VLOOKUP(J142,Sheet2!A:C,3,false))</f>
        <v>https://assets.roomstogo.com/product/tempur-kids-project-z-twin-mattress_50134116_alt-image-1</v>
      </c>
    </row>
    <row r="143">
      <c r="A143" s="4">
        <v>5.0337053E7</v>
      </c>
      <c r="B143" s="9">
        <v>1.0</v>
      </c>
      <c r="C143" s="9">
        <v>1.0</v>
      </c>
      <c r="D143" s="2" t="s">
        <v>201</v>
      </c>
      <c r="E143" s="2" t="s">
        <v>44</v>
      </c>
      <c r="F143" s="2" t="s">
        <v>202</v>
      </c>
      <c r="G143" s="9">
        <v>347.0</v>
      </c>
      <c r="H143" s="9">
        <v>4.52</v>
      </c>
      <c r="I143" s="9">
        <v>346.0</v>
      </c>
      <c r="J143" s="1" t="s">
        <v>203</v>
      </c>
      <c r="K143" s="1" t="s">
        <v>431</v>
      </c>
      <c r="L143" s="6">
        <v>1829.0</v>
      </c>
      <c r="M143" s="6">
        <v>1829.0</v>
      </c>
      <c r="N143" s="1" t="s">
        <v>205</v>
      </c>
      <c r="O143" s="7"/>
      <c r="P143" s="1" t="s">
        <v>206</v>
      </c>
      <c r="Q143" s="1" t="s">
        <v>31</v>
      </c>
      <c r="R143" s="1" t="s">
        <v>373</v>
      </c>
      <c r="S143" s="1" t="s">
        <v>59</v>
      </c>
      <c r="T143" s="1" t="s">
        <v>34</v>
      </c>
      <c r="U143" s="1" t="s">
        <v>76</v>
      </c>
      <c r="V143" s="1" t="s">
        <v>50</v>
      </c>
      <c r="W143" s="1" t="s">
        <v>42</v>
      </c>
      <c r="X143" s="1" t="s">
        <v>144</v>
      </c>
      <c r="Y143" s="8" t="str">
        <f>IFERROR(VLOOKUP(A143,Sheet3!B:H,6,false),VLOOKUP(J143,Sheet2!A:C,2,false))</f>
        <v>https://assets.roomstogo.com/product/beautyrest-black-series-one-extra-firm-twin-xl-mattress_50037057_image-item</v>
      </c>
      <c r="Z143" s="8" t="str">
        <f>IFERROR(VLOOKUP(A143,Sheet3!B:H,7,false),VLOOKUP(J143,Sheet2!A:C,3,false))</f>
        <v>https://assets.roomstogo.com/product/beautyrest-black-series-one-extra-firm-twin-xl-mattress_50037057_alt-image-1</v>
      </c>
    </row>
    <row r="144">
      <c r="A144" s="4">
        <v>5.033713E7</v>
      </c>
      <c r="B144" s="5"/>
      <c r="C144" s="5"/>
      <c r="D144" s="5"/>
      <c r="E144" s="5"/>
      <c r="F144" s="5"/>
      <c r="G144" s="5"/>
      <c r="H144" s="5"/>
      <c r="I144" s="5"/>
      <c r="J144" s="1" t="s">
        <v>209</v>
      </c>
      <c r="K144" s="1" t="s">
        <v>432</v>
      </c>
      <c r="L144" s="6">
        <v>2829.0</v>
      </c>
      <c r="M144" s="6">
        <v>2829.0</v>
      </c>
      <c r="N144" s="1" t="s">
        <v>205</v>
      </c>
      <c r="O144" s="7"/>
      <c r="P144" s="1" t="s">
        <v>211</v>
      </c>
      <c r="Q144" s="1" t="s">
        <v>31</v>
      </c>
      <c r="R144" s="1" t="s">
        <v>373</v>
      </c>
      <c r="S144" s="1" t="s">
        <v>59</v>
      </c>
      <c r="T144" s="1" t="s">
        <v>42</v>
      </c>
      <c r="U144" s="1" t="s">
        <v>35</v>
      </c>
      <c r="V144" s="1" t="s">
        <v>50</v>
      </c>
      <c r="W144" s="1" t="s">
        <v>42</v>
      </c>
      <c r="X144" s="1" t="s">
        <v>37</v>
      </c>
      <c r="Y144" s="8" t="str">
        <f>IFERROR(VLOOKUP(A144,Sheet3!B:H,6,false),VLOOKUP(J144,Sheet2!A:C,2,false))</f>
        <v>https://assets.roomstogo.com/product/beautyrest-black-series-two-medium-twin-xl-mattress_50037134_image-item</v>
      </c>
      <c r="Z144" s="8" t="str">
        <f>IFERROR(VLOOKUP(A144,Sheet3!B:H,7,false),VLOOKUP(J144,Sheet2!A:C,3,false))</f>
        <v>https://assets.roomstogo.com/product/beautyrest-black-series-two-medium-twin-xl-mattress_50037134_alt-image-1</v>
      </c>
    </row>
    <row r="145">
      <c r="A145" s="4">
        <v>5.0337229E7</v>
      </c>
      <c r="B145" s="5"/>
      <c r="C145" s="5"/>
      <c r="D145" s="5"/>
      <c r="E145" s="5"/>
      <c r="F145" s="5"/>
      <c r="G145" s="5"/>
      <c r="H145" s="5"/>
      <c r="I145" s="5"/>
      <c r="J145" s="1" t="s">
        <v>214</v>
      </c>
      <c r="K145" s="1" t="s">
        <v>433</v>
      </c>
      <c r="L145" s="6">
        <v>3929.0</v>
      </c>
      <c r="M145" s="6">
        <v>3929.0</v>
      </c>
      <c r="N145" s="1" t="s">
        <v>205</v>
      </c>
      <c r="O145" s="7"/>
      <c r="P145" s="1" t="s">
        <v>216</v>
      </c>
      <c r="Q145" s="1" t="s">
        <v>31</v>
      </c>
      <c r="R145" s="1" t="s">
        <v>373</v>
      </c>
      <c r="S145" s="1" t="s">
        <v>59</v>
      </c>
      <c r="T145" s="1" t="s">
        <v>50</v>
      </c>
      <c r="U145" s="1" t="s">
        <v>49</v>
      </c>
      <c r="V145" s="1" t="s">
        <v>50</v>
      </c>
      <c r="W145" s="1" t="s">
        <v>42</v>
      </c>
      <c r="X145" s="1" t="s">
        <v>51</v>
      </c>
      <c r="Y145" s="8" t="str">
        <f>IFERROR(VLOOKUP(A145,Sheet3!B:H,6,false),VLOOKUP(J145,Sheet2!A:C,2,false))</f>
        <v>https://assets.roomstogo.com/product/beautyrest-black-series-three-plush-pillow-top-twin-xl-mattress_50037223_image-item</v>
      </c>
      <c r="Z145" s="8" t="str">
        <f>IFERROR(VLOOKUP(A145,Sheet3!B:H,7,false),VLOOKUP(J145,Sheet2!A:C,3,false))</f>
        <v>https://assets.roomstogo.com/product/beautyrest-black-series-three-plush-pillow-top-twin-xl-mattress_50037223_alt-image-1</v>
      </c>
    </row>
    <row r="146">
      <c r="A146" s="4">
        <v>5.0348032E7</v>
      </c>
      <c r="B146" s="5"/>
      <c r="C146" s="5"/>
      <c r="D146" s="5"/>
      <c r="E146" s="5"/>
      <c r="F146" s="5"/>
      <c r="G146" s="5"/>
      <c r="H146" s="5"/>
      <c r="I146" s="5"/>
      <c r="J146" s="1" t="s">
        <v>219</v>
      </c>
      <c r="K146" s="1" t="s">
        <v>434</v>
      </c>
      <c r="L146" s="6">
        <v>2349.0</v>
      </c>
      <c r="M146" s="6">
        <v>2349.0</v>
      </c>
      <c r="N146" s="1" t="s">
        <v>221</v>
      </c>
      <c r="O146" s="7"/>
      <c r="P146" s="1" t="s">
        <v>222</v>
      </c>
      <c r="Q146" s="1" t="s">
        <v>31</v>
      </c>
      <c r="R146" s="1" t="s">
        <v>373</v>
      </c>
      <c r="S146" s="1" t="s">
        <v>59</v>
      </c>
      <c r="T146" s="1" t="s">
        <v>34</v>
      </c>
      <c r="U146" s="1" t="s">
        <v>76</v>
      </c>
      <c r="V146" s="1" t="s">
        <v>42</v>
      </c>
      <c r="W146" s="1" t="s">
        <v>34</v>
      </c>
      <c r="X146" s="1" t="s">
        <v>77</v>
      </c>
      <c r="Y146" s="8" t="str">
        <f>IFERROR(VLOOKUP(A146,Sheet3!B:H,6,false),VLOOKUP(J146,Sheet2!A:C,2,false))</f>
        <v>https://assets.roomstogo.com/product/stearns-and-foster-estate-firm-tight-top-twin-xl-mattress_50048036_image-item</v>
      </c>
      <c r="Z146" s="8" t="str">
        <f>IFERROR(VLOOKUP(A146,Sheet3!B:H,7,false),VLOOKUP(J146,Sheet2!A:C,3,false))</f>
        <v>https://assets.roomstogo.com/product/stearns-and-foster-estate-firm-tight-top-twin-xl-mattress_50048036_alt-image-1</v>
      </c>
    </row>
    <row r="147">
      <c r="A147" s="4">
        <v>5.0348056E7</v>
      </c>
      <c r="B147" s="9">
        <v>1.0</v>
      </c>
      <c r="C147" s="9">
        <v>5.0</v>
      </c>
      <c r="D147" s="2" t="s">
        <v>435</v>
      </c>
      <c r="E147" s="2" t="s">
        <v>44</v>
      </c>
      <c r="F147" s="2" t="s">
        <v>436</v>
      </c>
      <c r="G147" s="9">
        <v>7.0</v>
      </c>
      <c r="H147" s="9">
        <v>3.86</v>
      </c>
      <c r="I147" s="9">
        <v>6.0</v>
      </c>
      <c r="J147" s="1" t="s">
        <v>223</v>
      </c>
      <c r="K147" s="1" t="s">
        <v>437</v>
      </c>
      <c r="L147" s="6">
        <v>2549.0</v>
      </c>
      <c r="M147" s="6">
        <v>2549.0</v>
      </c>
      <c r="N147" s="1" t="s">
        <v>221</v>
      </c>
      <c r="O147" s="7"/>
      <c r="P147" s="1" t="s">
        <v>222</v>
      </c>
      <c r="Q147" s="1" t="s">
        <v>31</v>
      </c>
      <c r="R147" s="1" t="s">
        <v>373</v>
      </c>
      <c r="S147" s="1" t="s">
        <v>59</v>
      </c>
      <c r="T147" s="1" t="s">
        <v>34</v>
      </c>
      <c r="U147" s="1" t="s">
        <v>76</v>
      </c>
      <c r="V147" s="1" t="s">
        <v>42</v>
      </c>
      <c r="W147" s="1" t="s">
        <v>34</v>
      </c>
      <c r="X147" s="1" t="s">
        <v>77</v>
      </c>
      <c r="Y147" s="8" t="str">
        <f>IFERROR(VLOOKUP(A147,Sheet3!B:H,6,false),VLOOKUP(J147,Sheet2!A:C,2,false))</f>
        <v>https://assets.roomstogo.com/product/stearns-and-foster-estate-firm-pillow-top-twin-xl-mattress_50048050_image-item</v>
      </c>
      <c r="Z147" s="8" t="str">
        <f>IFERROR(VLOOKUP(A147,Sheet3!B:H,7,false),VLOOKUP(J147,Sheet2!A:C,3,false))</f>
        <v>https://assets.roomstogo.com/product/stearns-and-foster-estate-firm-pillow-top-twin-xl-mattress_50048050_alt-image-1</v>
      </c>
    </row>
    <row r="148">
      <c r="A148" s="4">
        <v>5.0352574E7</v>
      </c>
      <c r="B148" s="9">
        <v>1.0</v>
      </c>
      <c r="C148" s="9">
        <v>5.0</v>
      </c>
      <c r="D148" s="2" t="s">
        <v>351</v>
      </c>
      <c r="E148" s="2" t="s">
        <v>44</v>
      </c>
      <c r="F148" s="2" t="s">
        <v>352</v>
      </c>
      <c r="G148" s="9">
        <v>3.0</v>
      </c>
      <c r="H148" s="9">
        <v>5.0</v>
      </c>
      <c r="I148" s="9">
        <v>2.0</v>
      </c>
      <c r="J148" s="1" t="s">
        <v>352</v>
      </c>
      <c r="K148" s="1" t="s">
        <v>438</v>
      </c>
      <c r="L148" s="6">
        <v>377.0</v>
      </c>
      <c r="M148" s="6">
        <v>399.99</v>
      </c>
      <c r="N148" s="1" t="s">
        <v>354</v>
      </c>
      <c r="O148" s="1" t="s">
        <v>54</v>
      </c>
      <c r="P148" s="1" t="s">
        <v>355</v>
      </c>
      <c r="Q148" s="1" t="s">
        <v>134</v>
      </c>
      <c r="R148" s="1" t="s">
        <v>373</v>
      </c>
      <c r="S148" s="1" t="s">
        <v>59</v>
      </c>
      <c r="T148" s="1" t="s">
        <v>36</v>
      </c>
      <c r="U148" s="1" t="s">
        <v>35</v>
      </c>
      <c r="V148" s="1" t="s">
        <v>36</v>
      </c>
      <c r="W148" s="1" t="s">
        <v>36</v>
      </c>
      <c r="X148" s="1" t="s">
        <v>37</v>
      </c>
      <c r="Y148" s="8" t="str">
        <f>IFERROR(VLOOKUP(A148,Sheet3!B:H,6,false),VLOOKUP(J148,Sheet2!A:C,2,false))</f>
        <v>https://assets.roomstogo.com/product/sealy-kids-z-305-twin-mattress_50152570_image-item</v>
      </c>
      <c r="Z148" s="8" t="str">
        <f>IFERROR(VLOOKUP(A148,Sheet3!B:H,7,false),VLOOKUP(J148,Sheet2!A:C,3,false))</f>
        <v>https://assets.roomstogo.com/product/sealy-kids-z-305-twin-mattress_50152570_alt-image-1</v>
      </c>
    </row>
    <row r="149">
      <c r="A149" s="4">
        <v>5.0352586E7</v>
      </c>
      <c r="B149" s="9">
        <v>2.0</v>
      </c>
      <c r="C149" s="9">
        <v>5.0</v>
      </c>
      <c r="D149" s="2" t="s">
        <v>439</v>
      </c>
      <c r="E149" s="2" t="s">
        <v>44</v>
      </c>
      <c r="F149" s="2" t="s">
        <v>356</v>
      </c>
      <c r="G149" s="9">
        <v>2.0</v>
      </c>
      <c r="H149" s="9">
        <v>5.0</v>
      </c>
      <c r="I149" s="9">
        <v>0.0</v>
      </c>
      <c r="J149" s="1" t="s">
        <v>356</v>
      </c>
      <c r="K149" s="1" t="s">
        <v>440</v>
      </c>
      <c r="L149" s="6">
        <v>427.0</v>
      </c>
      <c r="M149" s="6">
        <v>449.99</v>
      </c>
      <c r="N149" s="1" t="s">
        <v>354</v>
      </c>
      <c r="O149" s="1" t="s">
        <v>54</v>
      </c>
      <c r="P149" s="1" t="s">
        <v>358</v>
      </c>
      <c r="Q149" s="1" t="s">
        <v>134</v>
      </c>
      <c r="R149" s="1" t="s">
        <v>373</v>
      </c>
      <c r="S149" s="1" t="s">
        <v>59</v>
      </c>
      <c r="T149" s="1" t="s">
        <v>34</v>
      </c>
      <c r="U149" s="1" t="s">
        <v>49</v>
      </c>
      <c r="V149" s="1" t="s">
        <v>34</v>
      </c>
      <c r="W149" s="1" t="s">
        <v>42</v>
      </c>
      <c r="X149" s="1" t="s">
        <v>51</v>
      </c>
      <c r="Y149" s="8" t="str">
        <f>IFERROR(VLOOKUP(A149,Sheet3!B:H,6,false),VLOOKUP(J149,Sheet2!A:C,2,false))</f>
        <v>https://assets.roomstogo.com/product/sealy-kids-z-505-twin-mattress_50152582_image-item</v>
      </c>
      <c r="Z149" s="8" t="str">
        <f>IFERROR(VLOOKUP(A149,Sheet3!B:H,7,false),VLOOKUP(J149,Sheet2!A:C,3,false))</f>
        <v>https://assets.roomstogo.com/product/sealy-kids-z-505-twin-mattress_50152582_alt-image-1</v>
      </c>
    </row>
    <row r="150">
      <c r="A150" s="4">
        <v>5.0370041E7</v>
      </c>
      <c r="B150" s="5"/>
      <c r="C150" s="5"/>
      <c r="D150" s="5"/>
      <c r="E150" s="5"/>
      <c r="F150" s="5"/>
      <c r="G150" s="5"/>
      <c r="H150" s="5"/>
      <c r="I150" s="5"/>
      <c r="J150" s="1" t="s">
        <v>361</v>
      </c>
      <c r="K150" s="1" t="s">
        <v>441</v>
      </c>
      <c r="L150" s="6">
        <v>799.0</v>
      </c>
      <c r="M150" s="6">
        <v>998.75</v>
      </c>
      <c r="N150" s="1" t="s">
        <v>234</v>
      </c>
      <c r="O150" s="7"/>
      <c r="P150" s="7"/>
      <c r="Q150" s="1" t="s">
        <v>134</v>
      </c>
      <c r="R150" s="1" t="s">
        <v>373</v>
      </c>
      <c r="S150" s="1" t="s">
        <v>59</v>
      </c>
      <c r="T150" s="1" t="s">
        <v>42</v>
      </c>
      <c r="U150" s="1" t="s">
        <v>35</v>
      </c>
      <c r="V150" s="1" t="s">
        <v>50</v>
      </c>
      <c r="W150" s="1" t="s">
        <v>34</v>
      </c>
      <c r="X150" s="1" t="s">
        <v>363</v>
      </c>
      <c r="Y150" s="8" t="str">
        <f>IFERROR(VLOOKUP(A150,Sheet3!B:H,6,false),VLOOKUP(J150,Sheet2!A:C,2,false))</f>
        <v>https://assets.roomstogo.com/product/helix-kids-twin-mattress_50170047_image-item</v>
      </c>
      <c r="Z150" s="8" t="str">
        <f>IFERROR(VLOOKUP(A150,Sheet3!B:H,7,false),VLOOKUP(J150,Sheet2!A:C,3,false))</f>
        <v>https://assets.roomstogo.com/product/helix-kids-twin-mattress_50170047_alt-image-6</v>
      </c>
    </row>
    <row r="151">
      <c r="A151" s="4">
        <v>5.0370116E7</v>
      </c>
      <c r="B151" s="9">
        <v>1.0</v>
      </c>
      <c r="C151" s="9">
        <v>5.0</v>
      </c>
      <c r="D151" s="2" t="s">
        <v>230</v>
      </c>
      <c r="E151" s="2" t="s">
        <v>44</v>
      </c>
      <c r="F151" s="2" t="s">
        <v>231</v>
      </c>
      <c r="G151" s="9">
        <v>9006.0</v>
      </c>
      <c r="H151" s="9">
        <v>4.32</v>
      </c>
      <c r="I151" s="9">
        <v>9005.0</v>
      </c>
      <c r="J151" s="1" t="s">
        <v>232</v>
      </c>
      <c r="K151" s="1" t="s">
        <v>442</v>
      </c>
      <c r="L151" s="6">
        <v>1848.0</v>
      </c>
      <c r="M151" s="6">
        <v>2310.0</v>
      </c>
      <c r="N151" s="1" t="s">
        <v>234</v>
      </c>
      <c r="O151" s="7"/>
      <c r="P151" s="7"/>
      <c r="Q151" s="1" t="s">
        <v>31</v>
      </c>
      <c r="R151" s="1" t="s">
        <v>373</v>
      </c>
      <c r="S151" s="1" t="s">
        <v>59</v>
      </c>
      <c r="T151" s="1" t="s">
        <v>42</v>
      </c>
      <c r="U151" s="1" t="s">
        <v>35</v>
      </c>
      <c r="V151" s="1" t="s">
        <v>42</v>
      </c>
      <c r="W151" s="1" t="s">
        <v>34</v>
      </c>
      <c r="X151" s="1" t="s">
        <v>37</v>
      </c>
      <c r="Y151" s="8" t="str">
        <f>IFERROR(VLOOKUP(A151,Sheet3!B:H,6,false),VLOOKUP(J151,Sheet2!A:C,2,false))</f>
        <v>https://assets.roomstogo.com/product/helix-midnight-luxe-twin-xl-mattress_50070110_image-item</v>
      </c>
      <c r="Z151" s="8" t="str">
        <f>IFERROR(VLOOKUP(A151,Sheet3!B:H,7,false),VLOOKUP(J151,Sheet2!A:C,3,false))</f>
        <v>https://assets.roomstogo.com/product/helix-midnight-luxe-twin-xl-mattress_50070110_alt-image-1</v>
      </c>
    </row>
    <row r="152">
      <c r="A152" s="4">
        <v>5.0370128E7</v>
      </c>
      <c r="B152" s="9">
        <v>490.0</v>
      </c>
      <c r="C152" s="9">
        <v>4.23</v>
      </c>
      <c r="D152" s="2" t="s">
        <v>235</v>
      </c>
      <c r="E152" s="2" t="s">
        <v>44</v>
      </c>
      <c r="F152" s="2" t="s">
        <v>236</v>
      </c>
      <c r="G152" s="9">
        <v>501.0</v>
      </c>
      <c r="H152" s="9">
        <v>4.22</v>
      </c>
      <c r="I152" s="9">
        <v>11.0</v>
      </c>
      <c r="J152" s="1" t="s">
        <v>237</v>
      </c>
      <c r="K152" s="1" t="s">
        <v>443</v>
      </c>
      <c r="L152" s="6">
        <v>2649.0</v>
      </c>
      <c r="M152" s="6">
        <v>3311.25</v>
      </c>
      <c r="N152" s="1" t="s">
        <v>234</v>
      </c>
      <c r="O152" s="7"/>
      <c r="P152" s="7"/>
      <c r="Q152" s="1" t="s">
        <v>31</v>
      </c>
      <c r="R152" s="1" t="s">
        <v>373</v>
      </c>
      <c r="S152" s="1" t="s">
        <v>59</v>
      </c>
      <c r="T152" s="1" t="s">
        <v>50</v>
      </c>
      <c r="U152" s="1" t="s">
        <v>35</v>
      </c>
      <c r="V152" s="1" t="s">
        <v>42</v>
      </c>
      <c r="W152" s="1" t="s">
        <v>42</v>
      </c>
      <c r="X152" s="1" t="s">
        <v>37</v>
      </c>
      <c r="Y152" s="8" t="str">
        <f>IFERROR(VLOOKUP(A152,Sheet3!B:H,6,false),VLOOKUP(J152,Sheet2!A:C,2,false))</f>
        <v>https://assets.roomstogo.com/product/helix-midnight-elite-twin-xl-mattress_50070122_image-item</v>
      </c>
      <c r="Z152" s="8" t="str">
        <f>IFERROR(VLOOKUP(A152,Sheet3!B:H,7,false),VLOOKUP(J152,Sheet2!A:C,3,false))</f>
        <v>https://assets.roomstogo.com/product/helix-midnight-elite-twin-xl-mattress_50070122_alt-image-1</v>
      </c>
    </row>
    <row r="153">
      <c r="A153" s="4">
        <v>5.0400488E7</v>
      </c>
      <c r="B153" s="9">
        <v>14.0</v>
      </c>
      <c r="C153" s="9">
        <v>4.79</v>
      </c>
      <c r="D153" s="2" t="s">
        <v>444</v>
      </c>
      <c r="E153" s="2" t="s">
        <v>445</v>
      </c>
      <c r="F153" s="2" t="s">
        <v>446</v>
      </c>
      <c r="G153" s="9">
        <v>14.0</v>
      </c>
      <c r="H153" s="9">
        <v>4.79</v>
      </c>
      <c r="I153" s="9">
        <v>0.0</v>
      </c>
      <c r="J153" s="1" t="s">
        <v>447</v>
      </c>
      <c r="K153" s="1" t="s">
        <v>448</v>
      </c>
      <c r="L153" s="6">
        <v>699.0</v>
      </c>
      <c r="M153" s="6">
        <v>799.0</v>
      </c>
      <c r="N153" s="1" t="s">
        <v>449</v>
      </c>
      <c r="O153" s="7"/>
      <c r="P153" s="1" t="s">
        <v>450</v>
      </c>
      <c r="Q153" s="1" t="s">
        <v>31</v>
      </c>
      <c r="R153" s="1" t="s">
        <v>373</v>
      </c>
      <c r="S153" s="7"/>
      <c r="T153" s="7"/>
      <c r="U153" s="7"/>
      <c r="V153" s="7"/>
      <c r="W153" s="7"/>
      <c r="X153" s="7"/>
      <c r="Y153" s="11" t="str">
        <f>IFERROR(VLOOKUP(A153,Sheet3!B:H,6,false),VLOOKUP(J153,Sheet2!A:C,2,false))</f>
        <v>#N/A</v>
      </c>
      <c r="Z153" s="11" t="str">
        <f>IFERROR(VLOOKUP(A153,Sheet3!B:H,7,false),VLOOKUP(J153,Sheet2!A:C,3,false))</f>
        <v>#N/A</v>
      </c>
    </row>
    <row r="154">
      <c r="A154" s="4">
        <v>5.0400515E7</v>
      </c>
      <c r="B154" s="9">
        <v>1.0</v>
      </c>
      <c r="C154" s="9">
        <v>5.0</v>
      </c>
      <c r="D154" s="2" t="s">
        <v>451</v>
      </c>
      <c r="E154" s="2" t="s">
        <v>445</v>
      </c>
      <c r="F154" s="2" t="s">
        <v>452</v>
      </c>
      <c r="G154" s="9">
        <v>1.0</v>
      </c>
      <c r="H154" s="9">
        <v>5.0</v>
      </c>
      <c r="I154" s="9">
        <v>0.0</v>
      </c>
      <c r="J154" s="1" t="s">
        <v>453</v>
      </c>
      <c r="K154" s="1" t="s">
        <v>454</v>
      </c>
      <c r="L154" s="6">
        <v>1499.0</v>
      </c>
      <c r="M154" s="6">
        <v>1699.0</v>
      </c>
      <c r="N154" s="1" t="s">
        <v>449</v>
      </c>
      <c r="O154" s="7"/>
      <c r="P154" s="1" t="s">
        <v>455</v>
      </c>
      <c r="Q154" s="1" t="s">
        <v>31</v>
      </c>
      <c r="R154" s="1" t="s">
        <v>373</v>
      </c>
      <c r="S154" s="7"/>
      <c r="T154" s="7"/>
      <c r="U154" s="7"/>
      <c r="V154" s="7"/>
      <c r="W154" s="7"/>
      <c r="X154" s="7"/>
      <c r="Y154" s="11" t="str">
        <f>IFERROR(VLOOKUP(A154,Sheet3!B:H,6,false),VLOOKUP(J154,Sheet2!A:C,2,false))</f>
        <v>#N/A</v>
      </c>
      <c r="Z154" s="11" t="str">
        <f>IFERROR(VLOOKUP(A154,Sheet3!B:H,7,false),VLOOKUP(J154,Sheet2!A:C,3,false))</f>
        <v>#N/A</v>
      </c>
    </row>
    <row r="155">
      <c r="A155" s="4">
        <v>5.0408167E7</v>
      </c>
      <c r="B155" s="9">
        <v>711.0</v>
      </c>
      <c r="C155" s="9">
        <v>4.59</v>
      </c>
      <c r="D155" s="2" t="s">
        <v>456</v>
      </c>
      <c r="E155" s="2" t="s">
        <v>445</v>
      </c>
      <c r="F155" s="2" t="s">
        <v>457</v>
      </c>
      <c r="G155" s="9">
        <v>1.0</v>
      </c>
      <c r="H155" s="9">
        <v>5.0</v>
      </c>
      <c r="I155" s="9">
        <v>-710.0</v>
      </c>
      <c r="J155" s="1" t="s">
        <v>458</v>
      </c>
      <c r="K155" s="1" t="s">
        <v>459</v>
      </c>
      <c r="L155" s="6">
        <v>1699.0</v>
      </c>
      <c r="M155" s="6">
        <v>1699.0</v>
      </c>
      <c r="N155" s="1" t="s">
        <v>64</v>
      </c>
      <c r="O155" s="7"/>
      <c r="P155" s="1" t="s">
        <v>460</v>
      </c>
      <c r="Q155" s="1" t="s">
        <v>31</v>
      </c>
      <c r="R155" s="1" t="s">
        <v>373</v>
      </c>
      <c r="S155" s="7"/>
      <c r="T155" s="7"/>
      <c r="U155" s="7"/>
      <c r="V155" s="7"/>
      <c r="W155" s="7"/>
      <c r="X155" s="7"/>
      <c r="Y155" s="11" t="str">
        <f>IFERROR(VLOOKUP(A155,Sheet3!B:H,6,false),VLOOKUP(J155,Sheet2!A:C,2,false))</f>
        <v>#N/A</v>
      </c>
      <c r="Z155" s="11" t="str">
        <f>IFERROR(VLOOKUP(A155,Sheet3!B:H,7,false),VLOOKUP(J155,Sheet2!A:C,3,false))</f>
        <v>#N/A</v>
      </c>
    </row>
    <row r="156">
      <c r="A156" s="4">
        <v>5.0408181E7</v>
      </c>
      <c r="B156" s="9">
        <v>405.0</v>
      </c>
      <c r="C156" s="9">
        <v>4.6</v>
      </c>
      <c r="D156" s="2" t="s">
        <v>461</v>
      </c>
      <c r="E156" s="2" t="s">
        <v>445</v>
      </c>
      <c r="F156" s="2" t="s">
        <v>462</v>
      </c>
      <c r="G156" s="9">
        <v>405.0</v>
      </c>
      <c r="H156" s="9">
        <v>4.6</v>
      </c>
      <c r="I156" s="9">
        <v>0.0</v>
      </c>
      <c r="J156" s="1" t="s">
        <v>463</v>
      </c>
      <c r="K156" s="1" t="s">
        <v>464</v>
      </c>
      <c r="L156" s="6">
        <v>2199.0</v>
      </c>
      <c r="M156" s="6">
        <v>2199.0</v>
      </c>
      <c r="N156" s="1" t="s">
        <v>64</v>
      </c>
      <c r="O156" s="7"/>
      <c r="P156" s="1" t="s">
        <v>465</v>
      </c>
      <c r="Q156" s="1" t="s">
        <v>31</v>
      </c>
      <c r="R156" s="1" t="s">
        <v>373</v>
      </c>
      <c r="S156" s="7"/>
      <c r="T156" s="7"/>
      <c r="U156" s="7"/>
      <c r="V156" s="7"/>
      <c r="W156" s="7"/>
      <c r="X156" s="7"/>
      <c r="Y156" s="11" t="str">
        <f>IFERROR(VLOOKUP(A156,Sheet3!B:H,6,false),VLOOKUP(J156,Sheet2!A:C,2,false))</f>
        <v>#N/A</v>
      </c>
      <c r="Z156" s="11" t="str">
        <f>IFERROR(VLOOKUP(A156,Sheet3!B:H,7,false),VLOOKUP(J156,Sheet2!A:C,3,false))</f>
        <v>#N/A</v>
      </c>
    </row>
    <row r="157">
      <c r="A157" s="4">
        <v>5.0418601E7</v>
      </c>
      <c r="B157" s="9">
        <v>11.0</v>
      </c>
      <c r="C157" s="9">
        <v>4.45</v>
      </c>
      <c r="D157" s="2" t="s">
        <v>466</v>
      </c>
      <c r="E157" s="2" t="s">
        <v>445</v>
      </c>
      <c r="F157" s="2" t="s">
        <v>368</v>
      </c>
      <c r="G157" s="9">
        <v>11.0</v>
      </c>
      <c r="H157" s="9">
        <v>4.45</v>
      </c>
      <c r="I157" s="9">
        <v>0.0</v>
      </c>
      <c r="J157" s="1" t="s">
        <v>369</v>
      </c>
      <c r="K157" s="1" t="s">
        <v>467</v>
      </c>
      <c r="L157" s="6">
        <v>999.0</v>
      </c>
      <c r="M157" s="6">
        <v>999.0</v>
      </c>
      <c r="N157" s="1" t="s">
        <v>468</v>
      </c>
      <c r="O157" s="7"/>
      <c r="P157" s="1" t="s">
        <v>371</v>
      </c>
      <c r="Q157" s="1" t="s">
        <v>31</v>
      </c>
      <c r="R157" s="1" t="s">
        <v>373</v>
      </c>
      <c r="S157" s="7"/>
      <c r="T157" s="7"/>
      <c r="U157" s="7"/>
      <c r="V157" s="7"/>
      <c r="W157" s="7"/>
      <c r="X157" s="7"/>
      <c r="Y157" s="11" t="str">
        <f>IFERROR(VLOOKUP(A157,Sheet3!B:H,6,false),VLOOKUP(J157,Sheet2!A:C,2,false))</f>
        <v>#N/A</v>
      </c>
      <c r="Z157" s="11" t="str">
        <f>IFERROR(VLOOKUP(A157,Sheet3!B:H,7,false),VLOOKUP(J157,Sheet2!A:C,3,false))</f>
        <v>#N/A</v>
      </c>
    </row>
    <row r="158">
      <c r="A158" s="4">
        <v>5.0500543E7</v>
      </c>
      <c r="B158" s="9">
        <v>2.0</v>
      </c>
      <c r="C158" s="9">
        <v>5.0</v>
      </c>
      <c r="D158" s="2" t="s">
        <v>239</v>
      </c>
      <c r="E158" s="2" t="s">
        <v>44</v>
      </c>
      <c r="F158" s="2" t="s">
        <v>240</v>
      </c>
      <c r="G158" s="9">
        <v>81.0</v>
      </c>
      <c r="H158" s="9">
        <v>4.23</v>
      </c>
      <c r="I158" s="9">
        <v>79.0</v>
      </c>
      <c r="J158" s="1" t="s">
        <v>28</v>
      </c>
      <c r="K158" s="1" t="s">
        <v>469</v>
      </c>
      <c r="L158" s="6">
        <v>999.0</v>
      </c>
      <c r="M158" s="6">
        <v>1249.0</v>
      </c>
      <c r="N158" s="1" t="s">
        <v>30</v>
      </c>
      <c r="O158" s="7"/>
      <c r="P158" s="7"/>
      <c r="Q158" s="1" t="s">
        <v>31</v>
      </c>
      <c r="R158" s="1" t="s">
        <v>470</v>
      </c>
      <c r="S158" s="1" t="s">
        <v>33</v>
      </c>
      <c r="T158" s="1" t="s">
        <v>34</v>
      </c>
      <c r="U158" s="1" t="s">
        <v>35</v>
      </c>
      <c r="V158" s="1" t="s">
        <v>34</v>
      </c>
      <c r="W158" s="1" t="s">
        <v>36</v>
      </c>
      <c r="X158" s="1" t="s">
        <v>37</v>
      </c>
      <c r="Y158" s="8" t="str">
        <f>IFERROR(VLOOKUP(A158,Sheet3!B:H,6,false),VLOOKUP(J158,Sheet2!A:C,2,false))</f>
        <v>https://assets.roomstogo.com/product/casper-cloud-one-twin-xl-mattress_50000543_image-item</v>
      </c>
      <c r="Z158" s="8" t="str">
        <f>IFERROR(VLOOKUP(A158,Sheet3!B:H,7,false),VLOOKUP(J158,Sheet2!A:C,3,false))</f>
        <v>https://assets.roomstogo.com/product/casper-cloud-one-twin-xl-mattress_50000543_alt-image-1</v>
      </c>
    </row>
    <row r="159">
      <c r="A159" s="4">
        <v>5.0500579E7</v>
      </c>
      <c r="B159" s="9">
        <v>789.0</v>
      </c>
      <c r="C159" s="9">
        <v>4.47</v>
      </c>
      <c r="D159" s="2" t="s">
        <v>471</v>
      </c>
      <c r="E159" s="2" t="s">
        <v>44</v>
      </c>
      <c r="F159" s="2" t="s">
        <v>472</v>
      </c>
      <c r="G159" s="9">
        <v>807.0</v>
      </c>
      <c r="H159" s="9">
        <v>4.46</v>
      </c>
      <c r="I159" s="9">
        <v>18.0</v>
      </c>
      <c r="J159" s="1" t="s">
        <v>38</v>
      </c>
      <c r="K159" s="1" t="s">
        <v>473</v>
      </c>
      <c r="L159" s="6">
        <v>2075.0</v>
      </c>
      <c r="M159" s="6">
        <v>2595.0</v>
      </c>
      <c r="N159" s="1" t="s">
        <v>30</v>
      </c>
      <c r="O159" s="7"/>
      <c r="P159" s="1" t="s">
        <v>40</v>
      </c>
      <c r="Q159" s="1" t="s">
        <v>31</v>
      </c>
      <c r="R159" s="1" t="s">
        <v>470</v>
      </c>
      <c r="S159" s="1" t="s">
        <v>41</v>
      </c>
      <c r="T159" s="1" t="s">
        <v>34</v>
      </c>
      <c r="U159" s="1" t="s">
        <v>35</v>
      </c>
      <c r="V159" s="1" t="s">
        <v>34</v>
      </c>
      <c r="W159" s="1" t="s">
        <v>42</v>
      </c>
      <c r="X159" s="1" t="s">
        <v>37</v>
      </c>
      <c r="Y159" s="8" t="str">
        <f>IFERROR(VLOOKUP(A159,Sheet3!B:H,6,false),VLOOKUP(J159,Sheet2!A:C,2,false))</f>
        <v>https://assets.roomstogo.com/product/casper-snow-20-twin-xl-mattress_50000579_image-item</v>
      </c>
      <c r="Z159" s="8" t="str">
        <f>IFERROR(VLOOKUP(A159,Sheet3!B:H,7,false),VLOOKUP(J159,Sheet2!A:C,3,false))</f>
        <v>https://assets.roomstogo.com/product/casper-snow-20-twin-xl-mattress_50000579_alt-image-1</v>
      </c>
    </row>
    <row r="160">
      <c r="A160" s="4">
        <v>5.0500581E7</v>
      </c>
      <c r="B160" s="9">
        <v>375.0</v>
      </c>
      <c r="C160" s="9">
        <v>4.41</v>
      </c>
      <c r="D160" s="2" t="s">
        <v>43</v>
      </c>
      <c r="E160" s="2" t="s">
        <v>44</v>
      </c>
      <c r="F160" s="2" t="s">
        <v>45</v>
      </c>
      <c r="G160" s="9">
        <v>380.0</v>
      </c>
      <c r="H160" s="9">
        <v>4.42</v>
      </c>
      <c r="I160" s="9">
        <v>5.0</v>
      </c>
      <c r="J160" s="1" t="s">
        <v>46</v>
      </c>
      <c r="K160" s="1" t="s">
        <v>474</v>
      </c>
      <c r="L160" s="6">
        <v>3195.0</v>
      </c>
      <c r="M160" s="6">
        <v>3995.0</v>
      </c>
      <c r="N160" s="1" t="s">
        <v>30</v>
      </c>
      <c r="O160" s="7"/>
      <c r="P160" s="1" t="s">
        <v>48</v>
      </c>
      <c r="Q160" s="1" t="s">
        <v>31</v>
      </c>
      <c r="R160" s="1" t="s">
        <v>470</v>
      </c>
      <c r="S160" s="1" t="s">
        <v>41</v>
      </c>
      <c r="T160" s="1" t="s">
        <v>42</v>
      </c>
      <c r="U160" s="1" t="s">
        <v>49</v>
      </c>
      <c r="V160" s="1" t="s">
        <v>34</v>
      </c>
      <c r="W160" s="1" t="s">
        <v>50</v>
      </c>
      <c r="X160" s="1" t="s">
        <v>51</v>
      </c>
      <c r="Y160" s="8" t="str">
        <f>IFERROR(VLOOKUP(A160,Sheet3!B:H,6,false),VLOOKUP(J160,Sheet2!A:C,2,false))</f>
        <v>https://assets.roomstogo.com/product/casper-snow-max-twin-xl-mattress_50000581_image-item</v>
      </c>
      <c r="Z160" s="8" t="str">
        <f>IFERROR(VLOOKUP(A160,Sheet3!B:H,7,false),VLOOKUP(J160,Sheet2!A:C,3,false))</f>
        <v>https://assets.roomstogo.com/product/casper-snow-max-twin-xl-mattress_50000581_alt-image-1</v>
      </c>
    </row>
    <row r="161">
      <c r="A161" s="4">
        <v>5.0500682E7</v>
      </c>
      <c r="B161" s="9">
        <v>2.0</v>
      </c>
      <c r="C161" s="9">
        <v>5.0</v>
      </c>
      <c r="D161" s="2" t="s">
        <v>377</v>
      </c>
      <c r="E161" s="2" t="s">
        <v>44</v>
      </c>
      <c r="F161" s="2" t="s">
        <v>378</v>
      </c>
      <c r="G161" s="9">
        <v>6.0</v>
      </c>
      <c r="H161" s="9">
        <v>3.67</v>
      </c>
      <c r="I161" s="9">
        <v>4.0</v>
      </c>
      <c r="J161" s="1" t="s">
        <v>52</v>
      </c>
      <c r="K161" s="1" t="s">
        <v>475</v>
      </c>
      <c r="L161" s="6">
        <v>799.0</v>
      </c>
      <c r="M161" s="6">
        <v>899.0</v>
      </c>
      <c r="N161" s="1" t="s">
        <v>30</v>
      </c>
      <c r="O161" s="1" t="s">
        <v>54</v>
      </c>
      <c r="P161" s="1" t="s">
        <v>244</v>
      </c>
      <c r="Q161" s="1" t="s">
        <v>31</v>
      </c>
      <c r="R161" s="1" t="s">
        <v>470</v>
      </c>
      <c r="S161" s="1" t="s">
        <v>33</v>
      </c>
      <c r="T161" s="1" t="s">
        <v>36</v>
      </c>
      <c r="U161" s="1" t="s">
        <v>35</v>
      </c>
      <c r="V161" s="1" t="s">
        <v>36</v>
      </c>
      <c r="W161" s="1" t="s">
        <v>36</v>
      </c>
      <c r="X161" s="1" t="s">
        <v>37</v>
      </c>
      <c r="Y161" s="8" t="str">
        <f>IFERROR(VLOOKUP(A161,Sheet3!B:H,6,false),VLOOKUP(J161,Sheet2!A:C,2,false))</f>
        <v>https://assets.roomstogo.com/product/casper-onyx-20-twin-xl-mattress_50000682_image-item</v>
      </c>
      <c r="Z161" s="8" t="str">
        <f>IFERROR(VLOOKUP(A161,Sheet3!B:H,7,false),VLOOKUP(J161,Sheet2!A:C,3,false))</f>
        <v>https://assets.roomstogo.com/product/casper-onyx-20-twin-xl-mattress_50000682_alt-image-1</v>
      </c>
    </row>
    <row r="162">
      <c r="A162" s="4">
        <v>5.0501773E7</v>
      </c>
      <c r="B162" s="5"/>
      <c r="C162" s="5"/>
      <c r="D162" s="5"/>
      <c r="E162" s="5"/>
      <c r="F162" s="5"/>
      <c r="G162" s="5"/>
      <c r="H162" s="5"/>
      <c r="I162" s="5"/>
      <c r="J162" s="1" t="s">
        <v>56</v>
      </c>
      <c r="K162" s="1" t="s">
        <v>476</v>
      </c>
      <c r="L162" s="6">
        <v>1277.0</v>
      </c>
      <c r="M162" s="6">
        <v>3699.0</v>
      </c>
      <c r="N162" s="1" t="s">
        <v>58</v>
      </c>
      <c r="O162" s="7"/>
      <c r="P162" s="7"/>
      <c r="Q162" s="7"/>
      <c r="R162" s="1" t="s">
        <v>470</v>
      </c>
      <c r="S162" s="1" t="s">
        <v>59</v>
      </c>
      <c r="T162" s="1" t="s">
        <v>42</v>
      </c>
      <c r="U162" s="1" t="s">
        <v>35</v>
      </c>
      <c r="V162" s="1" t="s">
        <v>42</v>
      </c>
      <c r="W162" s="1" t="s">
        <v>34</v>
      </c>
      <c r="X162" s="1" t="s">
        <v>37</v>
      </c>
      <c r="Y162" s="8" t="str">
        <f>IFERROR(VLOOKUP(A162,Sheet3!B:H,6,false),VLOOKUP(J162,Sheet2!A:C,2,false))</f>
        <v>https://assets.roomstogo.com/product/kingsdown-smart-match-20-twin-xl-mattress_50001773_image-item</v>
      </c>
      <c r="Z162" s="8" t="str">
        <f>IFERROR(VLOOKUP(A162,Sheet3!B:H,7,false),VLOOKUP(J162,Sheet2!A:C,3,false))</f>
        <v>https://assets.roomstogo.com/product/kingsdown-smart-match-20-twin-xl-mattress_50001773_alt-image-1</v>
      </c>
    </row>
    <row r="163">
      <c r="A163" s="4">
        <v>5.050746E7</v>
      </c>
      <c r="B163" s="9">
        <v>2.0</v>
      </c>
      <c r="C163" s="9">
        <v>1.0</v>
      </c>
      <c r="D163" s="2" t="s">
        <v>60</v>
      </c>
      <c r="E163" s="2" t="s">
        <v>44</v>
      </c>
      <c r="F163" s="2" t="s">
        <v>61</v>
      </c>
      <c r="G163" s="9">
        <v>346.0</v>
      </c>
      <c r="H163" s="9">
        <v>4.43</v>
      </c>
      <c r="I163" s="9">
        <v>344.0</v>
      </c>
      <c r="J163" s="1" t="s">
        <v>62</v>
      </c>
      <c r="K163" s="1" t="s">
        <v>477</v>
      </c>
      <c r="L163" s="6">
        <v>2199.0</v>
      </c>
      <c r="M163" s="6">
        <v>2199.0</v>
      </c>
      <c r="N163" s="1" t="s">
        <v>64</v>
      </c>
      <c r="O163" s="7"/>
      <c r="P163" s="1" t="s">
        <v>65</v>
      </c>
      <c r="Q163" s="1" t="s">
        <v>31</v>
      </c>
      <c r="R163" s="1" t="s">
        <v>470</v>
      </c>
      <c r="S163" s="1" t="s">
        <v>33</v>
      </c>
      <c r="T163" s="1" t="s">
        <v>42</v>
      </c>
      <c r="U163" s="1" t="s">
        <v>35</v>
      </c>
      <c r="V163" s="1" t="s">
        <v>42</v>
      </c>
      <c r="W163" s="1" t="s">
        <v>42</v>
      </c>
      <c r="X163" s="1" t="s">
        <v>37</v>
      </c>
      <c r="Y163" s="8" t="str">
        <f>IFERROR(VLOOKUP(A163,Sheet3!B:H,6,false),VLOOKUP(J163,Sheet2!A:C,2,false))</f>
        <v>https://assets.roomstogo.com/product/tempur-pedic-adapt-20-medium-twin-xl-mattress_50007460_image-item</v>
      </c>
      <c r="Z163" s="8" t="str">
        <f>IFERROR(VLOOKUP(A163,Sheet3!B:H,7,false),VLOOKUP(J163,Sheet2!A:C,3,false))</f>
        <v>https://assets.roomstogo.com/product/tempur-pedic-adapt-20-medium-twin-xl-mattress_50007460_alt-image-1</v>
      </c>
    </row>
    <row r="164">
      <c r="A164" s="4">
        <v>5.0507472E7</v>
      </c>
      <c r="B164" s="9">
        <v>7.0</v>
      </c>
      <c r="C164" s="9">
        <v>4.0</v>
      </c>
      <c r="D164" s="2" t="s">
        <v>66</v>
      </c>
      <c r="E164" s="2" t="s">
        <v>44</v>
      </c>
      <c r="F164" s="2" t="s">
        <v>67</v>
      </c>
      <c r="G164" s="9">
        <v>2587.0</v>
      </c>
      <c r="H164" s="9">
        <v>4.2</v>
      </c>
      <c r="I164" s="9">
        <v>2580.0</v>
      </c>
      <c r="J164" s="1" t="s">
        <v>68</v>
      </c>
      <c r="K164" s="1" t="s">
        <v>478</v>
      </c>
      <c r="L164" s="6">
        <v>2499.0</v>
      </c>
      <c r="M164" s="6">
        <v>2499.0</v>
      </c>
      <c r="N164" s="1" t="s">
        <v>64</v>
      </c>
      <c r="O164" s="7"/>
      <c r="P164" s="1" t="s">
        <v>70</v>
      </c>
      <c r="Q164" s="1" t="s">
        <v>31</v>
      </c>
      <c r="R164" s="1" t="s">
        <v>470</v>
      </c>
      <c r="S164" s="1" t="s">
        <v>41</v>
      </c>
      <c r="T164" s="1" t="s">
        <v>42</v>
      </c>
      <c r="U164" s="1" t="s">
        <v>35</v>
      </c>
      <c r="V164" s="1" t="s">
        <v>42</v>
      </c>
      <c r="W164" s="1" t="s">
        <v>42</v>
      </c>
      <c r="X164" s="1" t="s">
        <v>37</v>
      </c>
      <c r="Y164" s="8" t="str">
        <f>IFERROR(VLOOKUP(A164,Sheet3!B:H,6,false),VLOOKUP(J164,Sheet2!A:C,2,false))</f>
        <v>https://assets.roomstogo.com/product/tempur-pedic-adapt-20-medium-hybrid-twin-xl-mattress_50007472_image-item</v>
      </c>
      <c r="Z164" s="8" t="str">
        <f>IFERROR(VLOOKUP(A164,Sheet3!B:H,7,false),VLOOKUP(J164,Sheet2!A:C,3,false))</f>
        <v>https://assets.roomstogo.com/product/tempur-pedic-adapt-20-medium-hybrid-twin-xl-mattress_50007472_alt-image-1</v>
      </c>
    </row>
    <row r="165">
      <c r="A165" s="4">
        <v>5.0507484E7</v>
      </c>
      <c r="B165" s="9">
        <v>4.0</v>
      </c>
      <c r="C165" s="9">
        <v>5.0</v>
      </c>
      <c r="D165" s="2" t="s">
        <v>71</v>
      </c>
      <c r="E165" s="2" t="s">
        <v>44</v>
      </c>
      <c r="F165" s="2" t="s">
        <v>72</v>
      </c>
      <c r="G165" s="9">
        <v>245.0</v>
      </c>
      <c r="H165" s="9">
        <v>4.62</v>
      </c>
      <c r="I165" s="9">
        <v>241.0</v>
      </c>
      <c r="J165" s="1" t="s">
        <v>73</v>
      </c>
      <c r="K165" s="1" t="s">
        <v>479</v>
      </c>
      <c r="L165" s="6">
        <v>3399.0</v>
      </c>
      <c r="M165" s="6">
        <v>3399.0</v>
      </c>
      <c r="N165" s="1" t="s">
        <v>64</v>
      </c>
      <c r="O165" s="7"/>
      <c r="P165" s="1" t="s">
        <v>75</v>
      </c>
      <c r="Q165" s="1" t="s">
        <v>31</v>
      </c>
      <c r="R165" s="1" t="s">
        <v>470</v>
      </c>
      <c r="S165" s="1" t="s">
        <v>33</v>
      </c>
      <c r="T165" s="1" t="s">
        <v>42</v>
      </c>
      <c r="U165" s="1" t="s">
        <v>76</v>
      </c>
      <c r="V165" s="1" t="s">
        <v>50</v>
      </c>
      <c r="W165" s="1" t="s">
        <v>42</v>
      </c>
      <c r="X165" s="1" t="s">
        <v>77</v>
      </c>
      <c r="Y165" s="8" t="str">
        <f>IFERROR(VLOOKUP(A165,Sheet3!B:H,6,false),VLOOKUP(J165,Sheet2!A:C,2,false))</f>
        <v>https://assets.roomstogo.com/product/tempur-pedic-proadapt-20-firm-twin-xl-mattress_50007484_image-item</v>
      </c>
      <c r="Z165" s="8" t="str">
        <f>IFERROR(VLOOKUP(A165,Sheet3!B:H,7,false),VLOOKUP(J165,Sheet2!A:C,3,false))</f>
        <v>https://assets.roomstogo.com/product/tempur-pedic-proadapt-20-firm-twin-xl-mattress_50007484_alt-image-1</v>
      </c>
    </row>
    <row r="166">
      <c r="A166" s="4">
        <v>5.0507511E7</v>
      </c>
      <c r="B166" s="9">
        <v>1.0</v>
      </c>
      <c r="C166" s="9">
        <v>4.0</v>
      </c>
      <c r="D166" s="2" t="s">
        <v>78</v>
      </c>
      <c r="E166" s="2" t="s">
        <v>44</v>
      </c>
      <c r="F166" s="2" t="s">
        <v>79</v>
      </c>
      <c r="G166" s="9">
        <v>306.0</v>
      </c>
      <c r="H166" s="9">
        <v>4.48</v>
      </c>
      <c r="I166" s="9">
        <v>305.0</v>
      </c>
      <c r="J166" s="1" t="s">
        <v>80</v>
      </c>
      <c r="K166" s="1" t="s">
        <v>480</v>
      </c>
      <c r="L166" s="6">
        <v>4399.0</v>
      </c>
      <c r="M166" s="6">
        <v>4399.0</v>
      </c>
      <c r="N166" s="1" t="s">
        <v>64</v>
      </c>
      <c r="O166" s="7"/>
      <c r="P166" s="1" t="s">
        <v>82</v>
      </c>
      <c r="Q166" s="1" t="s">
        <v>31</v>
      </c>
      <c r="R166" s="1" t="s">
        <v>470</v>
      </c>
      <c r="S166" s="1" t="s">
        <v>41</v>
      </c>
      <c r="T166" s="1" t="s">
        <v>42</v>
      </c>
      <c r="U166" s="1" t="s">
        <v>35</v>
      </c>
      <c r="V166" s="1" t="s">
        <v>50</v>
      </c>
      <c r="W166" s="1" t="s">
        <v>50</v>
      </c>
      <c r="X166" s="1" t="s">
        <v>37</v>
      </c>
      <c r="Y166" s="8" t="str">
        <f>IFERROR(VLOOKUP(A166,Sheet3!B:H,6,false),VLOOKUP(J166,Sheet2!A:C,2,false))</f>
        <v>https://assets.roomstogo.com/product/tempur-pedic-probreeze-20-medium-hybrid-twin-xl-mattress_50007511_image-item</v>
      </c>
      <c r="Z166" s="8" t="str">
        <f>IFERROR(VLOOKUP(A166,Sheet3!B:H,7,false),VLOOKUP(J166,Sheet2!A:C,3,false))</f>
        <v>https://assets.roomstogo.com/product/tempur-pedic-probreeze-20-medium-hybrid-twin-xl-mattress_50007511_image-item</v>
      </c>
    </row>
    <row r="167">
      <c r="A167" s="4">
        <v>5.0507523E7</v>
      </c>
      <c r="B167" s="9">
        <v>3.0</v>
      </c>
      <c r="C167" s="9">
        <v>4.67</v>
      </c>
      <c r="D167" s="2" t="s">
        <v>83</v>
      </c>
      <c r="E167" s="2" t="s">
        <v>44</v>
      </c>
      <c r="F167" s="2" t="s">
        <v>84</v>
      </c>
      <c r="G167" s="9">
        <v>5219.0</v>
      </c>
      <c r="H167" s="9">
        <v>4.27</v>
      </c>
      <c r="I167" s="9">
        <v>5216.0</v>
      </c>
      <c r="J167" s="1" t="s">
        <v>85</v>
      </c>
      <c r="K167" s="1" t="s">
        <v>481</v>
      </c>
      <c r="L167" s="6">
        <v>3399.0</v>
      </c>
      <c r="M167" s="6">
        <v>3399.0</v>
      </c>
      <c r="N167" s="1" t="s">
        <v>64</v>
      </c>
      <c r="O167" s="7"/>
      <c r="P167" s="1" t="s">
        <v>75</v>
      </c>
      <c r="Q167" s="1" t="s">
        <v>31</v>
      </c>
      <c r="R167" s="1" t="s">
        <v>470</v>
      </c>
      <c r="S167" s="1" t="s">
        <v>33</v>
      </c>
      <c r="T167" s="1" t="s">
        <v>42</v>
      </c>
      <c r="U167" s="1" t="s">
        <v>35</v>
      </c>
      <c r="V167" s="1" t="s">
        <v>50</v>
      </c>
      <c r="W167" s="1" t="s">
        <v>42</v>
      </c>
      <c r="X167" s="1" t="s">
        <v>37</v>
      </c>
      <c r="Y167" s="8" t="str">
        <f>IFERROR(VLOOKUP(A167,Sheet3!B:H,6,false),VLOOKUP(J167,Sheet2!A:C,2,false))</f>
        <v>https://assets.roomstogo.com/product/tempur-pedic-proadapt-20-medium-twin-xl-mattress_50007523_image-item</v>
      </c>
      <c r="Z167" s="8" t="str">
        <f>IFERROR(VLOOKUP(A167,Sheet3!B:H,7,false),VLOOKUP(J167,Sheet2!A:C,3,false))</f>
        <v>https://assets.roomstogo.com/product/tempur-pedic-proadapt-20-medium-twin-xl-mattress_50007523_alt-image-1</v>
      </c>
    </row>
    <row r="168">
      <c r="A168" s="4">
        <v>5.0507535E7</v>
      </c>
      <c r="B168" s="9">
        <v>3.0</v>
      </c>
      <c r="C168" s="9">
        <v>3.67</v>
      </c>
      <c r="D168" s="2" t="s">
        <v>87</v>
      </c>
      <c r="E168" s="2" t="s">
        <v>44</v>
      </c>
      <c r="F168" s="2" t="s">
        <v>88</v>
      </c>
      <c r="G168" s="9">
        <v>77.0</v>
      </c>
      <c r="H168" s="9">
        <v>4.19</v>
      </c>
      <c r="I168" s="9">
        <v>74.0</v>
      </c>
      <c r="J168" s="1" t="s">
        <v>89</v>
      </c>
      <c r="K168" s="1" t="s">
        <v>482</v>
      </c>
      <c r="L168" s="6">
        <v>3399.0</v>
      </c>
      <c r="M168" s="6">
        <v>3399.0</v>
      </c>
      <c r="N168" s="1" t="s">
        <v>64</v>
      </c>
      <c r="O168" s="7"/>
      <c r="P168" s="1" t="s">
        <v>91</v>
      </c>
      <c r="Q168" s="1" t="s">
        <v>31</v>
      </c>
      <c r="R168" s="1" t="s">
        <v>470</v>
      </c>
      <c r="S168" s="1" t="s">
        <v>33</v>
      </c>
      <c r="T168" s="1" t="s">
        <v>50</v>
      </c>
      <c r="U168" s="1" t="s">
        <v>49</v>
      </c>
      <c r="V168" s="1" t="s">
        <v>50</v>
      </c>
      <c r="W168" s="1" t="s">
        <v>42</v>
      </c>
      <c r="X168" s="1" t="s">
        <v>51</v>
      </c>
      <c r="Y168" s="8" t="str">
        <f>IFERROR(VLOOKUP(A168,Sheet3!B:H,6,false),VLOOKUP(J168,Sheet2!A:C,2,false))</f>
        <v>https://assets.roomstogo.com/product/tempur-pedic-proadapt-20-soft-twin-xl-mattress_50007535_image-item</v>
      </c>
      <c r="Z168" s="8" t="str">
        <f>IFERROR(VLOOKUP(A168,Sheet3!B:H,7,false),VLOOKUP(J168,Sheet2!A:C,3,false))</f>
        <v>https://assets.roomstogo.com/product/tempur-pedic-proadapt-20-soft-twin-xl-mattress_50007535_alt-image-1</v>
      </c>
    </row>
    <row r="169">
      <c r="A169" s="4">
        <v>5.0507559E7</v>
      </c>
      <c r="B169" s="9">
        <v>6.0</v>
      </c>
      <c r="C169" s="9">
        <v>3.0</v>
      </c>
      <c r="D169" s="2" t="s">
        <v>92</v>
      </c>
      <c r="E169" s="2" t="s">
        <v>44</v>
      </c>
      <c r="F169" s="2" t="s">
        <v>93</v>
      </c>
      <c r="G169" s="9">
        <v>975.0</v>
      </c>
      <c r="H169" s="9">
        <v>4.38</v>
      </c>
      <c r="I169" s="9">
        <v>969.0</v>
      </c>
      <c r="J169" s="1" t="s">
        <v>94</v>
      </c>
      <c r="K169" s="1" t="s">
        <v>483</v>
      </c>
      <c r="L169" s="6">
        <v>3399.0</v>
      </c>
      <c r="M169" s="6">
        <v>3399.0</v>
      </c>
      <c r="N169" s="1" t="s">
        <v>64</v>
      </c>
      <c r="O169" s="7"/>
      <c r="P169" s="1" t="s">
        <v>390</v>
      </c>
      <c r="Q169" s="1" t="s">
        <v>31</v>
      </c>
      <c r="R169" s="1" t="s">
        <v>470</v>
      </c>
      <c r="S169" s="1" t="s">
        <v>41</v>
      </c>
      <c r="T169" s="1" t="s">
        <v>42</v>
      </c>
      <c r="U169" s="1" t="s">
        <v>35</v>
      </c>
      <c r="V169" s="1" t="s">
        <v>50</v>
      </c>
      <c r="W169" s="1" t="s">
        <v>42</v>
      </c>
      <c r="X169" s="1" t="s">
        <v>37</v>
      </c>
      <c r="Y169" s="8" t="str">
        <f>IFERROR(VLOOKUP(A169,Sheet3!B:H,6,false),VLOOKUP(J169,Sheet2!A:C,2,false))</f>
        <v>https://assets.roomstogo.com/product/tempur-pedic-proadapt-20-medium-hybrid-twin-xl-mattress_50007559_image-item</v>
      </c>
      <c r="Z169" s="8" t="str">
        <f>IFERROR(VLOOKUP(A169,Sheet3!B:H,7,false),VLOOKUP(J169,Sheet2!A:C,3,false))</f>
        <v>https://assets.roomstogo.com/product/tempur-pedic-proadapt-20-medium-hybrid-twin-xl-mattress_50007559_alt-image-1</v>
      </c>
    </row>
    <row r="170">
      <c r="A170" s="4">
        <v>5.0507561E7</v>
      </c>
      <c r="B170" s="5"/>
      <c r="C170" s="5"/>
      <c r="D170" s="5"/>
      <c r="E170" s="5"/>
      <c r="F170" s="5"/>
      <c r="G170" s="5"/>
      <c r="H170" s="5"/>
      <c r="I170" s="5"/>
      <c r="J170" s="1" t="s">
        <v>99</v>
      </c>
      <c r="K170" s="1" t="s">
        <v>484</v>
      </c>
      <c r="L170" s="6">
        <v>4699.0</v>
      </c>
      <c r="M170" s="6">
        <v>4699.0</v>
      </c>
      <c r="N170" s="1" t="s">
        <v>64</v>
      </c>
      <c r="O170" s="7"/>
      <c r="P170" s="1" t="s">
        <v>101</v>
      </c>
      <c r="Q170" s="1" t="s">
        <v>31</v>
      </c>
      <c r="R170" s="1" t="s">
        <v>470</v>
      </c>
      <c r="S170" s="1" t="s">
        <v>33</v>
      </c>
      <c r="T170" s="1" t="s">
        <v>50</v>
      </c>
      <c r="U170" s="1" t="s">
        <v>49</v>
      </c>
      <c r="V170" s="1" t="s">
        <v>50</v>
      </c>
      <c r="W170" s="1" t="s">
        <v>42</v>
      </c>
      <c r="X170" s="1" t="s">
        <v>51</v>
      </c>
      <c r="Y170" s="8" t="str">
        <f>IFERROR(VLOOKUP(A170,Sheet3!B:H,6,false),VLOOKUP(J170,Sheet2!A:C,2,false))</f>
        <v>https://assets.roomstogo.com/product/tempur-pedic-luxeadapt-20-soft-twin-xl-mattress_50007561_image-item</v>
      </c>
      <c r="Z170" s="8" t="str">
        <f>IFERROR(VLOOKUP(A170,Sheet3!B:H,7,false),VLOOKUP(J170,Sheet2!A:C,3,false))</f>
        <v>https://assets.roomstogo.com/product/tempur-pedic-luxeadapt-20-soft-twin-xl-mattress_50007561_alt-image-1</v>
      </c>
    </row>
    <row r="171">
      <c r="A171" s="4">
        <v>5.0507585E7</v>
      </c>
      <c r="B171" s="9">
        <v>3.0</v>
      </c>
      <c r="C171" s="9">
        <v>5.0</v>
      </c>
      <c r="D171" s="2" t="s">
        <v>102</v>
      </c>
      <c r="E171" s="2" t="s">
        <v>44</v>
      </c>
      <c r="F171" s="2" t="s">
        <v>103</v>
      </c>
      <c r="G171" s="9">
        <v>129.0</v>
      </c>
      <c r="H171" s="9">
        <v>4.62</v>
      </c>
      <c r="I171" s="9">
        <v>126.0</v>
      </c>
      <c r="J171" s="1" t="s">
        <v>104</v>
      </c>
      <c r="K171" s="1" t="s">
        <v>485</v>
      </c>
      <c r="L171" s="6">
        <v>4699.0</v>
      </c>
      <c r="M171" s="6">
        <v>4699.0</v>
      </c>
      <c r="N171" s="1" t="s">
        <v>64</v>
      </c>
      <c r="O171" s="7"/>
      <c r="P171" s="1" t="s">
        <v>106</v>
      </c>
      <c r="Q171" s="1" t="s">
        <v>31</v>
      </c>
      <c r="R171" s="1" t="s">
        <v>470</v>
      </c>
      <c r="S171" s="1" t="s">
        <v>41</v>
      </c>
      <c r="T171" s="1" t="s">
        <v>50</v>
      </c>
      <c r="U171" s="1" t="s">
        <v>35</v>
      </c>
      <c r="V171" s="1" t="s">
        <v>50</v>
      </c>
      <c r="W171" s="1" t="s">
        <v>42</v>
      </c>
      <c r="X171" s="1" t="s">
        <v>37</v>
      </c>
      <c r="Y171" s="8" t="str">
        <f>IFERROR(VLOOKUP(A171,Sheet3!B:H,6,false),VLOOKUP(J171,Sheet2!A:C,2,false))</f>
        <v>https://assets.roomstogo.com/product/tempur-pedic-luxeadapt-20-medium-hybrid-twin-xl-mattress_50007585_image-item</v>
      </c>
      <c r="Z171" s="8" t="str">
        <f>IFERROR(VLOOKUP(A171,Sheet3!B:H,7,false),VLOOKUP(J171,Sheet2!A:C,3,false))</f>
        <v>https://assets.roomstogo.com/product/tempur-pedic-luxeadapt-20-medium-hybrid-twin-xl-mattress_50007585_alt-image-1</v>
      </c>
    </row>
    <row r="172">
      <c r="A172" s="4">
        <v>5.0507624E7</v>
      </c>
      <c r="B172" s="9">
        <v>2.0</v>
      </c>
      <c r="C172" s="9">
        <v>5.0</v>
      </c>
      <c r="D172" s="2" t="s">
        <v>107</v>
      </c>
      <c r="E172" s="2" t="s">
        <v>44</v>
      </c>
      <c r="F172" s="2" t="s">
        <v>108</v>
      </c>
      <c r="G172" s="9">
        <v>440.0</v>
      </c>
      <c r="H172" s="9">
        <v>4.54</v>
      </c>
      <c r="I172" s="9">
        <v>438.0</v>
      </c>
      <c r="J172" s="1" t="s">
        <v>109</v>
      </c>
      <c r="K172" s="1" t="s">
        <v>486</v>
      </c>
      <c r="L172" s="6">
        <v>5699.0</v>
      </c>
      <c r="M172" s="6">
        <v>5699.0</v>
      </c>
      <c r="N172" s="1" t="s">
        <v>64</v>
      </c>
      <c r="O172" s="7"/>
      <c r="P172" s="1" t="s">
        <v>111</v>
      </c>
      <c r="Q172" s="1" t="s">
        <v>31</v>
      </c>
      <c r="R172" s="1" t="s">
        <v>470</v>
      </c>
      <c r="S172" s="1" t="s">
        <v>33</v>
      </c>
      <c r="T172" s="1" t="s">
        <v>50</v>
      </c>
      <c r="U172" s="1" t="s">
        <v>76</v>
      </c>
      <c r="V172" s="1" t="s">
        <v>50</v>
      </c>
      <c r="W172" s="1" t="s">
        <v>50</v>
      </c>
      <c r="X172" s="1" t="s">
        <v>77</v>
      </c>
      <c r="Y172" s="8" t="str">
        <f>IFERROR(VLOOKUP(A172,Sheet3!B:H,6,false),VLOOKUP(J172,Sheet2!A:C,2,false))</f>
        <v>https://assets.roomstogo.com/product/tempur-pedic-luxebreeze-20-firm-twin-xl-mattress_50007624_image-item</v>
      </c>
      <c r="Z172" s="8" t="str">
        <f>IFERROR(VLOOKUP(A172,Sheet3!B:H,7,false),VLOOKUP(J172,Sheet2!A:C,3,false))</f>
        <v>https://assets.roomstogo.com/product/tempur-pedic-luxebreeze-20-firm-twin-xl-mattress_50007624_image-item</v>
      </c>
    </row>
    <row r="173">
      <c r="A173" s="4">
        <v>5.050987E7</v>
      </c>
      <c r="B173" s="9">
        <v>5.0</v>
      </c>
      <c r="C173" s="9">
        <v>4.8</v>
      </c>
      <c r="D173" s="2" t="s">
        <v>391</v>
      </c>
      <c r="E173" s="2" t="s">
        <v>44</v>
      </c>
      <c r="F173" s="2" t="s">
        <v>392</v>
      </c>
      <c r="G173" s="9">
        <v>10.0</v>
      </c>
      <c r="H173" s="9">
        <v>4.0</v>
      </c>
      <c r="I173" s="9">
        <v>5.0</v>
      </c>
      <c r="J173" s="1" t="s">
        <v>112</v>
      </c>
      <c r="K173" s="1" t="s">
        <v>487</v>
      </c>
      <c r="L173" s="6">
        <v>997.0</v>
      </c>
      <c r="M173" s="6">
        <v>1299.0</v>
      </c>
      <c r="N173" s="1" t="s">
        <v>114</v>
      </c>
      <c r="O173" s="1" t="s">
        <v>54</v>
      </c>
      <c r="P173" s="7"/>
      <c r="Q173" s="1" t="s">
        <v>31</v>
      </c>
      <c r="R173" s="1" t="s">
        <v>470</v>
      </c>
      <c r="S173" s="1" t="s">
        <v>41</v>
      </c>
      <c r="T173" s="1" t="s">
        <v>34</v>
      </c>
      <c r="U173" s="1" t="s">
        <v>35</v>
      </c>
      <c r="V173" s="1" t="s">
        <v>34</v>
      </c>
      <c r="W173" s="1" t="s">
        <v>34</v>
      </c>
      <c r="X173" s="1" t="s">
        <v>37</v>
      </c>
      <c r="Y173" s="8" t="str">
        <f>IFERROR(VLOOKUP(A173,Sheet3!B:H,6,false),VLOOKUP(J173,Sheet2!A:C,2,false))</f>
        <v>https://assets.roomstogo.com/product/tuft-needle-stitch-tn31-twin-xl-mattress_50009870_image-item</v>
      </c>
      <c r="Z173" s="8" t="str">
        <f>IFERROR(VLOOKUP(A173,Sheet3!B:H,7,false),VLOOKUP(J173,Sheet2!A:C,3,false))</f>
        <v>https://assets.roomstogo.com/product/tuft-needle-stitch-tn31-twin-xl-mattress_50009870_alt-image-1</v>
      </c>
    </row>
    <row r="174">
      <c r="A174" s="4">
        <v>5.0509882E7</v>
      </c>
      <c r="B174" s="9">
        <v>5.0</v>
      </c>
      <c r="C174" s="9">
        <v>4.0</v>
      </c>
      <c r="D174" s="2" t="s">
        <v>394</v>
      </c>
      <c r="E174" s="2" t="s">
        <v>44</v>
      </c>
      <c r="F174" s="2" t="s">
        <v>395</v>
      </c>
      <c r="G174" s="9">
        <v>11.0</v>
      </c>
      <c r="H174" s="9">
        <v>3.91</v>
      </c>
      <c r="I174" s="9">
        <v>6.0</v>
      </c>
      <c r="J174" s="1" t="s">
        <v>115</v>
      </c>
      <c r="K174" s="1" t="s">
        <v>488</v>
      </c>
      <c r="L174" s="6">
        <v>1095.0</v>
      </c>
      <c r="M174" s="6">
        <v>1799.0</v>
      </c>
      <c r="N174" s="1" t="s">
        <v>114</v>
      </c>
      <c r="O174" s="1" t="s">
        <v>54</v>
      </c>
      <c r="P174" s="7"/>
      <c r="Q174" s="1" t="s">
        <v>31</v>
      </c>
      <c r="R174" s="1" t="s">
        <v>470</v>
      </c>
      <c r="S174" s="1" t="s">
        <v>41</v>
      </c>
      <c r="T174" s="1" t="s">
        <v>42</v>
      </c>
      <c r="U174" s="1" t="s">
        <v>76</v>
      </c>
      <c r="V174" s="1" t="s">
        <v>42</v>
      </c>
      <c r="W174" s="1" t="s">
        <v>42</v>
      </c>
      <c r="X174" s="1" t="s">
        <v>77</v>
      </c>
      <c r="Y174" s="8" t="str">
        <f>IFERROR(VLOOKUP(A174,Sheet3!B:H,6,false),VLOOKUP(J174,Sheet2!A:C,2,false))</f>
        <v>https://assets.roomstogo.com/product/tuft-needle-stitch-tn51-twin-xl-mattress_50009882_image-item</v>
      </c>
      <c r="Z174" s="8" t="str">
        <f>IFERROR(VLOOKUP(A174,Sheet3!B:H,7,false),VLOOKUP(J174,Sheet2!A:C,3,false))</f>
        <v>https://assets.roomstogo.com/product/tuft-needle-stitch-tn51-twin-xl-mattress_50009882_alt-image-1</v>
      </c>
    </row>
    <row r="175">
      <c r="A175" s="4">
        <v>5.0509907E7</v>
      </c>
      <c r="B175" s="5"/>
      <c r="C175" s="5"/>
      <c r="D175" s="5"/>
      <c r="E175" s="5"/>
      <c r="F175" s="5"/>
      <c r="G175" s="5"/>
      <c r="H175" s="5"/>
      <c r="I175" s="5"/>
      <c r="J175" s="1" t="s">
        <v>117</v>
      </c>
      <c r="K175" s="1" t="s">
        <v>489</v>
      </c>
      <c r="L175" s="6">
        <v>1997.0</v>
      </c>
      <c r="M175" s="6">
        <v>2499.0</v>
      </c>
      <c r="N175" s="1" t="s">
        <v>114</v>
      </c>
      <c r="O175" s="1" t="s">
        <v>54</v>
      </c>
      <c r="P175" s="7"/>
      <c r="Q175" s="1" t="s">
        <v>31</v>
      </c>
      <c r="R175" s="1" t="s">
        <v>470</v>
      </c>
      <c r="S175" s="1" t="s">
        <v>41</v>
      </c>
      <c r="T175" s="1" t="s">
        <v>50</v>
      </c>
      <c r="U175" s="1" t="s">
        <v>49</v>
      </c>
      <c r="V175" s="1" t="s">
        <v>42</v>
      </c>
      <c r="W175" s="1" t="s">
        <v>42</v>
      </c>
      <c r="X175" s="1" t="s">
        <v>51</v>
      </c>
      <c r="Y175" s="8" t="str">
        <f>IFERROR(VLOOKUP(A175,Sheet3!B:H,6,false),VLOOKUP(J175,Sheet2!A:C,2,false))</f>
        <v>https://assets.roomstogo.com/product/tuft-needle-stitch-tn91-twin-xl-mattress_50009907_image-item</v>
      </c>
      <c r="Z175" s="8" t="str">
        <f>IFERROR(VLOOKUP(A175,Sheet3!B:H,7,false),VLOOKUP(J175,Sheet2!A:C,3,false))</f>
        <v>https://assets.roomstogo.com/product/tuft-needle-stitch-tn91-twin-xl-mattress_50009907_alt-image-1</v>
      </c>
    </row>
    <row r="176">
      <c r="A176" s="4">
        <v>5.0509933E7</v>
      </c>
      <c r="B176" s="9">
        <v>2.0</v>
      </c>
      <c r="C176" s="9">
        <v>5.0</v>
      </c>
      <c r="D176" s="2" t="s">
        <v>274</v>
      </c>
      <c r="E176" s="2" t="s">
        <v>44</v>
      </c>
      <c r="F176" s="2" t="s">
        <v>275</v>
      </c>
      <c r="G176" s="9">
        <v>9.0</v>
      </c>
      <c r="H176" s="9">
        <v>4.89</v>
      </c>
      <c r="I176" s="9">
        <v>7.0</v>
      </c>
      <c r="J176" s="1" t="s">
        <v>119</v>
      </c>
      <c r="K176" s="1" t="s">
        <v>490</v>
      </c>
      <c r="L176" s="6">
        <v>777.0</v>
      </c>
      <c r="M176" s="6">
        <v>899.0</v>
      </c>
      <c r="N176" s="1" t="s">
        <v>114</v>
      </c>
      <c r="O176" s="1" t="s">
        <v>54</v>
      </c>
      <c r="P176" s="1" t="s">
        <v>121</v>
      </c>
      <c r="Q176" s="1" t="s">
        <v>31</v>
      </c>
      <c r="R176" s="1" t="s">
        <v>470</v>
      </c>
      <c r="S176" s="1" t="s">
        <v>33</v>
      </c>
      <c r="T176" s="1" t="s">
        <v>36</v>
      </c>
      <c r="U176" s="1" t="s">
        <v>76</v>
      </c>
      <c r="V176" s="1" t="s">
        <v>36</v>
      </c>
      <c r="W176" s="1" t="s">
        <v>36</v>
      </c>
      <c r="X176" s="1" t="s">
        <v>77</v>
      </c>
      <c r="Y176" s="8" t="str">
        <f>IFERROR(VLOOKUP(A176,Sheet3!B:H,6,false),VLOOKUP(J176,Sheet2!A:C,2,false))</f>
        <v>https://assets.roomstogo.com/product/tuft-needle-tn1-twin-xl-mattress_50009933_image-item</v>
      </c>
      <c r="Z176" s="8" t="str">
        <f>IFERROR(VLOOKUP(A176,Sheet3!B:H,7,false),VLOOKUP(J176,Sheet2!A:C,3,false))</f>
        <v>https://assets.roomstogo.com/product/tuft-needle-tn1-twin-xl-mattress_50009933_alt-image-1</v>
      </c>
    </row>
    <row r="177">
      <c r="A177" s="4">
        <v>5.051057E7</v>
      </c>
      <c r="B177" s="9">
        <v>4.0</v>
      </c>
      <c r="C177" s="9">
        <v>4.75</v>
      </c>
      <c r="D177" s="2" t="s">
        <v>277</v>
      </c>
      <c r="E177" s="2" t="s">
        <v>44</v>
      </c>
      <c r="F177" s="2" t="s">
        <v>278</v>
      </c>
      <c r="G177" s="9">
        <v>8.0</v>
      </c>
      <c r="H177" s="9">
        <v>4.88</v>
      </c>
      <c r="I177" s="9">
        <v>4.0</v>
      </c>
      <c r="J177" s="1" t="s">
        <v>122</v>
      </c>
      <c r="K177" s="1" t="s">
        <v>491</v>
      </c>
      <c r="L177" s="6">
        <v>497.0</v>
      </c>
      <c r="M177" s="6">
        <v>999.0</v>
      </c>
      <c r="N177" s="1" t="s">
        <v>124</v>
      </c>
      <c r="O177" s="7"/>
      <c r="P177" s="1" t="s">
        <v>492</v>
      </c>
      <c r="Q177" s="1" t="s">
        <v>31</v>
      </c>
      <c r="R177" s="1" t="s">
        <v>470</v>
      </c>
      <c r="S177" s="1" t="s">
        <v>33</v>
      </c>
      <c r="T177" s="1" t="s">
        <v>34</v>
      </c>
      <c r="U177" s="1" t="s">
        <v>35</v>
      </c>
      <c r="V177" s="1" t="s">
        <v>34</v>
      </c>
      <c r="W177" s="1" t="s">
        <v>34</v>
      </c>
      <c r="X177" s="1" t="s">
        <v>37</v>
      </c>
      <c r="Y177" s="8" t="str">
        <f>IFERROR(VLOOKUP(A177,Sheet3!B:H,6,false),VLOOKUP(J177,Sheet2!A:C,2,false))</f>
        <v>https://assets.roomstogo.com/product/molecule-core-twin-xl-mattress_50010570_image-item</v>
      </c>
      <c r="Z177" s="8" t="str">
        <f>IFERROR(VLOOKUP(A177,Sheet3!B:H,7,false),VLOOKUP(J177,Sheet2!A:C,3,false))</f>
        <v>https://assets.roomstogo.com/product/molecule-core-twin-xl-mattress_50010570_alt-image-1</v>
      </c>
    </row>
    <row r="178">
      <c r="A178" s="4">
        <v>5.0510671E7</v>
      </c>
      <c r="B178" s="9">
        <v>97.0</v>
      </c>
      <c r="C178" s="9">
        <v>4.51</v>
      </c>
      <c r="D178" s="2" t="s">
        <v>125</v>
      </c>
      <c r="E178" s="2" t="s">
        <v>44</v>
      </c>
      <c r="F178" s="2" t="s">
        <v>126</v>
      </c>
      <c r="G178" s="9">
        <v>192.0</v>
      </c>
      <c r="H178" s="9">
        <v>4.4</v>
      </c>
      <c r="I178" s="9">
        <v>95.0</v>
      </c>
      <c r="J178" s="1" t="s">
        <v>127</v>
      </c>
      <c r="K178" s="1" t="s">
        <v>493</v>
      </c>
      <c r="L178" s="6">
        <v>795.0</v>
      </c>
      <c r="M178" s="6">
        <v>1099.99</v>
      </c>
      <c r="N178" s="1" t="s">
        <v>129</v>
      </c>
      <c r="O178" s="1" t="s">
        <v>54</v>
      </c>
      <c r="P178" s="1" t="s">
        <v>130</v>
      </c>
      <c r="Q178" s="1" t="s">
        <v>31</v>
      </c>
      <c r="R178" s="1" t="s">
        <v>470</v>
      </c>
      <c r="S178" s="1" t="s">
        <v>41</v>
      </c>
      <c r="T178" s="1" t="s">
        <v>34</v>
      </c>
      <c r="U178" s="1" t="s">
        <v>35</v>
      </c>
      <c r="V178" s="1" t="s">
        <v>34</v>
      </c>
      <c r="W178" s="1" t="s">
        <v>34</v>
      </c>
      <c r="X178" s="1" t="s">
        <v>37</v>
      </c>
      <c r="Y178" s="8" t="str">
        <f>IFERROR(VLOOKUP(A178,Sheet3!B:H,6,false),VLOOKUP(J178,Sheet2!A:C,2,false))</f>
        <v>https://assets.roomstogo.com/product/beautyrest-select-broad-peak-medium-hybrid-twin-xl-mattress_50010671_image-item</v>
      </c>
      <c r="Z178" s="8" t="str">
        <f>IFERROR(VLOOKUP(A178,Sheet3!B:H,7,false),VLOOKUP(J178,Sheet2!A:C,3,false))</f>
        <v>https://assets.roomstogo.com/product/beautyrest-select-broad-peak-medium-hybrid-twin-xl-mattress_50010671_alt-image-1</v>
      </c>
    </row>
    <row r="179">
      <c r="A179" s="4">
        <v>5.0511053E7</v>
      </c>
      <c r="B179" s="5"/>
      <c r="C179" s="5"/>
      <c r="D179" s="5"/>
      <c r="E179" s="5"/>
      <c r="F179" s="5"/>
      <c r="G179" s="5"/>
      <c r="H179" s="5"/>
      <c r="I179" s="5"/>
      <c r="J179" s="1" t="s">
        <v>131</v>
      </c>
      <c r="K179" s="1" t="s">
        <v>494</v>
      </c>
      <c r="L179" s="6">
        <v>595.0</v>
      </c>
      <c r="M179" s="6">
        <v>699.99</v>
      </c>
      <c r="N179" s="1" t="s">
        <v>133</v>
      </c>
      <c r="O179" s="1" t="s">
        <v>54</v>
      </c>
      <c r="P179" s="7"/>
      <c r="Q179" s="1" t="s">
        <v>134</v>
      </c>
      <c r="R179" s="1" t="s">
        <v>470</v>
      </c>
      <c r="S179" s="1" t="s">
        <v>59</v>
      </c>
      <c r="T179" s="1" t="s">
        <v>36</v>
      </c>
      <c r="U179" s="1" t="s">
        <v>49</v>
      </c>
      <c r="V179" s="1" t="s">
        <v>42</v>
      </c>
      <c r="W179" s="1" t="s">
        <v>36</v>
      </c>
      <c r="X179" s="1" t="s">
        <v>51</v>
      </c>
      <c r="Y179" s="8" t="str">
        <f>IFERROR(VLOOKUP(A179,Sheet3!B:H,6,false),VLOOKUP(J179,Sheet2!A:C,2,false))</f>
        <v>https://assets.roomstogo.com/product/tommy-bahama-bay-dreamer-twin-mattress_50111055_image-item</v>
      </c>
      <c r="Z179" s="8" t="str">
        <f>IFERROR(VLOOKUP(A179,Sheet3!B:H,7,false),VLOOKUP(J179,Sheet2!A:C,3,false))</f>
        <v>https://assets.roomstogo.com/product/tommy-bahama-bay-dreamer-twin-mattress_50111055_alt-image-1</v>
      </c>
    </row>
    <row r="180">
      <c r="A180" s="4">
        <v>5.0511065E7</v>
      </c>
      <c r="B180" s="5"/>
      <c r="C180" s="5"/>
      <c r="D180" s="5"/>
      <c r="E180" s="5"/>
      <c r="F180" s="5"/>
      <c r="G180" s="5"/>
      <c r="H180" s="5"/>
      <c r="I180" s="5"/>
      <c r="J180" s="1" t="s">
        <v>135</v>
      </c>
      <c r="K180" s="1" t="s">
        <v>495</v>
      </c>
      <c r="L180" s="6">
        <v>645.0</v>
      </c>
      <c r="M180" s="6">
        <v>749.99</v>
      </c>
      <c r="N180" s="1" t="s">
        <v>133</v>
      </c>
      <c r="O180" s="1" t="s">
        <v>54</v>
      </c>
      <c r="P180" s="7"/>
      <c r="Q180" s="1" t="s">
        <v>134</v>
      </c>
      <c r="R180" s="1" t="s">
        <v>470</v>
      </c>
      <c r="S180" s="1" t="s">
        <v>41</v>
      </c>
      <c r="T180" s="1" t="s">
        <v>36</v>
      </c>
      <c r="U180" s="1" t="s">
        <v>76</v>
      </c>
      <c r="V180" s="1" t="s">
        <v>42</v>
      </c>
      <c r="W180" s="1" t="s">
        <v>36</v>
      </c>
      <c r="X180" s="1" t="s">
        <v>77</v>
      </c>
      <c r="Y180" s="8" t="str">
        <f>IFERROR(VLOOKUP(A180,Sheet3!B:H,6,false),VLOOKUP(J180,Sheet2!A:C,2,false))</f>
        <v>https://assets.roomstogo.com/product/tommy-bahama-make-waves-twin-mattress_50111067_image-item</v>
      </c>
      <c r="Z180" s="8" t="str">
        <f>IFERROR(VLOOKUP(A180,Sheet3!B:H,7,false),VLOOKUP(J180,Sheet2!A:C,3,false))</f>
        <v>https://assets.roomstogo.com/product/tommy-bahama-make-waves-twin-mattress_50111067_alt-image-1</v>
      </c>
    </row>
    <row r="181">
      <c r="A181" s="4">
        <v>5.0511077E7</v>
      </c>
      <c r="B181" s="5"/>
      <c r="C181" s="5"/>
      <c r="D181" s="5"/>
      <c r="E181" s="5"/>
      <c r="F181" s="5"/>
      <c r="G181" s="5"/>
      <c r="H181" s="5"/>
      <c r="I181" s="5"/>
      <c r="J181" s="1" t="s">
        <v>137</v>
      </c>
      <c r="K181" s="1" t="s">
        <v>496</v>
      </c>
      <c r="L181" s="6">
        <v>745.0</v>
      </c>
      <c r="M181" s="6">
        <v>849.99</v>
      </c>
      <c r="N181" s="1" t="s">
        <v>133</v>
      </c>
      <c r="O181" s="1" t="s">
        <v>54</v>
      </c>
      <c r="P181" s="7"/>
      <c r="Q181" s="1" t="s">
        <v>134</v>
      </c>
      <c r="R181" s="1" t="s">
        <v>470</v>
      </c>
      <c r="S181" s="1" t="s">
        <v>59</v>
      </c>
      <c r="T181" s="1" t="s">
        <v>36</v>
      </c>
      <c r="U181" s="1" t="s">
        <v>35</v>
      </c>
      <c r="V181" s="1" t="s">
        <v>42</v>
      </c>
      <c r="W181" s="1" t="s">
        <v>36</v>
      </c>
      <c r="X181" s="1" t="s">
        <v>37</v>
      </c>
      <c r="Y181" s="8" t="str">
        <f>IFERROR(VLOOKUP(A181,Sheet3!B:H,6,false),VLOOKUP(J181,Sheet2!A:C,2,false))</f>
        <v>https://assets.roomstogo.com/product/tommy-bahama-seaside-serenity-twin-mattress_50111079_image-item</v>
      </c>
      <c r="Z181" s="8" t="str">
        <f>IFERROR(VLOOKUP(A181,Sheet3!B:H,7,false),VLOOKUP(J181,Sheet2!A:C,3,false))</f>
        <v>https://assets.roomstogo.com/product/tommy-bahama-seaside-serenity-twin-mattress_50111079_alt-image-1</v>
      </c>
    </row>
    <row r="182">
      <c r="A182" s="4">
        <v>5.0511344E7</v>
      </c>
      <c r="B182" s="9">
        <v>6.0</v>
      </c>
      <c r="C182" s="9">
        <v>4.0</v>
      </c>
      <c r="D182" s="2" t="s">
        <v>139</v>
      </c>
      <c r="E182" s="2" t="s">
        <v>44</v>
      </c>
      <c r="F182" s="2" t="s">
        <v>140</v>
      </c>
      <c r="G182" s="9">
        <v>10.0</v>
      </c>
      <c r="H182" s="9">
        <v>4.2</v>
      </c>
      <c r="I182" s="9">
        <v>4.0</v>
      </c>
      <c r="J182" s="1" t="s">
        <v>141</v>
      </c>
      <c r="K182" s="1" t="s">
        <v>497</v>
      </c>
      <c r="L182" s="6">
        <v>697.0</v>
      </c>
      <c r="M182" s="6">
        <v>899.99</v>
      </c>
      <c r="N182" s="1" t="s">
        <v>143</v>
      </c>
      <c r="O182" s="1" t="s">
        <v>54</v>
      </c>
      <c r="P182" s="7"/>
      <c r="Q182" s="1" t="s">
        <v>31</v>
      </c>
      <c r="R182" s="1" t="s">
        <v>470</v>
      </c>
      <c r="S182" s="1" t="s">
        <v>59</v>
      </c>
      <c r="T182" s="1" t="s">
        <v>36</v>
      </c>
      <c r="U182" s="1" t="s">
        <v>76</v>
      </c>
      <c r="V182" s="1" t="s">
        <v>34</v>
      </c>
      <c r="W182" s="1" t="s">
        <v>36</v>
      </c>
      <c r="X182" s="1" t="s">
        <v>144</v>
      </c>
      <c r="Y182" s="8" t="str">
        <f>IFERROR(VLOOKUP(A182,Sheet3!B:H,6,false),VLOOKUP(J182,Sheet2!A:C,2,false))</f>
        <v>https://assets.roomstogo.com/product/therapedic-forester-twin-xl-mattress_50011344_image-item</v>
      </c>
      <c r="Z182" s="8" t="str">
        <f>IFERROR(VLOOKUP(A182,Sheet3!B:H,7,false),VLOOKUP(J182,Sheet2!A:C,3,false))</f>
        <v>https://assets.roomstogo.com/product/therapedic-forester-twin-xl-mattress_50011344_alt-image-1</v>
      </c>
    </row>
    <row r="183">
      <c r="A183" s="4">
        <v>5.0511368E7</v>
      </c>
      <c r="B183" s="9">
        <v>13.0</v>
      </c>
      <c r="C183" s="9">
        <v>3.92</v>
      </c>
      <c r="D183" s="2" t="s">
        <v>332</v>
      </c>
      <c r="E183" s="2" t="s">
        <v>44</v>
      </c>
      <c r="F183" s="2" t="s">
        <v>333</v>
      </c>
      <c r="G183" s="9">
        <v>20.0</v>
      </c>
      <c r="H183" s="9">
        <v>4.3</v>
      </c>
      <c r="I183" s="9">
        <v>7.0</v>
      </c>
      <c r="J183" s="1" t="s">
        <v>145</v>
      </c>
      <c r="K183" s="1" t="s">
        <v>498</v>
      </c>
      <c r="L183" s="6">
        <v>597.0</v>
      </c>
      <c r="M183" s="6">
        <v>699.99</v>
      </c>
      <c r="N183" s="1" t="s">
        <v>143</v>
      </c>
      <c r="O183" s="1" t="s">
        <v>54</v>
      </c>
      <c r="P183" s="7"/>
      <c r="Q183" s="1" t="s">
        <v>31</v>
      </c>
      <c r="R183" s="1" t="s">
        <v>470</v>
      </c>
      <c r="S183" s="1" t="s">
        <v>59</v>
      </c>
      <c r="T183" s="1" t="s">
        <v>36</v>
      </c>
      <c r="U183" s="1" t="s">
        <v>35</v>
      </c>
      <c r="V183" s="1" t="s">
        <v>36</v>
      </c>
      <c r="W183" s="1" t="s">
        <v>34</v>
      </c>
      <c r="X183" s="1" t="s">
        <v>37</v>
      </c>
      <c r="Y183" s="8" t="str">
        <f>IFERROR(VLOOKUP(A183,Sheet3!B:H,6,false),VLOOKUP(J183,Sheet2!A:C,2,false))</f>
        <v>https://assets.roomstogo.com/product/therapedic-darlington-twin-xl-mattress_50011368_image-item</v>
      </c>
      <c r="Z183" s="8" t="str">
        <f>IFERROR(VLOOKUP(A183,Sheet3!B:H,7,false),VLOOKUP(J183,Sheet2!A:C,3,false))</f>
        <v>https://assets.roomstogo.com/product/therapedic-darlington-twin-xl-mattress_50011368_alt-image-1</v>
      </c>
    </row>
    <row r="184">
      <c r="A184" s="4">
        <v>5.0511382E7</v>
      </c>
      <c r="B184" s="5"/>
      <c r="C184" s="5"/>
      <c r="D184" s="5"/>
      <c r="E184" s="5"/>
      <c r="F184" s="5"/>
      <c r="G184" s="5"/>
      <c r="H184" s="5"/>
      <c r="I184" s="5"/>
      <c r="J184" s="1" t="s">
        <v>147</v>
      </c>
      <c r="K184" s="1" t="s">
        <v>499</v>
      </c>
      <c r="L184" s="6">
        <v>777.0</v>
      </c>
      <c r="M184" s="6">
        <v>1099.99</v>
      </c>
      <c r="N184" s="1" t="s">
        <v>149</v>
      </c>
      <c r="O184" s="1" t="s">
        <v>54</v>
      </c>
      <c r="P184" s="7"/>
      <c r="Q184" s="7"/>
      <c r="R184" s="1" t="s">
        <v>470</v>
      </c>
      <c r="S184" s="1" t="s">
        <v>41</v>
      </c>
      <c r="T184" s="1" t="s">
        <v>36</v>
      </c>
      <c r="U184" s="1" t="s">
        <v>49</v>
      </c>
      <c r="V184" s="1" t="s">
        <v>34</v>
      </c>
      <c r="W184" s="1" t="s">
        <v>34</v>
      </c>
      <c r="X184" s="1" t="s">
        <v>51</v>
      </c>
      <c r="Y184" s="8" t="str">
        <f>IFERROR(VLOOKUP(A184,Sheet3!B:H,6,false),VLOOKUP(J184,Sheet2!A:C,2,false))</f>
        <v>https://assets.roomstogo.com/product/therapedic-hastings-twin-xl-mattress_50011382_image-item</v>
      </c>
      <c r="Z184" s="8" t="str">
        <f>IFERROR(VLOOKUP(A184,Sheet3!B:H,7,false),VLOOKUP(J184,Sheet2!A:C,3,false))</f>
        <v>https://assets.roomstogo.com/product/therapedic-hastings-twin-xl-mattress_50011382_alt-image-1</v>
      </c>
    </row>
    <row r="185">
      <c r="A185" s="4">
        <v>5.0511457E7</v>
      </c>
      <c r="B185" s="9">
        <v>4.0</v>
      </c>
      <c r="C185" s="9">
        <v>4.75</v>
      </c>
      <c r="D185" s="2" t="s">
        <v>500</v>
      </c>
      <c r="E185" s="2" t="s">
        <v>44</v>
      </c>
      <c r="F185" s="2" t="s">
        <v>501</v>
      </c>
      <c r="G185" s="9">
        <v>9.0</v>
      </c>
      <c r="H185" s="9">
        <v>4.33</v>
      </c>
      <c r="I185" s="9">
        <v>5.0</v>
      </c>
      <c r="J185" s="1" t="s">
        <v>150</v>
      </c>
      <c r="K185" s="1" t="s">
        <v>502</v>
      </c>
      <c r="L185" s="6">
        <v>1499.99</v>
      </c>
      <c r="M185" s="6">
        <v>1499.99</v>
      </c>
      <c r="N185" s="1" t="s">
        <v>149</v>
      </c>
      <c r="O185" s="1" t="s">
        <v>54</v>
      </c>
      <c r="P185" s="7"/>
      <c r="Q185" s="1" t="s">
        <v>31</v>
      </c>
      <c r="R185" s="1" t="s">
        <v>470</v>
      </c>
      <c r="S185" s="1" t="s">
        <v>41</v>
      </c>
      <c r="T185" s="1" t="s">
        <v>34</v>
      </c>
      <c r="U185" s="1" t="s">
        <v>76</v>
      </c>
      <c r="V185" s="1" t="s">
        <v>42</v>
      </c>
      <c r="W185" s="1" t="s">
        <v>34</v>
      </c>
      <c r="X185" s="1" t="s">
        <v>77</v>
      </c>
      <c r="Y185" s="8" t="str">
        <f>IFERROR(VLOOKUP(A185,Sheet3!B:H,6,false),VLOOKUP(J185,Sheet2!A:C,2,false))</f>
        <v>https://assets.roomstogo.com/product/therapedic-kaanapali-twin-xl-mattress_50011457_image-item</v>
      </c>
      <c r="Z185" s="8" t="str">
        <f>IFERROR(VLOOKUP(A185,Sheet3!B:H,7,false),VLOOKUP(J185,Sheet2!A:C,3,false))</f>
        <v>https://assets.roomstogo.com/product/therapedic-kaanapali-twin-xl-mattress_50011457_alt-image-1</v>
      </c>
    </row>
    <row r="186">
      <c r="A186" s="4">
        <v>5.0511495E7</v>
      </c>
      <c r="B186" s="9">
        <v>7.0</v>
      </c>
      <c r="C186" s="9">
        <v>3.57</v>
      </c>
      <c r="D186" s="2" t="s">
        <v>152</v>
      </c>
      <c r="E186" s="2" t="s">
        <v>44</v>
      </c>
      <c r="F186" s="2" t="s">
        <v>153</v>
      </c>
      <c r="G186" s="9">
        <v>13.0</v>
      </c>
      <c r="H186" s="9">
        <v>3.92</v>
      </c>
      <c r="I186" s="9">
        <v>6.0</v>
      </c>
      <c r="J186" s="1" t="s">
        <v>154</v>
      </c>
      <c r="K186" s="1" t="s">
        <v>503</v>
      </c>
      <c r="L186" s="6">
        <v>1799.99</v>
      </c>
      <c r="M186" s="6">
        <v>1799.99</v>
      </c>
      <c r="N186" s="1" t="s">
        <v>149</v>
      </c>
      <c r="O186" s="1" t="s">
        <v>54</v>
      </c>
      <c r="P186" s="7"/>
      <c r="Q186" s="1" t="s">
        <v>31</v>
      </c>
      <c r="R186" s="1" t="s">
        <v>470</v>
      </c>
      <c r="S186" s="1" t="s">
        <v>41</v>
      </c>
      <c r="T186" s="1" t="s">
        <v>42</v>
      </c>
      <c r="U186" s="1" t="s">
        <v>35</v>
      </c>
      <c r="V186" s="1" t="s">
        <v>42</v>
      </c>
      <c r="W186" s="1" t="s">
        <v>34</v>
      </c>
      <c r="X186" s="1" t="s">
        <v>37</v>
      </c>
      <c r="Y186" s="8" t="str">
        <f>IFERROR(VLOOKUP(A186,Sheet3!B:H,6,false),VLOOKUP(J186,Sheet2!A:C,2,false))</f>
        <v>https://assets.roomstogo.com/product/therapedic-ledo-twin-xl-mattress_50011495_image-item</v>
      </c>
      <c r="Z186" s="8" t="str">
        <f>IFERROR(VLOOKUP(A186,Sheet3!B:H,7,false),VLOOKUP(J186,Sheet2!A:C,3,false))</f>
        <v>https://assets.roomstogo.com/product/therapedic-ledo-twin-xl-mattress_50011495_alt-image-1</v>
      </c>
    </row>
    <row r="187">
      <c r="A187" s="4">
        <v>5.0520862E7</v>
      </c>
      <c r="B187" s="9">
        <v>6.0</v>
      </c>
      <c r="C187" s="9">
        <v>3.5</v>
      </c>
      <c r="D187" s="2" t="s">
        <v>504</v>
      </c>
      <c r="E187" s="2" t="s">
        <v>44</v>
      </c>
      <c r="F187" s="2" t="s">
        <v>505</v>
      </c>
      <c r="G187" s="9">
        <v>9.0</v>
      </c>
      <c r="H187" s="9">
        <v>4.0</v>
      </c>
      <c r="I187" s="9">
        <v>3.0</v>
      </c>
      <c r="J187" s="1" t="s">
        <v>156</v>
      </c>
      <c r="K187" s="1" t="s">
        <v>506</v>
      </c>
      <c r="L187" s="6">
        <v>997.0</v>
      </c>
      <c r="M187" s="6">
        <v>1299.99</v>
      </c>
      <c r="N187" s="1" t="s">
        <v>158</v>
      </c>
      <c r="O187" s="1" t="s">
        <v>54</v>
      </c>
      <c r="P187" s="7"/>
      <c r="Q187" s="1" t="s">
        <v>31</v>
      </c>
      <c r="R187" s="1" t="s">
        <v>470</v>
      </c>
      <c r="S187" s="1" t="s">
        <v>59</v>
      </c>
      <c r="T187" s="1" t="s">
        <v>34</v>
      </c>
      <c r="U187" s="1" t="s">
        <v>35</v>
      </c>
      <c r="V187" s="1" t="s">
        <v>34</v>
      </c>
      <c r="W187" s="1" t="s">
        <v>34</v>
      </c>
      <c r="X187" s="1" t="s">
        <v>37</v>
      </c>
      <c r="Y187" s="8" t="str">
        <f>IFERROR(VLOOKUP(A187,Sheet3!B:H,6,false),VLOOKUP(J187,Sheet2!A:C,2,false))</f>
        <v>https://assets.roomstogo.com/product/drew-jonathan-capertee-twin-xl-mattress_50020862_image-item</v>
      </c>
      <c r="Z187" s="8" t="str">
        <f>IFERROR(VLOOKUP(A187,Sheet3!B:H,7,false),VLOOKUP(J187,Sheet2!A:C,3,false))</f>
        <v>https://assets.roomstogo.com/product/drew-jonathan-capertee-twin-xl-mattress_50020862_alt-image-1</v>
      </c>
    </row>
    <row r="188">
      <c r="A188" s="4">
        <v>5.0520925E7</v>
      </c>
      <c r="B188" s="9">
        <v>2.0</v>
      </c>
      <c r="C188" s="9">
        <v>3.0</v>
      </c>
      <c r="D188" s="2" t="s">
        <v>507</v>
      </c>
      <c r="E188" s="2" t="s">
        <v>44</v>
      </c>
      <c r="F188" s="2" t="s">
        <v>508</v>
      </c>
      <c r="G188" s="9">
        <v>2.0</v>
      </c>
      <c r="H188" s="9">
        <v>3.0</v>
      </c>
      <c r="I188" s="9">
        <v>0.0</v>
      </c>
      <c r="J188" s="1" t="s">
        <v>159</v>
      </c>
      <c r="K188" s="1" t="s">
        <v>509</v>
      </c>
      <c r="L188" s="6">
        <v>1497.0</v>
      </c>
      <c r="M188" s="6">
        <v>1799.99</v>
      </c>
      <c r="N188" s="1" t="s">
        <v>158</v>
      </c>
      <c r="O188" s="1" t="s">
        <v>54</v>
      </c>
      <c r="P188" s="7"/>
      <c r="Q188" s="1" t="s">
        <v>31</v>
      </c>
      <c r="R188" s="1" t="s">
        <v>470</v>
      </c>
      <c r="S188" s="1" t="s">
        <v>59</v>
      </c>
      <c r="T188" s="1" t="s">
        <v>42</v>
      </c>
      <c r="U188" s="1" t="s">
        <v>49</v>
      </c>
      <c r="V188" s="1" t="s">
        <v>34</v>
      </c>
      <c r="W188" s="1" t="s">
        <v>34</v>
      </c>
      <c r="X188" s="1" t="s">
        <v>51</v>
      </c>
      <c r="Y188" s="8" t="str">
        <f>IFERROR(VLOOKUP(A188,Sheet3!B:H,6,false),VLOOKUP(J188,Sheet2!A:C,2,false))</f>
        <v>https://assets.roomstogo.com/product/drew-jonathan-arada-canyon-twin-xl-mattress_50020925_image-item</v>
      </c>
      <c r="Z188" s="8" t="str">
        <f>IFERROR(VLOOKUP(A188,Sheet3!B:H,7,false),VLOOKUP(J188,Sheet2!A:C,3,false))</f>
        <v>https://assets.roomstogo.com/product/drew-jonathan-arada-canyon-twin-xl-mattress_50020925_alt-image-1</v>
      </c>
    </row>
    <row r="189">
      <c r="A189" s="4">
        <v>5.052221E7</v>
      </c>
      <c r="B189" s="9">
        <v>20.0</v>
      </c>
      <c r="C189" s="9">
        <v>4.6</v>
      </c>
      <c r="D189" s="2" t="s">
        <v>161</v>
      </c>
      <c r="E189" s="2" t="s">
        <v>44</v>
      </c>
      <c r="F189" s="2" t="s">
        <v>162</v>
      </c>
      <c r="G189" s="9">
        <v>28.0</v>
      </c>
      <c r="H189" s="9">
        <v>4.71</v>
      </c>
      <c r="I189" s="9">
        <v>8.0</v>
      </c>
      <c r="J189" s="1" t="s">
        <v>163</v>
      </c>
      <c r="K189" s="1" t="s">
        <v>510</v>
      </c>
      <c r="L189" s="6">
        <v>397.0</v>
      </c>
      <c r="M189" s="6">
        <v>699.99</v>
      </c>
      <c r="N189" s="1" t="s">
        <v>165</v>
      </c>
      <c r="O189" s="1" t="s">
        <v>54</v>
      </c>
      <c r="P189" s="1" t="s">
        <v>166</v>
      </c>
      <c r="Q189" s="1" t="s">
        <v>31</v>
      </c>
      <c r="R189" s="1" t="s">
        <v>470</v>
      </c>
      <c r="S189" s="1" t="s">
        <v>41</v>
      </c>
      <c r="T189" s="1" t="s">
        <v>36</v>
      </c>
      <c r="U189" s="1" t="s">
        <v>35</v>
      </c>
      <c r="V189" s="1" t="s">
        <v>34</v>
      </c>
      <c r="W189" s="1" t="s">
        <v>36</v>
      </c>
      <c r="X189" s="1" t="s">
        <v>37</v>
      </c>
      <c r="Y189" s="8" t="str">
        <f>IFERROR(VLOOKUP(A189,Sheet3!B:H,6,false),VLOOKUP(J189,Sheet2!A:C,2,false))</f>
        <v>https://assets.roomstogo.com/product/beauty-sleep-oceana-mist-medium-hybrid-twin-xl-mattress_50022210_image-item</v>
      </c>
      <c r="Z189" s="8" t="str">
        <f>IFERROR(VLOOKUP(A189,Sheet3!B:H,7,false),VLOOKUP(J189,Sheet2!A:C,3,false))</f>
        <v>https://assets.roomstogo.com/product/beauty-sleep-oceana-mist-medium-hybrid-twin-xl-mattress_50022210_alt-image-8</v>
      </c>
    </row>
    <row r="190">
      <c r="A190" s="4">
        <v>5.0525747E7</v>
      </c>
      <c r="B190" s="9">
        <v>6.0</v>
      </c>
      <c r="C190" s="9">
        <v>4.83</v>
      </c>
      <c r="D190" s="2" t="s">
        <v>167</v>
      </c>
      <c r="E190" s="2" t="s">
        <v>44</v>
      </c>
      <c r="F190" s="2" t="s">
        <v>168</v>
      </c>
      <c r="G190" s="9">
        <v>13.0</v>
      </c>
      <c r="H190" s="9">
        <v>4.08</v>
      </c>
      <c r="I190" s="9">
        <v>7.0</v>
      </c>
      <c r="J190" s="1" t="s">
        <v>169</v>
      </c>
      <c r="K190" s="1" t="s">
        <v>511</v>
      </c>
      <c r="L190" s="6">
        <v>1399.0</v>
      </c>
      <c r="M190" s="6">
        <v>1399.0</v>
      </c>
      <c r="N190" s="1" t="s">
        <v>171</v>
      </c>
      <c r="O190" s="7"/>
      <c r="P190" s="1" t="s">
        <v>172</v>
      </c>
      <c r="Q190" s="1" t="s">
        <v>31</v>
      </c>
      <c r="R190" s="1" t="s">
        <v>470</v>
      </c>
      <c r="S190" s="1" t="s">
        <v>59</v>
      </c>
      <c r="T190" s="1" t="s">
        <v>42</v>
      </c>
      <c r="U190" s="1" t="s">
        <v>49</v>
      </c>
      <c r="V190" s="1" t="s">
        <v>42</v>
      </c>
      <c r="W190" s="1" t="s">
        <v>42</v>
      </c>
      <c r="X190" s="1" t="s">
        <v>51</v>
      </c>
      <c r="Y190" s="8" t="str">
        <f>IFERROR(VLOOKUP(A190,Sheet3!B:H,6,false),VLOOKUP(J190,Sheet2!A:C,2,false))</f>
        <v>https://assets.roomstogo.com/product/beautyrest-world-class-level-three-plush-twin-xl-mattress_50025747_image-item</v>
      </c>
      <c r="Z190" s="8" t="str">
        <f>IFERROR(VLOOKUP(A190,Sheet3!B:H,7,false),VLOOKUP(J190,Sheet2!A:C,3,false))</f>
        <v>https://assets.roomstogo.com/product/beautyrest-world-class-level-three-plush-twin-xl-mattress_50025747_alt-image-13</v>
      </c>
    </row>
    <row r="191">
      <c r="A191" s="4">
        <v>5.0525759E7</v>
      </c>
      <c r="B191" s="9">
        <v>6.0</v>
      </c>
      <c r="C191" s="9">
        <v>4.17</v>
      </c>
      <c r="D191" s="2" t="s">
        <v>512</v>
      </c>
      <c r="E191" s="2" t="s">
        <v>44</v>
      </c>
      <c r="F191" s="2" t="s">
        <v>513</v>
      </c>
      <c r="G191" s="9">
        <v>14.0</v>
      </c>
      <c r="H191" s="9">
        <v>3.71</v>
      </c>
      <c r="I191" s="9">
        <v>8.0</v>
      </c>
      <c r="J191" s="1" t="s">
        <v>173</v>
      </c>
      <c r="K191" s="1" t="s">
        <v>514</v>
      </c>
      <c r="L191" s="6">
        <v>1599.0</v>
      </c>
      <c r="M191" s="6">
        <v>1599.0</v>
      </c>
      <c r="N191" s="1" t="s">
        <v>171</v>
      </c>
      <c r="O191" s="7"/>
      <c r="P191" s="1" t="s">
        <v>175</v>
      </c>
      <c r="Q191" s="1" t="s">
        <v>31</v>
      </c>
      <c r="R191" s="1" t="s">
        <v>470</v>
      </c>
      <c r="S191" s="1" t="s">
        <v>59</v>
      </c>
      <c r="T191" s="1" t="s">
        <v>42</v>
      </c>
      <c r="U191" s="1" t="s">
        <v>35</v>
      </c>
      <c r="V191" s="1" t="s">
        <v>42</v>
      </c>
      <c r="W191" s="1" t="s">
        <v>42</v>
      </c>
      <c r="X191" s="1" t="s">
        <v>37</v>
      </c>
      <c r="Y191" s="8" t="str">
        <f>IFERROR(VLOOKUP(A191,Sheet3!B:H,6,false),VLOOKUP(J191,Sheet2!A:C,2,false))</f>
        <v>https://assets.roomstogo.com/product/beautyrest-world-class-level-three-medium-pillow-top-twin-xl-mattress_50025759_image-item</v>
      </c>
      <c r="Z191" s="8" t="str">
        <f>IFERROR(VLOOKUP(A191,Sheet3!B:H,7,false),VLOOKUP(J191,Sheet2!A:C,3,false))</f>
        <v>https://assets.roomstogo.com/product/beautyrest-world-class-level-three-medium-pillow-top-twin-xl-mattress_50025759_alt-image-13</v>
      </c>
    </row>
    <row r="192">
      <c r="A192" s="4">
        <v>5.05258E7</v>
      </c>
      <c r="B192" s="9">
        <v>1.0</v>
      </c>
      <c r="C192" s="9">
        <v>5.0</v>
      </c>
      <c r="D192" s="2" t="s">
        <v>515</v>
      </c>
      <c r="E192" s="2" t="s">
        <v>44</v>
      </c>
      <c r="F192" s="2" t="s">
        <v>516</v>
      </c>
      <c r="G192" s="9">
        <v>1.0</v>
      </c>
      <c r="H192" s="9">
        <v>5.0</v>
      </c>
      <c r="I192" s="9">
        <v>0.0</v>
      </c>
      <c r="J192" s="1" t="s">
        <v>176</v>
      </c>
      <c r="K192" s="1" t="s">
        <v>517</v>
      </c>
      <c r="L192" s="6">
        <v>1899.0</v>
      </c>
      <c r="M192" s="6">
        <v>1899.0</v>
      </c>
      <c r="N192" s="1" t="s">
        <v>171</v>
      </c>
      <c r="O192" s="7"/>
      <c r="P192" s="1" t="s">
        <v>178</v>
      </c>
      <c r="Q192" s="1" t="s">
        <v>31</v>
      </c>
      <c r="R192" s="1" t="s">
        <v>470</v>
      </c>
      <c r="S192" s="1" t="s">
        <v>59</v>
      </c>
      <c r="T192" s="1" t="s">
        <v>50</v>
      </c>
      <c r="U192" s="1" t="s">
        <v>49</v>
      </c>
      <c r="V192" s="1" t="s">
        <v>42</v>
      </c>
      <c r="W192" s="1" t="s">
        <v>42</v>
      </c>
      <c r="X192" s="1" t="s">
        <v>51</v>
      </c>
      <c r="Y192" s="8" t="str">
        <f>IFERROR(VLOOKUP(A192,Sheet3!B:H,6,false),VLOOKUP(J192,Sheet2!A:C,2,false))</f>
        <v>https://assets.roomstogo.com/product/beautyrest-world-class-level-four-plush-pillow-top-twin-xl-mattress_50025800_image-item</v>
      </c>
      <c r="Z192" s="8" t="str">
        <f>IFERROR(VLOOKUP(A192,Sheet3!B:H,7,false),VLOOKUP(J192,Sheet2!A:C,3,false))</f>
        <v>https://assets.roomstogo.com/product/beautyrest-world-class-level-four-plush-pillow-top-twin-xl-mattress_50025800_alt-image-13</v>
      </c>
    </row>
    <row r="193">
      <c r="A193" s="4">
        <v>5.0528957E7</v>
      </c>
      <c r="B193" s="9">
        <v>2.0</v>
      </c>
      <c r="C193" s="9">
        <v>5.0</v>
      </c>
      <c r="D193" s="2" t="s">
        <v>518</v>
      </c>
      <c r="E193" s="2" t="s">
        <v>44</v>
      </c>
      <c r="F193" s="2" t="s">
        <v>519</v>
      </c>
      <c r="G193" s="9">
        <v>3.0</v>
      </c>
      <c r="H193" s="9">
        <v>5.0</v>
      </c>
      <c r="I193" s="9">
        <v>1.0</v>
      </c>
      <c r="J193" s="1" t="s">
        <v>179</v>
      </c>
      <c r="K193" s="1" t="s">
        <v>520</v>
      </c>
      <c r="L193" s="6">
        <v>897.0</v>
      </c>
      <c r="M193" s="6">
        <v>1499.0</v>
      </c>
      <c r="N193" s="1" t="s">
        <v>181</v>
      </c>
      <c r="O193" s="1" t="s">
        <v>54</v>
      </c>
      <c r="P193" s="7"/>
      <c r="Q193" s="1" t="s">
        <v>31</v>
      </c>
      <c r="R193" s="1" t="s">
        <v>470</v>
      </c>
      <c r="S193" s="1" t="s">
        <v>59</v>
      </c>
      <c r="T193" s="1" t="s">
        <v>42</v>
      </c>
      <c r="U193" s="1" t="s">
        <v>49</v>
      </c>
      <c r="V193" s="1" t="s">
        <v>34</v>
      </c>
      <c r="W193" s="1" t="s">
        <v>34</v>
      </c>
      <c r="X193" s="1" t="s">
        <v>182</v>
      </c>
      <c r="Y193" s="8" t="str">
        <f>IFERROR(VLOOKUP(A193,Sheet3!B:H,6,false),VLOOKUP(J193,Sheet2!A:C,2,false))</f>
        <v>https://assets.roomstogo.com/product/sealy-correct-comfort-kerry-park-twin-xl-mattress_50028957_image-item</v>
      </c>
      <c r="Z193" s="8" t="str">
        <f>IFERROR(VLOOKUP(A193,Sheet3!B:H,7,false),VLOOKUP(J193,Sheet2!A:C,3,false))</f>
        <v>https://assets.roomstogo.com/product/sealy-correct-comfort-kerry-park-twin-xl-mattress_50028957_alt-image-1</v>
      </c>
    </row>
    <row r="194">
      <c r="A194" s="4">
        <v>5.0528969E7</v>
      </c>
      <c r="B194" s="9">
        <v>5.0</v>
      </c>
      <c r="C194" s="9">
        <v>4.6</v>
      </c>
      <c r="D194" s="2" t="s">
        <v>183</v>
      </c>
      <c r="E194" s="2" t="s">
        <v>44</v>
      </c>
      <c r="F194" s="2" t="s">
        <v>184</v>
      </c>
      <c r="G194" s="9">
        <v>12.0</v>
      </c>
      <c r="H194" s="9">
        <v>4.83</v>
      </c>
      <c r="I194" s="9">
        <v>7.0</v>
      </c>
      <c r="J194" s="1" t="s">
        <v>185</v>
      </c>
      <c r="K194" s="1" t="s">
        <v>521</v>
      </c>
      <c r="L194" s="6">
        <v>695.0</v>
      </c>
      <c r="M194" s="6">
        <v>799.0</v>
      </c>
      <c r="N194" s="1" t="s">
        <v>181</v>
      </c>
      <c r="O194" s="1" t="s">
        <v>54</v>
      </c>
      <c r="P194" s="7"/>
      <c r="Q194" s="1" t="s">
        <v>31</v>
      </c>
      <c r="R194" s="1" t="s">
        <v>470</v>
      </c>
      <c r="S194" s="1" t="s">
        <v>33</v>
      </c>
      <c r="T194" s="1" t="s">
        <v>34</v>
      </c>
      <c r="U194" s="1" t="s">
        <v>35</v>
      </c>
      <c r="V194" s="1" t="s">
        <v>34</v>
      </c>
      <c r="W194" s="1" t="s">
        <v>36</v>
      </c>
      <c r="X194" s="1" t="s">
        <v>37</v>
      </c>
      <c r="Y194" s="8" t="str">
        <f>IFERROR(VLOOKUP(A194,Sheet3!B:H,6,false),VLOOKUP(J194,Sheet2!A:C,2,false))</f>
        <v>https://assets.roomstogo.com/product/sealy-correct-comfort-bradford-hill-twin-xl-mattress_50028969_image-item</v>
      </c>
      <c r="Z194" s="8" t="str">
        <f>IFERROR(VLOOKUP(A194,Sheet3!B:H,7,false),VLOOKUP(J194,Sheet2!A:C,3,false))</f>
        <v>https://assets.roomstogo.com/product/sealy-correct-comfort-bradford-hill-twin-xl-mattress_50028969_alt-image-1</v>
      </c>
    </row>
    <row r="195">
      <c r="A195" s="4">
        <v>5.0528971E7</v>
      </c>
      <c r="B195" s="9">
        <v>1.0</v>
      </c>
      <c r="C195" s="9">
        <v>5.0</v>
      </c>
      <c r="D195" s="2" t="s">
        <v>522</v>
      </c>
      <c r="E195" s="2" t="s">
        <v>44</v>
      </c>
      <c r="F195" s="2" t="s">
        <v>523</v>
      </c>
      <c r="G195" s="9">
        <v>1.0</v>
      </c>
      <c r="H195" s="9">
        <v>5.0</v>
      </c>
      <c r="I195" s="9">
        <v>0.0</v>
      </c>
      <c r="J195" s="1" t="s">
        <v>187</v>
      </c>
      <c r="K195" s="1" t="s">
        <v>524</v>
      </c>
      <c r="L195" s="6">
        <v>997.0</v>
      </c>
      <c r="M195" s="6">
        <v>1799.0</v>
      </c>
      <c r="N195" s="1" t="s">
        <v>181</v>
      </c>
      <c r="O195" s="1" t="s">
        <v>54</v>
      </c>
      <c r="P195" s="7"/>
      <c r="Q195" s="7"/>
      <c r="R195" s="1" t="s">
        <v>470</v>
      </c>
      <c r="S195" s="1" t="s">
        <v>33</v>
      </c>
      <c r="T195" s="1" t="s">
        <v>42</v>
      </c>
      <c r="U195" s="1" t="s">
        <v>35</v>
      </c>
      <c r="V195" s="1" t="s">
        <v>34</v>
      </c>
      <c r="W195" s="1" t="s">
        <v>34</v>
      </c>
      <c r="X195" s="1" t="s">
        <v>37</v>
      </c>
      <c r="Y195" s="8" t="str">
        <f>IFERROR(VLOOKUP(A195,Sheet3!B:H,6,false),VLOOKUP(J195,Sheet2!A:C,2,false))</f>
        <v>https://assets.roomstogo.com/product/posturepedic-northgate-twin-xl-mattress_50028971_image-item</v>
      </c>
      <c r="Z195" s="8" t="str">
        <f>IFERROR(VLOOKUP(A195,Sheet3!B:H,7,false),VLOOKUP(J195,Sheet2!A:C,3,false))</f>
        <v>https://assets.roomstogo.com/product/posturepedic-northgate-twin-xl-mattress_50028971_alt-image-1</v>
      </c>
    </row>
    <row r="196">
      <c r="A196" s="4">
        <v>5.0529175E7</v>
      </c>
      <c r="B196" s="9">
        <v>3.0</v>
      </c>
      <c r="C196" s="9">
        <v>4.67</v>
      </c>
      <c r="D196" s="2" t="s">
        <v>341</v>
      </c>
      <c r="E196" s="2" t="s">
        <v>44</v>
      </c>
      <c r="F196" s="2" t="s">
        <v>342</v>
      </c>
      <c r="G196" s="9">
        <v>6.0</v>
      </c>
      <c r="H196" s="9">
        <v>4.17</v>
      </c>
      <c r="I196" s="9">
        <v>3.0</v>
      </c>
      <c r="J196" s="1" t="s">
        <v>189</v>
      </c>
      <c r="K196" s="1" t="s">
        <v>525</v>
      </c>
      <c r="L196" s="6">
        <v>677.0</v>
      </c>
      <c r="M196" s="6">
        <v>799.0</v>
      </c>
      <c r="N196" s="1" t="s">
        <v>191</v>
      </c>
      <c r="O196" s="1" t="s">
        <v>54</v>
      </c>
      <c r="P196" s="1" t="s">
        <v>192</v>
      </c>
      <c r="Q196" s="1" t="s">
        <v>31</v>
      </c>
      <c r="R196" s="1" t="s">
        <v>470</v>
      </c>
      <c r="S196" s="1" t="s">
        <v>59</v>
      </c>
      <c r="T196" s="1" t="s">
        <v>36</v>
      </c>
      <c r="U196" s="1" t="s">
        <v>35</v>
      </c>
      <c r="V196" s="1" t="s">
        <v>36</v>
      </c>
      <c r="W196" s="1" t="s">
        <v>36</v>
      </c>
      <c r="X196" s="1" t="s">
        <v>37</v>
      </c>
      <c r="Y196" s="8" t="str">
        <f>IFERROR(VLOOKUP(A196,Sheet3!B:H,6,false),VLOOKUP(J196,Sheet2!A:C,2,false))</f>
        <v>https://assets.roomstogo.com/product/sealy-posturepedic-brierwood-twin-xl-mattress_50029175_image-item</v>
      </c>
      <c r="Z196" s="8" t="str">
        <f>IFERROR(VLOOKUP(A196,Sheet3!B:H,7,false),VLOOKUP(J196,Sheet2!A:C,3,false))</f>
        <v>https://assets.roomstogo.com/product/sealy-posturepedic-brierwood-twin-xl-mattress_50029175_alt-image-1</v>
      </c>
    </row>
    <row r="197">
      <c r="A197" s="4">
        <v>5.0529202E7</v>
      </c>
      <c r="B197" s="9">
        <v>2.0</v>
      </c>
      <c r="C197" s="9">
        <v>4.0</v>
      </c>
      <c r="D197" s="2" t="s">
        <v>526</v>
      </c>
      <c r="E197" s="2" t="s">
        <v>44</v>
      </c>
      <c r="F197" s="2" t="s">
        <v>527</v>
      </c>
      <c r="G197" s="9">
        <v>3.0</v>
      </c>
      <c r="H197" s="9">
        <v>4.0</v>
      </c>
      <c r="I197" s="9">
        <v>1.0</v>
      </c>
      <c r="J197" s="1" t="s">
        <v>193</v>
      </c>
      <c r="K197" s="1" t="s">
        <v>528</v>
      </c>
      <c r="L197" s="6">
        <v>997.0</v>
      </c>
      <c r="M197" s="6">
        <v>1199.0</v>
      </c>
      <c r="N197" s="1" t="s">
        <v>195</v>
      </c>
      <c r="O197" s="1" t="s">
        <v>54</v>
      </c>
      <c r="P197" s="1" t="s">
        <v>196</v>
      </c>
      <c r="Q197" s="1" t="s">
        <v>31</v>
      </c>
      <c r="R197" s="1" t="s">
        <v>470</v>
      </c>
      <c r="S197" s="1" t="s">
        <v>59</v>
      </c>
      <c r="T197" s="1" t="s">
        <v>34</v>
      </c>
      <c r="U197" s="1" t="s">
        <v>35</v>
      </c>
      <c r="V197" s="1" t="s">
        <v>34</v>
      </c>
      <c r="W197" s="1" t="s">
        <v>36</v>
      </c>
      <c r="X197" s="1" t="s">
        <v>37</v>
      </c>
      <c r="Y197" s="8" t="str">
        <f>IFERROR(VLOOKUP(A197,Sheet3!B:H,6,false),VLOOKUP(J197,Sheet2!A:C,2,false))</f>
        <v>https://assets.roomstogo.com/product/sealy-posturepedic-castle-rock-twin-xl-mattress_50029202_image-item</v>
      </c>
      <c r="Z197" s="8" t="str">
        <f>IFERROR(VLOOKUP(A197,Sheet3!B:H,7,false),VLOOKUP(J197,Sheet2!A:C,3,false))</f>
        <v>https://assets.roomstogo.com/product/sealy-posturepedic-castle-rock-twin-xl-mattress_50029202_alt-image-1</v>
      </c>
    </row>
    <row r="198">
      <c r="A198" s="4">
        <v>5.0529214E7</v>
      </c>
      <c r="B198" s="5"/>
      <c r="C198" s="5"/>
      <c r="D198" s="5"/>
      <c r="E198" s="5"/>
      <c r="F198" s="5"/>
      <c r="G198" s="5"/>
      <c r="H198" s="5"/>
      <c r="I198" s="5"/>
      <c r="J198" s="1" t="s">
        <v>197</v>
      </c>
      <c r="K198" s="1" t="s">
        <v>529</v>
      </c>
      <c r="L198" s="6">
        <v>1077.0</v>
      </c>
      <c r="M198" s="6">
        <v>1299.0</v>
      </c>
      <c r="N198" s="1" t="s">
        <v>199</v>
      </c>
      <c r="O198" s="7"/>
      <c r="P198" s="1" t="s">
        <v>200</v>
      </c>
      <c r="Q198" s="1" t="s">
        <v>31</v>
      </c>
      <c r="R198" s="1" t="s">
        <v>470</v>
      </c>
      <c r="S198" s="1" t="s">
        <v>59</v>
      </c>
      <c r="T198" s="1" t="s">
        <v>34</v>
      </c>
      <c r="U198" s="1" t="s">
        <v>35</v>
      </c>
      <c r="V198" s="1" t="s">
        <v>42</v>
      </c>
      <c r="W198" s="1" t="s">
        <v>34</v>
      </c>
      <c r="X198" s="1" t="s">
        <v>37</v>
      </c>
      <c r="Y198" s="8" t="str">
        <f>IFERROR(VLOOKUP(A198,Sheet3!B:H,6,false),VLOOKUP(J198,Sheet2!A:C,2,false))</f>
        <v>https://assets.roomstogo.com/product/sealy-posturepedic-pebblebrook-twin-xl-mattress_50029214_image-item</v>
      </c>
      <c r="Z198" s="8" t="str">
        <f>IFERROR(VLOOKUP(A198,Sheet3!B:H,7,false),VLOOKUP(J198,Sheet2!A:C,3,false))</f>
        <v>https://assets.roomstogo.com/product/sealy-posturepedic-pebblebrook-twin-xl-mattress_50029214_alt-image-1</v>
      </c>
    </row>
    <row r="199">
      <c r="A199" s="4">
        <v>5.0537057E7</v>
      </c>
      <c r="B199" s="9">
        <v>9.0</v>
      </c>
      <c r="C199" s="9">
        <v>4.56</v>
      </c>
      <c r="D199" s="2" t="s">
        <v>201</v>
      </c>
      <c r="E199" s="2" t="s">
        <v>44</v>
      </c>
      <c r="F199" s="2" t="s">
        <v>202</v>
      </c>
      <c r="G199" s="9">
        <v>347.0</v>
      </c>
      <c r="H199" s="9">
        <v>4.52</v>
      </c>
      <c r="I199" s="9">
        <v>338.0</v>
      </c>
      <c r="J199" s="1" t="s">
        <v>203</v>
      </c>
      <c r="K199" s="1" t="s">
        <v>530</v>
      </c>
      <c r="L199" s="6">
        <v>1999.0</v>
      </c>
      <c r="M199" s="6">
        <v>1999.0</v>
      </c>
      <c r="N199" s="1" t="s">
        <v>205</v>
      </c>
      <c r="O199" s="7"/>
      <c r="P199" s="1" t="s">
        <v>206</v>
      </c>
      <c r="Q199" s="1" t="s">
        <v>31</v>
      </c>
      <c r="R199" s="1" t="s">
        <v>470</v>
      </c>
      <c r="S199" s="1" t="s">
        <v>59</v>
      </c>
      <c r="T199" s="1" t="s">
        <v>34</v>
      </c>
      <c r="U199" s="1" t="s">
        <v>76</v>
      </c>
      <c r="V199" s="1" t="s">
        <v>50</v>
      </c>
      <c r="W199" s="1" t="s">
        <v>42</v>
      </c>
      <c r="X199" s="1" t="s">
        <v>144</v>
      </c>
      <c r="Y199" s="8" t="str">
        <f>IFERROR(VLOOKUP(A199,Sheet3!B:H,6,false),VLOOKUP(J199,Sheet2!A:C,2,false))</f>
        <v>https://assets.roomstogo.com/product/beautyrest-black-series-one-extra-firm-twin-xl-mattress_50037057_image-item</v>
      </c>
      <c r="Z199" s="8" t="str">
        <f>IFERROR(VLOOKUP(A199,Sheet3!B:H,7,false),VLOOKUP(J199,Sheet2!A:C,3,false))</f>
        <v>https://assets.roomstogo.com/product/beautyrest-black-series-one-extra-firm-twin-xl-mattress_50037057_alt-image-1</v>
      </c>
    </row>
    <row r="200">
      <c r="A200" s="4">
        <v>5.0537134E7</v>
      </c>
      <c r="B200" s="9">
        <v>1.0</v>
      </c>
      <c r="C200" s="9">
        <v>5.0</v>
      </c>
      <c r="D200" s="2" t="s">
        <v>207</v>
      </c>
      <c r="E200" s="2" t="s">
        <v>44</v>
      </c>
      <c r="F200" s="2" t="s">
        <v>208</v>
      </c>
      <c r="G200" s="9">
        <v>137.0</v>
      </c>
      <c r="H200" s="9">
        <v>4.58</v>
      </c>
      <c r="I200" s="9">
        <v>136.0</v>
      </c>
      <c r="J200" s="1" t="s">
        <v>209</v>
      </c>
      <c r="K200" s="1" t="s">
        <v>531</v>
      </c>
      <c r="L200" s="6">
        <v>2999.0</v>
      </c>
      <c r="M200" s="6">
        <v>2999.0</v>
      </c>
      <c r="N200" s="1" t="s">
        <v>205</v>
      </c>
      <c r="O200" s="7"/>
      <c r="P200" s="1" t="s">
        <v>211</v>
      </c>
      <c r="Q200" s="1" t="s">
        <v>31</v>
      </c>
      <c r="R200" s="1" t="s">
        <v>470</v>
      </c>
      <c r="S200" s="1" t="s">
        <v>59</v>
      </c>
      <c r="T200" s="1" t="s">
        <v>42</v>
      </c>
      <c r="U200" s="1" t="s">
        <v>35</v>
      </c>
      <c r="V200" s="1" t="s">
        <v>50</v>
      </c>
      <c r="W200" s="1" t="s">
        <v>42</v>
      </c>
      <c r="X200" s="1" t="s">
        <v>37</v>
      </c>
      <c r="Y200" s="8" t="str">
        <f>IFERROR(VLOOKUP(A200,Sheet3!B:H,6,false),VLOOKUP(J200,Sheet2!A:C,2,false))</f>
        <v>https://assets.roomstogo.com/product/beautyrest-black-series-two-medium-twin-xl-mattress_50037134_image-item</v>
      </c>
      <c r="Z200" s="8" t="str">
        <f>IFERROR(VLOOKUP(A200,Sheet3!B:H,7,false),VLOOKUP(J200,Sheet2!A:C,3,false))</f>
        <v>https://assets.roomstogo.com/product/beautyrest-black-series-two-medium-twin-xl-mattress_50037134_alt-image-1</v>
      </c>
    </row>
    <row r="201">
      <c r="A201" s="4">
        <v>5.0537223E7</v>
      </c>
      <c r="B201" s="9">
        <v>2.0</v>
      </c>
      <c r="C201" s="9">
        <v>5.0</v>
      </c>
      <c r="D201" s="2" t="s">
        <v>212</v>
      </c>
      <c r="E201" s="2" t="s">
        <v>44</v>
      </c>
      <c r="F201" s="2" t="s">
        <v>213</v>
      </c>
      <c r="G201" s="9">
        <v>290.0</v>
      </c>
      <c r="H201" s="9">
        <v>4.72</v>
      </c>
      <c r="I201" s="9">
        <v>288.0</v>
      </c>
      <c r="J201" s="1" t="s">
        <v>214</v>
      </c>
      <c r="K201" s="1" t="s">
        <v>532</v>
      </c>
      <c r="L201" s="6">
        <v>4199.0</v>
      </c>
      <c r="M201" s="6">
        <v>4199.0</v>
      </c>
      <c r="N201" s="1" t="s">
        <v>205</v>
      </c>
      <c r="O201" s="7"/>
      <c r="P201" s="1" t="s">
        <v>216</v>
      </c>
      <c r="Q201" s="1" t="s">
        <v>31</v>
      </c>
      <c r="R201" s="1" t="s">
        <v>470</v>
      </c>
      <c r="S201" s="1" t="s">
        <v>59</v>
      </c>
      <c r="T201" s="1" t="s">
        <v>50</v>
      </c>
      <c r="U201" s="1" t="s">
        <v>49</v>
      </c>
      <c r="V201" s="1" t="s">
        <v>50</v>
      </c>
      <c r="W201" s="1" t="s">
        <v>42</v>
      </c>
      <c r="X201" s="1" t="s">
        <v>51</v>
      </c>
      <c r="Y201" s="8" t="str">
        <f>IFERROR(VLOOKUP(A201,Sheet3!B:H,6,false),VLOOKUP(J201,Sheet2!A:C,2,false))</f>
        <v>https://assets.roomstogo.com/product/beautyrest-black-series-three-plush-pillow-top-twin-xl-mattress_50037223_image-item</v>
      </c>
      <c r="Z201" s="8" t="str">
        <f>IFERROR(VLOOKUP(A201,Sheet3!B:H,7,false),VLOOKUP(J201,Sheet2!A:C,3,false))</f>
        <v>https://assets.roomstogo.com/product/beautyrest-black-series-three-plush-pillow-top-twin-xl-mattress_50037223_alt-image-1</v>
      </c>
    </row>
    <row r="202">
      <c r="A202" s="4">
        <v>5.0548036E7</v>
      </c>
      <c r="B202" s="9">
        <v>8.0</v>
      </c>
      <c r="C202" s="9">
        <v>3.5</v>
      </c>
      <c r="D202" s="2" t="s">
        <v>217</v>
      </c>
      <c r="E202" s="2" t="s">
        <v>44</v>
      </c>
      <c r="F202" s="2" t="s">
        <v>218</v>
      </c>
      <c r="G202" s="9">
        <v>438.0</v>
      </c>
      <c r="H202" s="9">
        <v>4.52</v>
      </c>
      <c r="I202" s="9">
        <v>430.0</v>
      </c>
      <c r="J202" s="1" t="s">
        <v>219</v>
      </c>
      <c r="K202" s="1" t="s">
        <v>533</v>
      </c>
      <c r="L202" s="6">
        <v>2399.0</v>
      </c>
      <c r="M202" s="6">
        <v>2399.0</v>
      </c>
      <c r="N202" s="1" t="s">
        <v>221</v>
      </c>
      <c r="O202" s="7"/>
      <c r="P202" s="1" t="s">
        <v>222</v>
      </c>
      <c r="Q202" s="1" t="s">
        <v>31</v>
      </c>
      <c r="R202" s="1" t="s">
        <v>470</v>
      </c>
      <c r="S202" s="1" t="s">
        <v>59</v>
      </c>
      <c r="T202" s="1" t="s">
        <v>34</v>
      </c>
      <c r="U202" s="1" t="s">
        <v>76</v>
      </c>
      <c r="V202" s="1" t="s">
        <v>42</v>
      </c>
      <c r="W202" s="1" t="s">
        <v>34</v>
      </c>
      <c r="X202" s="1" t="s">
        <v>77</v>
      </c>
      <c r="Y202" s="8" t="str">
        <f>IFERROR(VLOOKUP(A202,Sheet3!B:H,6,false),VLOOKUP(J202,Sheet2!A:C,2,false))</f>
        <v>https://assets.roomstogo.com/product/stearns-and-foster-estate-firm-tight-top-twin-xl-mattress_50048036_image-item</v>
      </c>
      <c r="Z202" s="8" t="str">
        <f>IFERROR(VLOOKUP(A202,Sheet3!B:H,7,false),VLOOKUP(J202,Sheet2!A:C,3,false))</f>
        <v>https://assets.roomstogo.com/product/stearns-and-foster-estate-firm-tight-top-twin-xl-mattress_50048036_alt-image-1</v>
      </c>
    </row>
    <row r="203">
      <c r="A203" s="4">
        <v>5.054805E7</v>
      </c>
      <c r="B203" s="9">
        <v>4.0</v>
      </c>
      <c r="C203" s="9">
        <v>3.5</v>
      </c>
      <c r="D203" s="2" t="s">
        <v>435</v>
      </c>
      <c r="E203" s="2" t="s">
        <v>44</v>
      </c>
      <c r="F203" s="2" t="s">
        <v>436</v>
      </c>
      <c r="G203" s="9">
        <v>7.0</v>
      </c>
      <c r="H203" s="9">
        <v>3.86</v>
      </c>
      <c r="I203" s="9">
        <v>3.0</v>
      </c>
      <c r="J203" s="1" t="s">
        <v>223</v>
      </c>
      <c r="K203" s="1" t="s">
        <v>534</v>
      </c>
      <c r="L203" s="6">
        <v>2599.0</v>
      </c>
      <c r="M203" s="6">
        <v>2599.0</v>
      </c>
      <c r="N203" s="1" t="s">
        <v>221</v>
      </c>
      <c r="O203" s="7"/>
      <c r="P203" s="1" t="s">
        <v>222</v>
      </c>
      <c r="Q203" s="1" t="s">
        <v>31</v>
      </c>
      <c r="R203" s="1" t="s">
        <v>470</v>
      </c>
      <c r="S203" s="1" t="s">
        <v>59</v>
      </c>
      <c r="T203" s="1" t="s">
        <v>34</v>
      </c>
      <c r="U203" s="1" t="s">
        <v>76</v>
      </c>
      <c r="V203" s="1" t="s">
        <v>42</v>
      </c>
      <c r="W203" s="1" t="s">
        <v>34</v>
      </c>
      <c r="X203" s="1" t="s">
        <v>77</v>
      </c>
      <c r="Y203" s="8" t="str">
        <f>IFERROR(VLOOKUP(A203,Sheet3!B:H,6,false),VLOOKUP(J203,Sheet2!A:C,2,false))</f>
        <v>https://assets.roomstogo.com/product/stearns-and-foster-estate-firm-pillow-top-twin-xl-mattress_50048050_image-item</v>
      </c>
      <c r="Z203" s="8" t="str">
        <f>IFERROR(VLOOKUP(A203,Sheet3!B:H,7,false),VLOOKUP(J203,Sheet2!A:C,3,false))</f>
        <v>https://assets.roomstogo.com/product/stearns-and-foster-estate-firm-pillow-top-twin-xl-mattress_50048050_alt-image-1</v>
      </c>
    </row>
    <row r="204">
      <c r="A204" s="4">
        <v>5.0548276E7</v>
      </c>
      <c r="B204" s="5"/>
      <c r="C204" s="5"/>
      <c r="D204" s="5"/>
      <c r="E204" s="5"/>
      <c r="F204" s="5"/>
      <c r="G204" s="5"/>
      <c r="H204" s="5"/>
      <c r="I204" s="5"/>
      <c r="J204" s="1" t="s">
        <v>227</v>
      </c>
      <c r="K204" s="1" t="s">
        <v>535</v>
      </c>
      <c r="L204" s="6">
        <v>4199.0</v>
      </c>
      <c r="M204" s="6">
        <v>4199.0</v>
      </c>
      <c r="N204" s="1" t="s">
        <v>221</v>
      </c>
      <c r="O204" s="7"/>
      <c r="P204" s="1" t="s">
        <v>229</v>
      </c>
      <c r="Q204" s="1" t="s">
        <v>31</v>
      </c>
      <c r="R204" s="1" t="s">
        <v>470</v>
      </c>
      <c r="S204" s="1" t="s">
        <v>59</v>
      </c>
      <c r="T204" s="1" t="s">
        <v>42</v>
      </c>
      <c r="U204" s="1" t="s">
        <v>35</v>
      </c>
      <c r="V204" s="1" t="s">
        <v>50</v>
      </c>
      <c r="W204" s="1" t="s">
        <v>42</v>
      </c>
      <c r="X204" s="1" t="s">
        <v>37</v>
      </c>
      <c r="Y204" s="8" t="str">
        <f>IFERROR(VLOOKUP(A204,Sheet3!B:H,6,false),VLOOKUP(J204,Sheet2!A:C,2,false))</f>
        <v>https://assets.roomstogo.com/product/stearns-and-foster-lux-estate-elite-medium-pillow-top-twin-xl-mattress_50048276_image-item</v>
      </c>
      <c r="Z204" s="8" t="str">
        <f>IFERROR(VLOOKUP(A204,Sheet3!B:H,7,false),VLOOKUP(J204,Sheet2!A:C,3,false))</f>
        <v>https://assets.roomstogo.com/product/stearns-and-foster-lux-estate-elite-medium-pillow-top-twin-xl-mattress_50048276_alt-image-1</v>
      </c>
    </row>
    <row r="205">
      <c r="A205" s="4">
        <v>5.057011E7</v>
      </c>
      <c r="B205" s="9">
        <v>2.0</v>
      </c>
      <c r="C205" s="9">
        <v>5.0</v>
      </c>
      <c r="D205" s="2" t="s">
        <v>230</v>
      </c>
      <c r="E205" s="2" t="s">
        <v>44</v>
      </c>
      <c r="F205" s="2" t="s">
        <v>231</v>
      </c>
      <c r="G205" s="9">
        <v>9006.0</v>
      </c>
      <c r="H205" s="9">
        <v>4.32</v>
      </c>
      <c r="I205" s="9">
        <v>9004.0</v>
      </c>
      <c r="J205" s="1" t="s">
        <v>232</v>
      </c>
      <c r="K205" s="1" t="s">
        <v>536</v>
      </c>
      <c r="L205" s="6">
        <v>2118.0</v>
      </c>
      <c r="M205" s="6">
        <v>2647.5</v>
      </c>
      <c r="N205" s="1" t="s">
        <v>234</v>
      </c>
      <c r="O205" s="7"/>
      <c r="P205" s="7"/>
      <c r="Q205" s="1" t="s">
        <v>31</v>
      </c>
      <c r="R205" s="1" t="s">
        <v>470</v>
      </c>
      <c r="S205" s="1" t="s">
        <v>59</v>
      </c>
      <c r="T205" s="1" t="s">
        <v>42</v>
      </c>
      <c r="U205" s="1" t="s">
        <v>35</v>
      </c>
      <c r="V205" s="1" t="s">
        <v>42</v>
      </c>
      <c r="W205" s="1" t="s">
        <v>34</v>
      </c>
      <c r="X205" s="1" t="s">
        <v>37</v>
      </c>
      <c r="Y205" s="8" t="str">
        <f>IFERROR(VLOOKUP(A205,Sheet3!B:H,6,false),VLOOKUP(J205,Sheet2!A:C,2,false))</f>
        <v>https://assets.roomstogo.com/product/helix-midnight-luxe-twin-xl-mattress_50070110_image-item</v>
      </c>
      <c r="Z205" s="8" t="str">
        <f>IFERROR(VLOOKUP(A205,Sheet3!B:H,7,false),VLOOKUP(J205,Sheet2!A:C,3,false))</f>
        <v>https://assets.roomstogo.com/product/helix-midnight-luxe-twin-xl-mattress_50070110_alt-image-1</v>
      </c>
    </row>
    <row r="206">
      <c r="A206" s="4">
        <v>5.0570122E7</v>
      </c>
      <c r="B206" s="9">
        <v>2.0</v>
      </c>
      <c r="C206" s="9">
        <v>3.5</v>
      </c>
      <c r="D206" s="2" t="s">
        <v>235</v>
      </c>
      <c r="E206" s="2" t="s">
        <v>44</v>
      </c>
      <c r="F206" s="2" t="s">
        <v>236</v>
      </c>
      <c r="G206" s="9">
        <v>501.0</v>
      </c>
      <c r="H206" s="9">
        <v>4.22</v>
      </c>
      <c r="I206" s="9">
        <v>499.0</v>
      </c>
      <c r="J206" s="1" t="s">
        <v>237</v>
      </c>
      <c r="K206" s="1" t="s">
        <v>537</v>
      </c>
      <c r="L206" s="6">
        <v>2999.0</v>
      </c>
      <c r="M206" s="6">
        <v>3748.75</v>
      </c>
      <c r="N206" s="1" t="s">
        <v>234</v>
      </c>
      <c r="O206" s="7"/>
      <c r="P206" s="7"/>
      <c r="Q206" s="1" t="s">
        <v>31</v>
      </c>
      <c r="R206" s="1" t="s">
        <v>470</v>
      </c>
      <c r="S206" s="1" t="s">
        <v>59</v>
      </c>
      <c r="T206" s="1" t="s">
        <v>50</v>
      </c>
      <c r="U206" s="1" t="s">
        <v>35</v>
      </c>
      <c r="V206" s="1" t="s">
        <v>42</v>
      </c>
      <c r="W206" s="1" t="s">
        <v>42</v>
      </c>
      <c r="X206" s="1" t="s">
        <v>37</v>
      </c>
      <c r="Y206" s="8" t="str">
        <f>IFERROR(VLOOKUP(A206,Sheet3!B:H,6,false),VLOOKUP(J206,Sheet2!A:C,2,false))</f>
        <v>https://assets.roomstogo.com/product/helix-midnight-elite-twin-xl-mattress_50070122_image-item</v>
      </c>
      <c r="Z206" s="8" t="str">
        <f>IFERROR(VLOOKUP(A206,Sheet3!B:H,7,false),VLOOKUP(J206,Sheet2!A:C,3,false))</f>
        <v>https://assets.roomstogo.com/product/helix-midnight-elite-twin-xl-mattress_50070122_alt-image-1</v>
      </c>
    </row>
    <row r="207">
      <c r="A207" s="4">
        <v>5.0600482E7</v>
      </c>
      <c r="B207" s="9">
        <v>53.0</v>
      </c>
      <c r="C207" s="9">
        <v>4.68</v>
      </c>
      <c r="D207" s="2" t="s">
        <v>538</v>
      </c>
      <c r="E207" s="2" t="s">
        <v>539</v>
      </c>
      <c r="F207" s="2" t="s">
        <v>446</v>
      </c>
      <c r="G207" s="9">
        <v>14.0</v>
      </c>
      <c r="H207" s="9">
        <v>4.79</v>
      </c>
      <c r="I207" s="9">
        <v>-39.0</v>
      </c>
      <c r="J207" s="1" t="s">
        <v>447</v>
      </c>
      <c r="K207" s="1" t="s">
        <v>540</v>
      </c>
      <c r="L207" s="6">
        <v>699.0</v>
      </c>
      <c r="M207" s="6">
        <v>799.0</v>
      </c>
      <c r="N207" s="1" t="s">
        <v>449</v>
      </c>
      <c r="O207" s="7"/>
      <c r="P207" s="1" t="s">
        <v>450</v>
      </c>
      <c r="Q207" s="1" t="s">
        <v>31</v>
      </c>
      <c r="R207" s="1" t="s">
        <v>470</v>
      </c>
      <c r="S207" s="7"/>
      <c r="T207" s="7"/>
      <c r="U207" s="7"/>
      <c r="V207" s="7"/>
      <c r="W207" s="7"/>
      <c r="X207" s="7"/>
      <c r="Y207" s="11" t="str">
        <f>IFERROR(VLOOKUP(A207,Sheet3!B:H,6,false),VLOOKUP(J207,Sheet2!A:C,2,false))</f>
        <v>#N/A</v>
      </c>
      <c r="Z207" s="11" t="str">
        <f>IFERROR(VLOOKUP(A207,Sheet3!B:H,7,false),VLOOKUP(J207,Sheet2!A:C,3,false))</f>
        <v>#N/A</v>
      </c>
    </row>
    <row r="208">
      <c r="A208" s="4">
        <v>5.0600519E7</v>
      </c>
      <c r="B208" s="9">
        <v>4.0</v>
      </c>
      <c r="C208" s="9">
        <v>5.0</v>
      </c>
      <c r="D208" s="2" t="s">
        <v>541</v>
      </c>
      <c r="E208" s="2" t="s">
        <v>539</v>
      </c>
      <c r="F208" s="2" t="s">
        <v>452</v>
      </c>
      <c r="G208" s="9">
        <v>1.0</v>
      </c>
      <c r="H208" s="9">
        <v>5.0</v>
      </c>
      <c r="I208" s="9">
        <v>-3.0</v>
      </c>
      <c r="J208" s="1" t="s">
        <v>453</v>
      </c>
      <c r="K208" s="1" t="s">
        <v>542</v>
      </c>
      <c r="L208" s="6">
        <v>1499.0</v>
      </c>
      <c r="M208" s="6">
        <v>1699.0</v>
      </c>
      <c r="N208" s="1" t="s">
        <v>449</v>
      </c>
      <c r="O208" s="7"/>
      <c r="P208" s="1" t="s">
        <v>455</v>
      </c>
      <c r="Q208" s="1" t="s">
        <v>31</v>
      </c>
      <c r="R208" s="1" t="s">
        <v>470</v>
      </c>
      <c r="S208" s="7"/>
      <c r="T208" s="7"/>
      <c r="U208" s="7"/>
      <c r="V208" s="7"/>
      <c r="W208" s="7"/>
      <c r="X208" s="7"/>
      <c r="Y208" s="11" t="str">
        <f>IFERROR(VLOOKUP(A208,Sheet3!B:H,6,false),VLOOKUP(J208,Sheet2!A:C,2,false))</f>
        <v>#N/A</v>
      </c>
      <c r="Z208" s="11" t="str">
        <f>IFERROR(VLOOKUP(A208,Sheet3!B:H,7,false),VLOOKUP(J208,Sheet2!A:C,3,false))</f>
        <v>#N/A</v>
      </c>
    </row>
    <row r="209">
      <c r="A209" s="4">
        <v>5.0608161E7</v>
      </c>
      <c r="B209" s="9">
        <v>14.0</v>
      </c>
      <c r="C209" s="9">
        <v>4.79</v>
      </c>
      <c r="D209" s="2" t="s">
        <v>543</v>
      </c>
      <c r="E209" s="2" t="s">
        <v>539</v>
      </c>
      <c r="F209" s="2" t="s">
        <v>457</v>
      </c>
      <c r="G209" s="9">
        <v>1.0</v>
      </c>
      <c r="H209" s="9">
        <v>5.0</v>
      </c>
      <c r="I209" s="9">
        <v>-13.0</v>
      </c>
      <c r="J209" s="1" t="s">
        <v>458</v>
      </c>
      <c r="K209" s="1" t="s">
        <v>544</v>
      </c>
      <c r="L209" s="6">
        <v>1699.0</v>
      </c>
      <c r="M209" s="6">
        <v>1699.0</v>
      </c>
      <c r="N209" s="1" t="s">
        <v>64</v>
      </c>
      <c r="O209" s="7"/>
      <c r="P209" s="1" t="s">
        <v>460</v>
      </c>
      <c r="Q209" s="1" t="s">
        <v>31</v>
      </c>
      <c r="R209" s="1" t="s">
        <v>470</v>
      </c>
      <c r="S209" s="7"/>
      <c r="T209" s="7"/>
      <c r="U209" s="7"/>
      <c r="V209" s="7"/>
      <c r="W209" s="7"/>
      <c r="X209" s="7"/>
      <c r="Y209" s="11" t="str">
        <f>IFERROR(VLOOKUP(A209,Sheet3!B:H,6,false),VLOOKUP(J209,Sheet2!A:C,2,false))</f>
        <v>#N/A</v>
      </c>
      <c r="Z209" s="11" t="str">
        <f>IFERROR(VLOOKUP(A209,Sheet3!B:H,7,false),VLOOKUP(J209,Sheet2!A:C,3,false))</f>
        <v>#N/A</v>
      </c>
    </row>
    <row r="210">
      <c r="A210" s="4">
        <v>5.0608185E7</v>
      </c>
      <c r="B210" s="9">
        <v>7.0</v>
      </c>
      <c r="C210" s="9">
        <v>4.86</v>
      </c>
      <c r="D210" s="2" t="s">
        <v>545</v>
      </c>
      <c r="E210" s="2" t="s">
        <v>539</v>
      </c>
      <c r="F210" s="2" t="s">
        <v>462</v>
      </c>
      <c r="G210" s="9">
        <v>405.0</v>
      </c>
      <c r="H210" s="9">
        <v>4.6</v>
      </c>
      <c r="I210" s="9">
        <v>398.0</v>
      </c>
      <c r="J210" s="1" t="s">
        <v>463</v>
      </c>
      <c r="K210" s="1" t="s">
        <v>546</v>
      </c>
      <c r="L210" s="6">
        <v>2199.0</v>
      </c>
      <c r="M210" s="6">
        <v>2199.0</v>
      </c>
      <c r="N210" s="1" t="s">
        <v>64</v>
      </c>
      <c r="O210" s="7"/>
      <c r="P210" s="1" t="s">
        <v>465</v>
      </c>
      <c r="Q210" s="1" t="s">
        <v>31</v>
      </c>
      <c r="R210" s="1" t="s">
        <v>470</v>
      </c>
      <c r="S210" s="7"/>
      <c r="T210" s="7"/>
      <c r="U210" s="7"/>
      <c r="V210" s="7"/>
      <c r="W210" s="7"/>
      <c r="X210" s="7"/>
      <c r="Y210" s="11" t="str">
        <f>IFERROR(VLOOKUP(A210,Sheet3!B:H,6,false),VLOOKUP(J210,Sheet2!A:C,2,false))</f>
        <v>#N/A</v>
      </c>
      <c r="Z210" s="11" t="str">
        <f>IFERROR(VLOOKUP(A210,Sheet3!B:H,7,false),VLOOKUP(J210,Sheet2!A:C,3,false))</f>
        <v>#N/A</v>
      </c>
    </row>
    <row r="211">
      <c r="A211" s="4">
        <v>5.0608197E7</v>
      </c>
      <c r="B211" s="9">
        <v>199.0</v>
      </c>
      <c r="C211" s="9">
        <v>4.71</v>
      </c>
      <c r="D211" s="2" t="s">
        <v>547</v>
      </c>
      <c r="E211" s="2" t="s">
        <v>539</v>
      </c>
      <c r="F211" s="2" t="s">
        <v>548</v>
      </c>
      <c r="G211" s="9">
        <v>5.0</v>
      </c>
      <c r="H211" s="9">
        <v>4.4</v>
      </c>
      <c r="I211" s="9">
        <v>-194.0</v>
      </c>
      <c r="J211" s="1" t="s">
        <v>549</v>
      </c>
      <c r="K211" s="1" t="s">
        <v>550</v>
      </c>
      <c r="L211" s="6">
        <v>2699.0</v>
      </c>
      <c r="M211" s="6">
        <v>2699.0</v>
      </c>
      <c r="N211" s="1" t="s">
        <v>64</v>
      </c>
      <c r="O211" s="7"/>
      <c r="P211" s="1" t="s">
        <v>551</v>
      </c>
      <c r="Q211" s="1" t="s">
        <v>31</v>
      </c>
      <c r="R211" s="1" t="s">
        <v>470</v>
      </c>
      <c r="S211" s="7"/>
      <c r="T211" s="7"/>
      <c r="U211" s="7"/>
      <c r="V211" s="7"/>
      <c r="W211" s="7"/>
      <c r="X211" s="7"/>
      <c r="Y211" s="11" t="str">
        <f>IFERROR(VLOOKUP(A211,Sheet3!B:H,6,false),VLOOKUP(J211,Sheet2!A:C,2,false))</f>
        <v>#N/A</v>
      </c>
      <c r="Z211" s="11" t="str">
        <f>IFERROR(VLOOKUP(A211,Sheet3!B:H,7,false),VLOOKUP(J211,Sheet2!A:C,3,false))</f>
        <v>#N/A</v>
      </c>
    </row>
    <row r="212">
      <c r="A212" s="4">
        <v>5.0608832E7</v>
      </c>
      <c r="B212" s="9">
        <v>7.0</v>
      </c>
      <c r="C212" s="9">
        <v>4.43</v>
      </c>
      <c r="D212" s="2" t="s">
        <v>552</v>
      </c>
      <c r="E212" s="2" t="s">
        <v>539</v>
      </c>
      <c r="F212" s="2" t="s">
        <v>553</v>
      </c>
      <c r="G212" s="9">
        <v>12.0</v>
      </c>
      <c r="H212" s="9">
        <v>3.33</v>
      </c>
      <c r="I212" s="9">
        <v>5.0</v>
      </c>
      <c r="J212" s="1" t="s">
        <v>554</v>
      </c>
      <c r="K212" s="1" t="s">
        <v>555</v>
      </c>
      <c r="L212" s="6">
        <v>599.0</v>
      </c>
      <c r="M212" s="6">
        <v>599.0</v>
      </c>
      <c r="N212" s="1" t="s">
        <v>556</v>
      </c>
      <c r="O212" s="1" t="s">
        <v>54</v>
      </c>
      <c r="P212" s="1" t="s">
        <v>557</v>
      </c>
      <c r="Q212" s="1" t="s">
        <v>31</v>
      </c>
      <c r="R212" s="1" t="s">
        <v>470</v>
      </c>
      <c r="S212" s="7"/>
      <c r="T212" s="7"/>
      <c r="U212" s="7"/>
      <c r="V212" s="7"/>
      <c r="W212" s="7"/>
      <c r="X212" s="7"/>
      <c r="Y212" s="11" t="str">
        <f>IFERROR(VLOOKUP(A212,Sheet3!B:H,6,false),VLOOKUP(J212,Sheet2!A:C,2,false))</f>
        <v>#N/A</v>
      </c>
      <c r="Z212" s="11" t="str">
        <f>IFERROR(VLOOKUP(A212,Sheet3!B:H,7,false),VLOOKUP(J212,Sheet2!A:C,3,false))</f>
        <v>#N/A</v>
      </c>
    </row>
    <row r="213">
      <c r="A213" s="4">
        <v>5.0608894E7</v>
      </c>
      <c r="B213" s="9">
        <v>21.0</v>
      </c>
      <c r="C213" s="9">
        <v>4.38</v>
      </c>
      <c r="D213" s="2" t="s">
        <v>558</v>
      </c>
      <c r="E213" s="2" t="s">
        <v>539</v>
      </c>
      <c r="F213" s="2" t="s">
        <v>559</v>
      </c>
      <c r="G213" s="9">
        <v>17.0</v>
      </c>
      <c r="H213" s="9">
        <v>4.47</v>
      </c>
      <c r="I213" s="9">
        <v>-4.0</v>
      </c>
      <c r="J213" s="1" t="s">
        <v>560</v>
      </c>
      <c r="K213" s="1" t="s">
        <v>561</v>
      </c>
      <c r="L213" s="6">
        <v>799.0</v>
      </c>
      <c r="M213" s="6">
        <v>999.0</v>
      </c>
      <c r="N213" s="1" t="s">
        <v>556</v>
      </c>
      <c r="O213" s="1" t="s">
        <v>54</v>
      </c>
      <c r="P213" s="7"/>
      <c r="Q213" s="1" t="s">
        <v>31</v>
      </c>
      <c r="R213" s="1" t="s">
        <v>470</v>
      </c>
      <c r="S213" s="7"/>
      <c r="T213" s="7"/>
      <c r="U213" s="7"/>
      <c r="V213" s="7"/>
      <c r="W213" s="7"/>
      <c r="X213" s="7"/>
      <c r="Y213" s="11" t="str">
        <f>IFERROR(VLOOKUP(A213,Sheet3!B:H,6,false),VLOOKUP(J213,Sheet2!A:C,2,false))</f>
        <v>#N/A</v>
      </c>
      <c r="Z213" s="11" t="str">
        <f>IFERROR(VLOOKUP(A213,Sheet3!B:H,7,false),VLOOKUP(J213,Sheet2!A:C,3,false))</f>
        <v>#N/A</v>
      </c>
    </row>
    <row r="214">
      <c r="A214" s="4">
        <v>5.0608957E7</v>
      </c>
      <c r="B214" s="5"/>
      <c r="C214" s="5"/>
      <c r="D214" s="5"/>
      <c r="E214" s="5"/>
      <c r="F214" s="5"/>
      <c r="G214" s="5"/>
      <c r="H214" s="5"/>
      <c r="I214" s="5"/>
      <c r="J214" s="1" t="s">
        <v>562</v>
      </c>
      <c r="K214" s="1" t="s">
        <v>563</v>
      </c>
      <c r="L214" s="6">
        <v>1599.0</v>
      </c>
      <c r="M214" s="6">
        <v>1799.0</v>
      </c>
      <c r="N214" s="1" t="s">
        <v>564</v>
      </c>
      <c r="O214" s="1" t="s">
        <v>54</v>
      </c>
      <c r="P214" s="7"/>
      <c r="Q214" s="7"/>
      <c r="R214" s="1" t="s">
        <v>470</v>
      </c>
      <c r="S214" s="7"/>
      <c r="T214" s="7"/>
      <c r="U214" s="7"/>
      <c r="V214" s="7"/>
      <c r="W214" s="7"/>
      <c r="X214" s="7"/>
      <c r="Y214" s="11" t="str">
        <f>IFERROR(VLOOKUP(A214,Sheet3!B:H,6,false),VLOOKUP(J214,Sheet2!A:C,2,false))</f>
        <v>#N/A</v>
      </c>
      <c r="Z214" s="11" t="str">
        <f>IFERROR(VLOOKUP(A214,Sheet3!B:H,7,false),VLOOKUP(J214,Sheet2!A:C,3,false))</f>
        <v>#N/A</v>
      </c>
    </row>
    <row r="215">
      <c r="A215" s="4">
        <v>5.0618605E7</v>
      </c>
      <c r="B215" s="9">
        <v>670.0</v>
      </c>
      <c r="C215" s="9">
        <v>4.51</v>
      </c>
      <c r="D215" s="2" t="s">
        <v>565</v>
      </c>
      <c r="E215" s="2" t="s">
        <v>539</v>
      </c>
      <c r="F215" s="2" t="s">
        <v>368</v>
      </c>
      <c r="G215" s="9">
        <v>11.0</v>
      </c>
      <c r="H215" s="9">
        <v>4.45</v>
      </c>
      <c r="I215" s="9">
        <v>-659.0</v>
      </c>
      <c r="J215" s="1" t="s">
        <v>369</v>
      </c>
      <c r="K215" s="1" t="s">
        <v>566</v>
      </c>
      <c r="L215" s="6">
        <v>999.0</v>
      </c>
      <c r="M215" s="6">
        <v>999.0</v>
      </c>
      <c r="N215" s="1" t="s">
        <v>468</v>
      </c>
      <c r="O215" s="7"/>
      <c r="P215" s="1" t="s">
        <v>371</v>
      </c>
      <c r="Q215" s="1" t="s">
        <v>31</v>
      </c>
      <c r="R215" s="1" t="s">
        <v>470</v>
      </c>
      <c r="S215" s="7"/>
      <c r="T215" s="7"/>
      <c r="U215" s="7"/>
      <c r="V215" s="7"/>
      <c r="W215" s="7"/>
      <c r="X215" s="7"/>
      <c r="Y215" s="11" t="str">
        <f>IFERROR(VLOOKUP(A215,Sheet3!B:H,6,false),VLOOKUP(J215,Sheet2!A:C,2,false))</f>
        <v>#N/A</v>
      </c>
      <c r="Z215" s="11" t="str">
        <f>IFERROR(VLOOKUP(A215,Sheet3!B:H,7,false),VLOOKUP(J215,Sheet2!A:C,3,false))</f>
        <v>#N/A</v>
      </c>
    </row>
    <row r="216">
      <c r="A216" s="4">
        <v>5.0700547E7</v>
      </c>
      <c r="B216" s="5"/>
      <c r="C216" s="5"/>
      <c r="D216" s="5"/>
      <c r="E216" s="5"/>
      <c r="F216" s="5"/>
      <c r="G216" s="5"/>
      <c r="H216" s="5"/>
      <c r="I216" s="5"/>
      <c r="J216" s="1" t="s">
        <v>28</v>
      </c>
      <c r="K216" s="1" t="s">
        <v>567</v>
      </c>
      <c r="L216" s="6">
        <v>1319.0</v>
      </c>
      <c r="M216" s="6">
        <v>1649.0</v>
      </c>
      <c r="N216" s="1" t="s">
        <v>30</v>
      </c>
      <c r="O216" s="7"/>
      <c r="P216" s="7"/>
      <c r="Q216" s="1" t="s">
        <v>31</v>
      </c>
      <c r="R216" s="1" t="s">
        <v>568</v>
      </c>
      <c r="S216" s="1" t="s">
        <v>33</v>
      </c>
      <c r="T216" s="1" t="s">
        <v>34</v>
      </c>
      <c r="U216" s="1" t="s">
        <v>35</v>
      </c>
      <c r="V216" s="1" t="s">
        <v>34</v>
      </c>
      <c r="W216" s="1" t="s">
        <v>36</v>
      </c>
      <c r="X216" s="1" t="s">
        <v>37</v>
      </c>
      <c r="Y216" s="8" t="str">
        <f>IFERROR(VLOOKUP(A216,Sheet3!B:H,6,false),VLOOKUP(J216,Sheet2!A:C,2,false))</f>
        <v>https://assets.roomstogo.com/product/casper-cloud-one-twin-xl-mattress_50000543_image-item</v>
      </c>
      <c r="Z216" s="8" t="str">
        <f>IFERROR(VLOOKUP(A216,Sheet3!B:H,7,false),VLOOKUP(J216,Sheet2!A:C,3,false))</f>
        <v>https://assets.roomstogo.com/product/casper-cloud-one-twin-xl-mattress_50000543_alt-image-1</v>
      </c>
    </row>
    <row r="217">
      <c r="A217" s="4">
        <v>5.0700573E7</v>
      </c>
      <c r="B217" s="9">
        <v>18.0</v>
      </c>
      <c r="C217" s="9">
        <v>4.22</v>
      </c>
      <c r="D217" s="2" t="s">
        <v>471</v>
      </c>
      <c r="E217" s="2" t="s">
        <v>44</v>
      </c>
      <c r="F217" s="2" t="s">
        <v>472</v>
      </c>
      <c r="G217" s="9">
        <v>807.0</v>
      </c>
      <c r="H217" s="9">
        <v>4.46</v>
      </c>
      <c r="I217" s="9">
        <v>789.0</v>
      </c>
      <c r="J217" s="1" t="s">
        <v>38</v>
      </c>
      <c r="K217" s="1" t="s">
        <v>569</v>
      </c>
      <c r="L217" s="6">
        <v>2595.0</v>
      </c>
      <c r="M217" s="6">
        <v>3295.0</v>
      </c>
      <c r="N217" s="1" t="s">
        <v>30</v>
      </c>
      <c r="O217" s="7"/>
      <c r="P217" s="1" t="s">
        <v>40</v>
      </c>
      <c r="Q217" s="1" t="s">
        <v>31</v>
      </c>
      <c r="R217" s="1" t="s">
        <v>568</v>
      </c>
      <c r="S217" s="1" t="s">
        <v>41</v>
      </c>
      <c r="T217" s="1" t="s">
        <v>34</v>
      </c>
      <c r="U217" s="1" t="s">
        <v>35</v>
      </c>
      <c r="V217" s="1" t="s">
        <v>34</v>
      </c>
      <c r="W217" s="1" t="s">
        <v>42</v>
      </c>
      <c r="X217" s="1" t="s">
        <v>37</v>
      </c>
      <c r="Y217" s="8" t="str">
        <f>IFERROR(VLOOKUP(A217,Sheet3!B:H,6,false),VLOOKUP(J217,Sheet2!A:C,2,false))</f>
        <v>https://assets.roomstogo.com/product/casper-snow-20-twin-xl-mattress_50000579_image-item</v>
      </c>
      <c r="Z217" s="8" t="str">
        <f>IFERROR(VLOOKUP(A217,Sheet3!B:H,7,false),VLOOKUP(J217,Sheet2!A:C,3,false))</f>
        <v>https://assets.roomstogo.com/product/casper-snow-20-twin-xl-mattress_50000579_alt-image-1</v>
      </c>
    </row>
    <row r="218">
      <c r="A218" s="4">
        <v>5.0700585E7</v>
      </c>
      <c r="B218" s="9">
        <v>3.0</v>
      </c>
      <c r="C218" s="9">
        <v>5.0</v>
      </c>
      <c r="D218" s="2" t="s">
        <v>43</v>
      </c>
      <c r="E218" s="2" t="s">
        <v>44</v>
      </c>
      <c r="F218" s="2" t="s">
        <v>45</v>
      </c>
      <c r="G218" s="9">
        <v>380.0</v>
      </c>
      <c r="H218" s="9">
        <v>4.42</v>
      </c>
      <c r="I218" s="9">
        <v>377.0</v>
      </c>
      <c r="J218" s="1" t="s">
        <v>46</v>
      </c>
      <c r="K218" s="1" t="s">
        <v>570</v>
      </c>
      <c r="L218" s="6">
        <v>3895.0</v>
      </c>
      <c r="M218" s="6">
        <v>4895.0</v>
      </c>
      <c r="N218" s="1" t="s">
        <v>30</v>
      </c>
      <c r="O218" s="7"/>
      <c r="P218" s="1" t="s">
        <v>48</v>
      </c>
      <c r="Q218" s="1" t="s">
        <v>31</v>
      </c>
      <c r="R218" s="1" t="s">
        <v>568</v>
      </c>
      <c r="S218" s="1" t="s">
        <v>41</v>
      </c>
      <c r="T218" s="1" t="s">
        <v>42</v>
      </c>
      <c r="U218" s="1" t="s">
        <v>49</v>
      </c>
      <c r="V218" s="1" t="s">
        <v>34</v>
      </c>
      <c r="W218" s="1" t="s">
        <v>50</v>
      </c>
      <c r="X218" s="1" t="s">
        <v>51</v>
      </c>
      <c r="Y218" s="8" t="str">
        <f>IFERROR(VLOOKUP(A218,Sheet3!B:H,6,false),VLOOKUP(J218,Sheet2!A:C,2,false))</f>
        <v>https://assets.roomstogo.com/product/casper-snow-max-twin-xl-mattress_50000581_image-item</v>
      </c>
      <c r="Z218" s="8" t="str">
        <f>IFERROR(VLOOKUP(A218,Sheet3!B:H,7,false),VLOOKUP(J218,Sheet2!A:C,3,false))</f>
        <v>https://assets.roomstogo.com/product/casper-snow-max-twin-xl-mattress_50000581_alt-image-1</v>
      </c>
    </row>
    <row r="219">
      <c r="A219" s="4">
        <v>5.0700686E7</v>
      </c>
      <c r="B219" s="9">
        <v>1.0</v>
      </c>
      <c r="C219" s="9">
        <v>1.0</v>
      </c>
      <c r="D219" s="2" t="s">
        <v>377</v>
      </c>
      <c r="E219" s="2" t="s">
        <v>44</v>
      </c>
      <c r="F219" s="2" t="s">
        <v>378</v>
      </c>
      <c r="G219" s="9">
        <v>6.0</v>
      </c>
      <c r="H219" s="9">
        <v>3.67</v>
      </c>
      <c r="I219" s="9">
        <v>5.0</v>
      </c>
      <c r="J219" s="1" t="s">
        <v>52</v>
      </c>
      <c r="K219" s="1" t="s">
        <v>571</v>
      </c>
      <c r="L219" s="6">
        <v>1199.0</v>
      </c>
      <c r="M219" s="6">
        <v>1299.0</v>
      </c>
      <c r="N219" s="1" t="s">
        <v>30</v>
      </c>
      <c r="O219" s="1" t="s">
        <v>54</v>
      </c>
      <c r="P219" s="1" t="s">
        <v>244</v>
      </c>
      <c r="Q219" s="1" t="s">
        <v>31</v>
      </c>
      <c r="R219" s="1" t="s">
        <v>568</v>
      </c>
      <c r="S219" s="1" t="s">
        <v>33</v>
      </c>
      <c r="T219" s="1" t="s">
        <v>36</v>
      </c>
      <c r="U219" s="1" t="s">
        <v>35</v>
      </c>
      <c r="V219" s="1" t="s">
        <v>36</v>
      </c>
      <c r="W219" s="1" t="s">
        <v>36</v>
      </c>
      <c r="X219" s="1" t="s">
        <v>37</v>
      </c>
      <c r="Y219" s="8" t="str">
        <f>IFERROR(VLOOKUP(A219,Sheet3!B:H,6,false),VLOOKUP(J219,Sheet2!A:C,2,false))</f>
        <v>https://assets.roomstogo.com/product/casper-onyx-20-twin-xl-mattress_50000682_image-item</v>
      </c>
      <c r="Z219" s="8" t="str">
        <f>IFERROR(VLOOKUP(A219,Sheet3!B:H,7,false),VLOOKUP(J219,Sheet2!A:C,3,false))</f>
        <v>https://assets.roomstogo.com/product/casper-onyx-20-twin-xl-mattress_50000682_alt-image-1</v>
      </c>
    </row>
    <row r="220">
      <c r="A220" s="4">
        <v>5.0701777E7</v>
      </c>
      <c r="B220" s="9">
        <v>1.0</v>
      </c>
      <c r="C220" s="9">
        <v>5.0</v>
      </c>
      <c r="D220" s="2" t="s">
        <v>572</v>
      </c>
      <c r="E220" s="2" t="s">
        <v>44</v>
      </c>
      <c r="F220" s="2" t="s">
        <v>573</v>
      </c>
      <c r="G220" s="9">
        <v>1.0</v>
      </c>
      <c r="H220" s="9">
        <v>5.0</v>
      </c>
      <c r="I220" s="9">
        <v>0.0</v>
      </c>
      <c r="J220" s="1" t="s">
        <v>56</v>
      </c>
      <c r="K220" s="1" t="s">
        <v>574</v>
      </c>
      <c r="L220" s="6">
        <v>1777.0</v>
      </c>
      <c r="M220" s="6">
        <v>4899.0</v>
      </c>
      <c r="N220" s="1" t="s">
        <v>58</v>
      </c>
      <c r="O220" s="7"/>
      <c r="P220" s="7"/>
      <c r="Q220" s="7"/>
      <c r="R220" s="1" t="s">
        <v>568</v>
      </c>
      <c r="S220" s="1" t="s">
        <v>59</v>
      </c>
      <c r="T220" s="1" t="s">
        <v>42</v>
      </c>
      <c r="U220" s="1" t="s">
        <v>35</v>
      </c>
      <c r="V220" s="1" t="s">
        <v>42</v>
      </c>
      <c r="W220" s="1" t="s">
        <v>34</v>
      </c>
      <c r="X220" s="1" t="s">
        <v>37</v>
      </c>
      <c r="Y220" s="8" t="str">
        <f>IFERROR(VLOOKUP(A220,Sheet3!B:H,6,false),VLOOKUP(J220,Sheet2!A:C,2,false))</f>
        <v>https://assets.roomstogo.com/product/kingsdown-smart-match-20-twin-xl-mattress_50001773_image-item</v>
      </c>
      <c r="Z220" s="8" t="str">
        <f>IFERROR(VLOOKUP(A220,Sheet3!B:H,7,false),VLOOKUP(J220,Sheet2!A:C,3,false))</f>
        <v>https://assets.roomstogo.com/product/kingsdown-smart-match-20-twin-xl-mattress_50001773_alt-image-1</v>
      </c>
    </row>
    <row r="221">
      <c r="A221" s="4">
        <v>5.0707464E7</v>
      </c>
      <c r="B221" s="9">
        <v>9.0</v>
      </c>
      <c r="C221" s="9">
        <v>3.22</v>
      </c>
      <c r="D221" s="2" t="s">
        <v>60</v>
      </c>
      <c r="E221" s="2" t="s">
        <v>44</v>
      </c>
      <c r="F221" s="2" t="s">
        <v>61</v>
      </c>
      <c r="G221" s="9">
        <v>346.0</v>
      </c>
      <c r="H221" s="9">
        <v>4.43</v>
      </c>
      <c r="I221" s="9">
        <v>337.0</v>
      </c>
      <c r="J221" s="1" t="s">
        <v>62</v>
      </c>
      <c r="K221" s="1" t="s">
        <v>575</v>
      </c>
      <c r="L221" s="6">
        <v>2899.0</v>
      </c>
      <c r="M221" s="6">
        <v>2899.0</v>
      </c>
      <c r="N221" s="1" t="s">
        <v>64</v>
      </c>
      <c r="O221" s="7"/>
      <c r="P221" s="1" t="s">
        <v>65</v>
      </c>
      <c r="Q221" s="1" t="s">
        <v>31</v>
      </c>
      <c r="R221" s="1" t="s">
        <v>568</v>
      </c>
      <c r="S221" s="1" t="s">
        <v>33</v>
      </c>
      <c r="T221" s="1" t="s">
        <v>42</v>
      </c>
      <c r="U221" s="1" t="s">
        <v>35</v>
      </c>
      <c r="V221" s="1" t="s">
        <v>42</v>
      </c>
      <c r="W221" s="1" t="s">
        <v>42</v>
      </c>
      <c r="X221" s="1" t="s">
        <v>37</v>
      </c>
      <c r="Y221" s="8" t="str">
        <f>IFERROR(VLOOKUP(A221,Sheet3!B:H,6,false),VLOOKUP(J221,Sheet2!A:C,2,false))</f>
        <v>https://assets.roomstogo.com/product/tempur-pedic-adapt-20-medium-twin-xl-mattress_50007460_image-item</v>
      </c>
      <c r="Z221" s="8" t="str">
        <f>IFERROR(VLOOKUP(A221,Sheet3!B:H,7,false),VLOOKUP(J221,Sheet2!A:C,3,false))</f>
        <v>https://assets.roomstogo.com/product/tempur-pedic-adapt-20-medium-twin-xl-mattress_50007460_alt-image-1</v>
      </c>
    </row>
    <row r="222">
      <c r="A222" s="4">
        <v>5.0707476E7</v>
      </c>
      <c r="B222" s="9">
        <v>4.0</v>
      </c>
      <c r="C222" s="9">
        <v>3.25</v>
      </c>
      <c r="D222" s="2" t="s">
        <v>66</v>
      </c>
      <c r="E222" s="2" t="s">
        <v>44</v>
      </c>
      <c r="F222" s="2" t="s">
        <v>67</v>
      </c>
      <c r="G222" s="9">
        <v>2587.0</v>
      </c>
      <c r="H222" s="9">
        <v>4.2</v>
      </c>
      <c r="I222" s="9">
        <v>2583.0</v>
      </c>
      <c r="J222" s="1" t="s">
        <v>68</v>
      </c>
      <c r="K222" s="1" t="s">
        <v>576</v>
      </c>
      <c r="L222" s="6">
        <v>3199.0</v>
      </c>
      <c r="M222" s="6">
        <v>3199.0</v>
      </c>
      <c r="N222" s="1" t="s">
        <v>64</v>
      </c>
      <c r="O222" s="7"/>
      <c r="P222" s="1" t="s">
        <v>70</v>
      </c>
      <c r="Q222" s="1" t="s">
        <v>31</v>
      </c>
      <c r="R222" s="1" t="s">
        <v>568</v>
      </c>
      <c r="S222" s="1" t="s">
        <v>41</v>
      </c>
      <c r="T222" s="1" t="s">
        <v>42</v>
      </c>
      <c r="U222" s="1" t="s">
        <v>35</v>
      </c>
      <c r="V222" s="1" t="s">
        <v>42</v>
      </c>
      <c r="W222" s="1" t="s">
        <v>42</v>
      </c>
      <c r="X222" s="1" t="s">
        <v>37</v>
      </c>
      <c r="Y222" s="8" t="str">
        <f>IFERROR(VLOOKUP(A222,Sheet3!B:H,6,false),VLOOKUP(J222,Sheet2!A:C,2,false))</f>
        <v>https://assets.roomstogo.com/product/tempur-pedic-adapt-20-medium-hybrid-twin-xl-mattress_50007472_image-item</v>
      </c>
      <c r="Z222" s="8" t="str">
        <f>IFERROR(VLOOKUP(A222,Sheet3!B:H,7,false),VLOOKUP(J222,Sheet2!A:C,3,false))</f>
        <v>https://assets.roomstogo.com/product/tempur-pedic-adapt-20-medium-hybrid-twin-xl-mattress_50007472_alt-image-1</v>
      </c>
    </row>
    <row r="223">
      <c r="A223" s="4">
        <v>5.0707488E7</v>
      </c>
      <c r="B223" s="9">
        <v>3.0</v>
      </c>
      <c r="C223" s="9">
        <v>5.0</v>
      </c>
      <c r="D223" s="2" t="s">
        <v>71</v>
      </c>
      <c r="E223" s="2" t="s">
        <v>44</v>
      </c>
      <c r="F223" s="2" t="s">
        <v>72</v>
      </c>
      <c r="G223" s="9">
        <v>245.0</v>
      </c>
      <c r="H223" s="9">
        <v>4.62</v>
      </c>
      <c r="I223" s="9">
        <v>242.0</v>
      </c>
      <c r="J223" s="1" t="s">
        <v>73</v>
      </c>
      <c r="K223" s="1" t="s">
        <v>577</v>
      </c>
      <c r="L223" s="6">
        <v>4099.0</v>
      </c>
      <c r="M223" s="6">
        <v>4099.0</v>
      </c>
      <c r="N223" s="1" t="s">
        <v>64</v>
      </c>
      <c r="O223" s="7"/>
      <c r="P223" s="1" t="s">
        <v>75</v>
      </c>
      <c r="Q223" s="1" t="s">
        <v>31</v>
      </c>
      <c r="R223" s="1" t="s">
        <v>568</v>
      </c>
      <c r="S223" s="1" t="s">
        <v>33</v>
      </c>
      <c r="T223" s="1" t="s">
        <v>42</v>
      </c>
      <c r="U223" s="1" t="s">
        <v>76</v>
      </c>
      <c r="V223" s="1" t="s">
        <v>50</v>
      </c>
      <c r="W223" s="1" t="s">
        <v>42</v>
      </c>
      <c r="X223" s="1" t="s">
        <v>77</v>
      </c>
      <c r="Y223" s="8" t="str">
        <f>IFERROR(VLOOKUP(A223,Sheet3!B:H,6,false),VLOOKUP(J223,Sheet2!A:C,2,false))</f>
        <v>https://assets.roomstogo.com/product/tempur-pedic-proadapt-20-firm-twin-xl-mattress_50007484_image-item</v>
      </c>
      <c r="Z223" s="8" t="str">
        <f>IFERROR(VLOOKUP(A223,Sheet3!B:H,7,false),VLOOKUP(J223,Sheet2!A:C,3,false))</f>
        <v>https://assets.roomstogo.com/product/tempur-pedic-proadapt-20-firm-twin-xl-mattress_50007484_alt-image-1</v>
      </c>
    </row>
    <row r="224">
      <c r="A224" s="4">
        <v>5.0707515E7</v>
      </c>
      <c r="B224" s="9">
        <v>3.0</v>
      </c>
      <c r="C224" s="9">
        <v>5.0</v>
      </c>
      <c r="D224" s="2" t="s">
        <v>78</v>
      </c>
      <c r="E224" s="2" t="s">
        <v>44</v>
      </c>
      <c r="F224" s="2" t="s">
        <v>79</v>
      </c>
      <c r="G224" s="9">
        <v>306.0</v>
      </c>
      <c r="H224" s="9">
        <v>4.48</v>
      </c>
      <c r="I224" s="9">
        <v>303.0</v>
      </c>
      <c r="J224" s="1" t="s">
        <v>80</v>
      </c>
      <c r="K224" s="1" t="s">
        <v>578</v>
      </c>
      <c r="L224" s="6">
        <v>5099.0</v>
      </c>
      <c r="M224" s="6">
        <v>5099.0</v>
      </c>
      <c r="N224" s="1" t="s">
        <v>64</v>
      </c>
      <c r="O224" s="7"/>
      <c r="P224" s="1" t="s">
        <v>82</v>
      </c>
      <c r="Q224" s="1" t="s">
        <v>31</v>
      </c>
      <c r="R224" s="1" t="s">
        <v>568</v>
      </c>
      <c r="S224" s="1" t="s">
        <v>41</v>
      </c>
      <c r="T224" s="1" t="s">
        <v>42</v>
      </c>
      <c r="U224" s="1" t="s">
        <v>35</v>
      </c>
      <c r="V224" s="1" t="s">
        <v>50</v>
      </c>
      <c r="W224" s="1" t="s">
        <v>50</v>
      </c>
      <c r="X224" s="1" t="s">
        <v>37</v>
      </c>
      <c r="Y224" s="8" t="str">
        <f>IFERROR(VLOOKUP(A224,Sheet3!B:H,6,false),VLOOKUP(J224,Sheet2!A:C,2,false))</f>
        <v>https://assets.roomstogo.com/product/tempur-pedic-probreeze-20-medium-hybrid-twin-xl-mattress_50007511_image-item</v>
      </c>
      <c r="Z224" s="8" t="str">
        <f>IFERROR(VLOOKUP(A224,Sheet3!B:H,7,false),VLOOKUP(J224,Sheet2!A:C,3,false))</f>
        <v>https://assets.roomstogo.com/product/tempur-pedic-probreeze-20-medium-hybrid-twin-xl-mattress_50007511_image-item</v>
      </c>
    </row>
    <row r="225">
      <c r="A225" s="4">
        <v>5.0707527E7</v>
      </c>
      <c r="B225" s="9">
        <v>1.0</v>
      </c>
      <c r="C225" s="9">
        <v>1.0</v>
      </c>
      <c r="D225" s="2" t="s">
        <v>83</v>
      </c>
      <c r="E225" s="2" t="s">
        <v>44</v>
      </c>
      <c r="F225" s="2" t="s">
        <v>84</v>
      </c>
      <c r="G225" s="9">
        <v>5219.0</v>
      </c>
      <c r="H225" s="9">
        <v>4.27</v>
      </c>
      <c r="I225" s="9">
        <v>5218.0</v>
      </c>
      <c r="J225" s="1" t="s">
        <v>85</v>
      </c>
      <c r="K225" s="1" t="s">
        <v>579</v>
      </c>
      <c r="L225" s="6">
        <v>4099.0</v>
      </c>
      <c r="M225" s="6">
        <v>4099.0</v>
      </c>
      <c r="N225" s="1" t="s">
        <v>64</v>
      </c>
      <c r="O225" s="7"/>
      <c r="P225" s="1" t="s">
        <v>75</v>
      </c>
      <c r="Q225" s="1" t="s">
        <v>31</v>
      </c>
      <c r="R225" s="1" t="s">
        <v>568</v>
      </c>
      <c r="S225" s="1" t="s">
        <v>33</v>
      </c>
      <c r="T225" s="1" t="s">
        <v>42</v>
      </c>
      <c r="U225" s="1" t="s">
        <v>35</v>
      </c>
      <c r="V225" s="1" t="s">
        <v>50</v>
      </c>
      <c r="W225" s="1" t="s">
        <v>42</v>
      </c>
      <c r="X225" s="1" t="s">
        <v>37</v>
      </c>
      <c r="Y225" s="8" t="str">
        <f>IFERROR(VLOOKUP(A225,Sheet3!B:H,6,false),VLOOKUP(J225,Sheet2!A:C,2,false))</f>
        <v>https://assets.roomstogo.com/product/tempur-pedic-proadapt-20-medium-twin-xl-mattress_50007523_image-item</v>
      </c>
      <c r="Z225" s="8" t="str">
        <f>IFERROR(VLOOKUP(A225,Sheet3!B:H,7,false),VLOOKUP(J225,Sheet2!A:C,3,false))</f>
        <v>https://assets.roomstogo.com/product/tempur-pedic-proadapt-20-medium-twin-xl-mattress_50007523_alt-image-1</v>
      </c>
    </row>
    <row r="226">
      <c r="A226" s="4">
        <v>5.0707539E7</v>
      </c>
      <c r="B226" s="9">
        <v>2.0</v>
      </c>
      <c r="C226" s="9">
        <v>1.0</v>
      </c>
      <c r="D226" s="2" t="s">
        <v>87</v>
      </c>
      <c r="E226" s="2" t="s">
        <v>44</v>
      </c>
      <c r="F226" s="2" t="s">
        <v>88</v>
      </c>
      <c r="G226" s="9">
        <v>77.0</v>
      </c>
      <c r="H226" s="9">
        <v>4.19</v>
      </c>
      <c r="I226" s="9">
        <v>75.0</v>
      </c>
      <c r="J226" s="1" t="s">
        <v>89</v>
      </c>
      <c r="K226" s="1" t="s">
        <v>580</v>
      </c>
      <c r="L226" s="6">
        <v>4099.0</v>
      </c>
      <c r="M226" s="6">
        <v>4099.0</v>
      </c>
      <c r="N226" s="1" t="s">
        <v>64</v>
      </c>
      <c r="O226" s="7"/>
      <c r="P226" s="1" t="s">
        <v>91</v>
      </c>
      <c r="Q226" s="1" t="s">
        <v>31</v>
      </c>
      <c r="R226" s="1" t="s">
        <v>568</v>
      </c>
      <c r="S226" s="1" t="s">
        <v>33</v>
      </c>
      <c r="T226" s="1" t="s">
        <v>50</v>
      </c>
      <c r="U226" s="1" t="s">
        <v>49</v>
      </c>
      <c r="V226" s="1" t="s">
        <v>50</v>
      </c>
      <c r="W226" s="1" t="s">
        <v>42</v>
      </c>
      <c r="X226" s="1" t="s">
        <v>51</v>
      </c>
      <c r="Y226" s="8" t="str">
        <f>IFERROR(VLOOKUP(A226,Sheet3!B:H,6,false),VLOOKUP(J226,Sheet2!A:C,2,false))</f>
        <v>https://assets.roomstogo.com/product/tempur-pedic-proadapt-20-soft-twin-xl-mattress_50007535_image-item</v>
      </c>
      <c r="Z226" s="8" t="str">
        <f>IFERROR(VLOOKUP(A226,Sheet3!B:H,7,false),VLOOKUP(J226,Sheet2!A:C,3,false))</f>
        <v>https://assets.roomstogo.com/product/tempur-pedic-proadapt-20-soft-twin-xl-mattress_50007535_alt-image-1</v>
      </c>
    </row>
    <row r="227">
      <c r="A227" s="4">
        <v>5.0707553E7</v>
      </c>
      <c r="B227" s="9">
        <v>7.0</v>
      </c>
      <c r="C227" s="9">
        <v>4.43</v>
      </c>
      <c r="D227" s="2" t="s">
        <v>92</v>
      </c>
      <c r="E227" s="2" t="s">
        <v>44</v>
      </c>
      <c r="F227" s="2" t="s">
        <v>93</v>
      </c>
      <c r="G227" s="9">
        <v>975.0</v>
      </c>
      <c r="H227" s="9">
        <v>4.38</v>
      </c>
      <c r="I227" s="9">
        <v>968.0</v>
      </c>
      <c r="J227" s="1" t="s">
        <v>94</v>
      </c>
      <c r="K227" s="1" t="s">
        <v>581</v>
      </c>
      <c r="L227" s="6">
        <v>4099.0</v>
      </c>
      <c r="M227" s="6">
        <v>4099.0</v>
      </c>
      <c r="N227" s="1" t="s">
        <v>64</v>
      </c>
      <c r="O227" s="7"/>
      <c r="P227" s="1" t="s">
        <v>390</v>
      </c>
      <c r="Q227" s="1" t="s">
        <v>31</v>
      </c>
      <c r="R227" s="1" t="s">
        <v>568</v>
      </c>
      <c r="S227" s="1" t="s">
        <v>41</v>
      </c>
      <c r="T227" s="1" t="s">
        <v>42</v>
      </c>
      <c r="U227" s="1" t="s">
        <v>35</v>
      </c>
      <c r="V227" s="1" t="s">
        <v>50</v>
      </c>
      <c r="W227" s="1" t="s">
        <v>42</v>
      </c>
      <c r="X227" s="1" t="s">
        <v>37</v>
      </c>
      <c r="Y227" s="8" t="str">
        <f>IFERROR(VLOOKUP(A227,Sheet3!B:H,6,false),VLOOKUP(J227,Sheet2!A:C,2,false))</f>
        <v>https://assets.roomstogo.com/product/tempur-pedic-proadapt-20-medium-hybrid-twin-xl-mattress_50007559_image-item</v>
      </c>
      <c r="Z227" s="8" t="str">
        <f>IFERROR(VLOOKUP(A227,Sheet3!B:H,7,false),VLOOKUP(J227,Sheet2!A:C,3,false))</f>
        <v>https://assets.roomstogo.com/product/tempur-pedic-proadapt-20-medium-hybrid-twin-xl-mattress_50007559_alt-image-1</v>
      </c>
    </row>
    <row r="228">
      <c r="A228" s="4">
        <v>5.0707565E7</v>
      </c>
      <c r="B228" s="9">
        <v>1.0</v>
      </c>
      <c r="C228" s="9">
        <v>3.0</v>
      </c>
      <c r="D228" s="2" t="s">
        <v>97</v>
      </c>
      <c r="E228" s="2" t="s">
        <v>44</v>
      </c>
      <c r="F228" s="2" t="s">
        <v>98</v>
      </c>
      <c r="G228" s="9">
        <v>1234.0</v>
      </c>
      <c r="H228" s="9">
        <v>4.24</v>
      </c>
      <c r="I228" s="9">
        <v>1233.0</v>
      </c>
      <c r="J228" s="1" t="s">
        <v>99</v>
      </c>
      <c r="K228" s="1" t="s">
        <v>582</v>
      </c>
      <c r="L228" s="6">
        <v>5399.0</v>
      </c>
      <c r="M228" s="6">
        <v>5399.0</v>
      </c>
      <c r="N228" s="1" t="s">
        <v>64</v>
      </c>
      <c r="O228" s="7"/>
      <c r="P228" s="1" t="s">
        <v>101</v>
      </c>
      <c r="Q228" s="1" t="s">
        <v>31</v>
      </c>
      <c r="R228" s="1" t="s">
        <v>568</v>
      </c>
      <c r="S228" s="1" t="s">
        <v>33</v>
      </c>
      <c r="T228" s="1" t="s">
        <v>50</v>
      </c>
      <c r="U228" s="1" t="s">
        <v>49</v>
      </c>
      <c r="V228" s="1" t="s">
        <v>50</v>
      </c>
      <c r="W228" s="1" t="s">
        <v>42</v>
      </c>
      <c r="X228" s="1" t="s">
        <v>51</v>
      </c>
      <c r="Y228" s="8" t="str">
        <f>IFERROR(VLOOKUP(A228,Sheet3!B:H,6,false),VLOOKUP(J228,Sheet2!A:C,2,false))</f>
        <v>https://assets.roomstogo.com/product/tempur-pedic-luxeadapt-20-soft-twin-xl-mattress_50007561_image-item</v>
      </c>
      <c r="Z228" s="8" t="str">
        <f>IFERROR(VLOOKUP(A228,Sheet3!B:H,7,false),VLOOKUP(J228,Sheet2!A:C,3,false))</f>
        <v>https://assets.roomstogo.com/product/tempur-pedic-luxeadapt-20-soft-twin-xl-mattress_50007561_alt-image-1</v>
      </c>
    </row>
    <row r="229">
      <c r="A229" s="4">
        <v>5.0707589E7</v>
      </c>
      <c r="B229" s="9">
        <v>1.0</v>
      </c>
      <c r="C229" s="9">
        <v>5.0</v>
      </c>
      <c r="D229" s="2" t="s">
        <v>102</v>
      </c>
      <c r="E229" s="2" t="s">
        <v>44</v>
      </c>
      <c r="F229" s="2" t="s">
        <v>103</v>
      </c>
      <c r="G229" s="9">
        <v>129.0</v>
      </c>
      <c r="H229" s="9">
        <v>4.62</v>
      </c>
      <c r="I229" s="9">
        <v>128.0</v>
      </c>
      <c r="J229" s="1" t="s">
        <v>104</v>
      </c>
      <c r="K229" s="1" t="s">
        <v>583</v>
      </c>
      <c r="L229" s="6">
        <v>5399.0</v>
      </c>
      <c r="M229" s="6">
        <v>5399.0</v>
      </c>
      <c r="N229" s="1" t="s">
        <v>64</v>
      </c>
      <c r="O229" s="7"/>
      <c r="P229" s="1" t="s">
        <v>106</v>
      </c>
      <c r="Q229" s="1" t="s">
        <v>31</v>
      </c>
      <c r="R229" s="1" t="s">
        <v>568</v>
      </c>
      <c r="S229" s="1" t="s">
        <v>41</v>
      </c>
      <c r="T229" s="1" t="s">
        <v>50</v>
      </c>
      <c r="U229" s="1" t="s">
        <v>35</v>
      </c>
      <c r="V229" s="1" t="s">
        <v>50</v>
      </c>
      <c r="W229" s="1" t="s">
        <v>42</v>
      </c>
      <c r="X229" s="1" t="s">
        <v>37</v>
      </c>
      <c r="Y229" s="8" t="str">
        <f>IFERROR(VLOOKUP(A229,Sheet3!B:H,6,false),VLOOKUP(J229,Sheet2!A:C,2,false))</f>
        <v>https://assets.roomstogo.com/product/tempur-pedic-luxeadapt-20-medium-hybrid-twin-xl-mattress_50007585_image-item</v>
      </c>
      <c r="Z229" s="8" t="str">
        <f>IFERROR(VLOOKUP(A229,Sheet3!B:H,7,false),VLOOKUP(J229,Sheet2!A:C,3,false))</f>
        <v>https://assets.roomstogo.com/product/tempur-pedic-luxeadapt-20-medium-hybrid-twin-xl-mattress_50007585_alt-image-1</v>
      </c>
    </row>
    <row r="230">
      <c r="A230" s="4">
        <v>5.0707628E7</v>
      </c>
      <c r="B230" s="9">
        <v>4.0</v>
      </c>
      <c r="C230" s="9">
        <v>4.25</v>
      </c>
      <c r="D230" s="2" t="s">
        <v>107</v>
      </c>
      <c r="E230" s="2" t="s">
        <v>44</v>
      </c>
      <c r="F230" s="2" t="s">
        <v>108</v>
      </c>
      <c r="G230" s="9">
        <v>440.0</v>
      </c>
      <c r="H230" s="9">
        <v>4.54</v>
      </c>
      <c r="I230" s="9">
        <v>436.0</v>
      </c>
      <c r="J230" s="1" t="s">
        <v>109</v>
      </c>
      <c r="K230" s="1" t="s">
        <v>584</v>
      </c>
      <c r="L230" s="6">
        <v>6399.0</v>
      </c>
      <c r="M230" s="6">
        <v>6399.0</v>
      </c>
      <c r="N230" s="1" t="s">
        <v>64</v>
      </c>
      <c r="O230" s="7"/>
      <c r="P230" s="1" t="s">
        <v>111</v>
      </c>
      <c r="Q230" s="1" t="s">
        <v>31</v>
      </c>
      <c r="R230" s="1" t="s">
        <v>568</v>
      </c>
      <c r="S230" s="1" t="s">
        <v>33</v>
      </c>
      <c r="T230" s="1" t="s">
        <v>50</v>
      </c>
      <c r="U230" s="1" t="s">
        <v>76</v>
      </c>
      <c r="V230" s="1" t="s">
        <v>50</v>
      </c>
      <c r="W230" s="1" t="s">
        <v>50</v>
      </c>
      <c r="X230" s="1" t="s">
        <v>77</v>
      </c>
      <c r="Y230" s="8" t="str">
        <f>IFERROR(VLOOKUP(A230,Sheet3!B:H,6,false),VLOOKUP(J230,Sheet2!A:C,2,false))</f>
        <v>https://assets.roomstogo.com/product/tempur-pedic-luxebreeze-20-firm-twin-xl-mattress_50007624_image-item</v>
      </c>
      <c r="Z230" s="8" t="str">
        <f>IFERROR(VLOOKUP(A230,Sheet3!B:H,7,false),VLOOKUP(J230,Sheet2!A:C,3,false))</f>
        <v>https://assets.roomstogo.com/product/tempur-pedic-luxebreeze-20-firm-twin-xl-mattress_50007624_image-item</v>
      </c>
    </row>
    <row r="231">
      <c r="A231" s="4">
        <v>5.0709874E7</v>
      </c>
      <c r="B231" s="9">
        <v>2.0</v>
      </c>
      <c r="C231" s="9">
        <v>2.5</v>
      </c>
      <c r="D231" s="2" t="s">
        <v>391</v>
      </c>
      <c r="E231" s="2" t="s">
        <v>44</v>
      </c>
      <c r="F231" s="2" t="s">
        <v>392</v>
      </c>
      <c r="G231" s="9">
        <v>10.0</v>
      </c>
      <c r="H231" s="9">
        <v>4.0</v>
      </c>
      <c r="I231" s="9">
        <v>8.0</v>
      </c>
      <c r="J231" s="1" t="s">
        <v>112</v>
      </c>
      <c r="K231" s="1" t="s">
        <v>585</v>
      </c>
      <c r="L231" s="6">
        <v>1397.0</v>
      </c>
      <c r="M231" s="6">
        <v>1699.0</v>
      </c>
      <c r="N231" s="1" t="s">
        <v>114</v>
      </c>
      <c r="O231" s="1" t="s">
        <v>54</v>
      </c>
      <c r="P231" s="7"/>
      <c r="Q231" s="1" t="s">
        <v>31</v>
      </c>
      <c r="R231" s="1" t="s">
        <v>568</v>
      </c>
      <c r="S231" s="1" t="s">
        <v>41</v>
      </c>
      <c r="T231" s="1" t="s">
        <v>34</v>
      </c>
      <c r="U231" s="1" t="s">
        <v>35</v>
      </c>
      <c r="V231" s="1" t="s">
        <v>34</v>
      </c>
      <c r="W231" s="1" t="s">
        <v>34</v>
      </c>
      <c r="X231" s="1" t="s">
        <v>37</v>
      </c>
      <c r="Y231" s="8" t="str">
        <f>IFERROR(VLOOKUP(A231,Sheet3!B:H,6,false),VLOOKUP(J231,Sheet2!A:C,2,false))</f>
        <v>https://assets.roomstogo.com/product/tuft-needle-stitch-tn31-twin-xl-mattress_50009870_image-item</v>
      </c>
      <c r="Z231" s="8" t="str">
        <f>IFERROR(VLOOKUP(A231,Sheet3!B:H,7,false),VLOOKUP(J231,Sheet2!A:C,3,false))</f>
        <v>https://assets.roomstogo.com/product/tuft-needle-stitch-tn31-twin-xl-mattress_50009870_alt-image-1</v>
      </c>
    </row>
    <row r="232">
      <c r="A232" s="4">
        <v>5.0709886E7</v>
      </c>
      <c r="B232" s="9">
        <v>5.0</v>
      </c>
      <c r="C232" s="9">
        <v>3.6</v>
      </c>
      <c r="D232" s="2" t="s">
        <v>394</v>
      </c>
      <c r="E232" s="2" t="s">
        <v>44</v>
      </c>
      <c r="F232" s="2" t="s">
        <v>395</v>
      </c>
      <c r="G232" s="9">
        <v>11.0</v>
      </c>
      <c r="H232" s="9">
        <v>3.91</v>
      </c>
      <c r="I232" s="9">
        <v>6.0</v>
      </c>
      <c r="J232" s="1" t="s">
        <v>115</v>
      </c>
      <c r="K232" s="1" t="s">
        <v>586</v>
      </c>
      <c r="L232" s="6">
        <v>1495.0</v>
      </c>
      <c r="M232" s="6">
        <v>2199.0</v>
      </c>
      <c r="N232" s="1" t="s">
        <v>114</v>
      </c>
      <c r="O232" s="1" t="s">
        <v>54</v>
      </c>
      <c r="P232" s="7"/>
      <c r="Q232" s="1" t="s">
        <v>31</v>
      </c>
      <c r="R232" s="1" t="s">
        <v>568</v>
      </c>
      <c r="S232" s="1" t="s">
        <v>41</v>
      </c>
      <c r="T232" s="1" t="s">
        <v>42</v>
      </c>
      <c r="U232" s="1" t="s">
        <v>76</v>
      </c>
      <c r="V232" s="1" t="s">
        <v>42</v>
      </c>
      <c r="W232" s="1" t="s">
        <v>42</v>
      </c>
      <c r="X232" s="1" t="s">
        <v>77</v>
      </c>
      <c r="Y232" s="8" t="str">
        <f>IFERROR(VLOOKUP(A232,Sheet3!B:H,6,false),VLOOKUP(J232,Sheet2!A:C,2,false))</f>
        <v>https://assets.roomstogo.com/product/tuft-needle-stitch-tn51-twin-xl-mattress_50009882_image-item</v>
      </c>
      <c r="Z232" s="8" t="str">
        <f>IFERROR(VLOOKUP(A232,Sheet3!B:H,7,false),VLOOKUP(J232,Sheet2!A:C,3,false))</f>
        <v>https://assets.roomstogo.com/product/tuft-needle-stitch-tn51-twin-xl-mattress_50009882_alt-image-1</v>
      </c>
    </row>
    <row r="233">
      <c r="A233" s="4">
        <v>5.0709901E7</v>
      </c>
      <c r="B233" s="9">
        <v>1.0</v>
      </c>
      <c r="C233" s="9">
        <v>5.0</v>
      </c>
      <c r="D233" s="2" t="s">
        <v>587</v>
      </c>
      <c r="E233" s="2" t="s">
        <v>44</v>
      </c>
      <c r="F233" s="2" t="s">
        <v>588</v>
      </c>
      <c r="G233" s="9">
        <v>1.0</v>
      </c>
      <c r="H233" s="9">
        <v>5.0</v>
      </c>
      <c r="I233" s="9">
        <v>0.0</v>
      </c>
      <c r="J233" s="1" t="s">
        <v>117</v>
      </c>
      <c r="K233" s="1" t="s">
        <v>589</v>
      </c>
      <c r="L233" s="6">
        <v>2497.0</v>
      </c>
      <c r="M233" s="6">
        <v>2999.0</v>
      </c>
      <c r="N233" s="1" t="s">
        <v>114</v>
      </c>
      <c r="O233" s="1" t="s">
        <v>54</v>
      </c>
      <c r="P233" s="7"/>
      <c r="Q233" s="1" t="s">
        <v>31</v>
      </c>
      <c r="R233" s="1" t="s">
        <v>568</v>
      </c>
      <c r="S233" s="1" t="s">
        <v>41</v>
      </c>
      <c r="T233" s="1" t="s">
        <v>50</v>
      </c>
      <c r="U233" s="1" t="s">
        <v>49</v>
      </c>
      <c r="V233" s="1" t="s">
        <v>42</v>
      </c>
      <c r="W233" s="1" t="s">
        <v>42</v>
      </c>
      <c r="X233" s="1" t="s">
        <v>51</v>
      </c>
      <c r="Y233" s="8" t="str">
        <f>IFERROR(VLOOKUP(A233,Sheet3!B:H,6,false),VLOOKUP(J233,Sheet2!A:C,2,false))</f>
        <v>https://assets.roomstogo.com/product/tuft-needle-stitch-tn91-twin-xl-mattress_50009907_image-item</v>
      </c>
      <c r="Z233" s="8" t="str">
        <f>IFERROR(VLOOKUP(A233,Sheet3!B:H,7,false),VLOOKUP(J233,Sheet2!A:C,3,false))</f>
        <v>https://assets.roomstogo.com/product/tuft-needle-stitch-tn91-twin-xl-mattress_50009907_alt-image-1</v>
      </c>
    </row>
    <row r="234">
      <c r="A234" s="4">
        <v>5.0709937E7</v>
      </c>
      <c r="B234" s="9">
        <v>3.0</v>
      </c>
      <c r="C234" s="9">
        <v>5.0</v>
      </c>
      <c r="D234" s="2" t="s">
        <v>274</v>
      </c>
      <c r="E234" s="2" t="s">
        <v>44</v>
      </c>
      <c r="F234" s="2" t="s">
        <v>275</v>
      </c>
      <c r="G234" s="9">
        <v>9.0</v>
      </c>
      <c r="H234" s="9">
        <v>4.89</v>
      </c>
      <c r="I234" s="9">
        <v>6.0</v>
      </c>
      <c r="J234" s="1" t="s">
        <v>119</v>
      </c>
      <c r="K234" s="1" t="s">
        <v>590</v>
      </c>
      <c r="L234" s="6">
        <v>1177.0</v>
      </c>
      <c r="M234" s="6">
        <v>1299.0</v>
      </c>
      <c r="N234" s="1" t="s">
        <v>114</v>
      </c>
      <c r="O234" s="1" t="s">
        <v>54</v>
      </c>
      <c r="P234" s="1" t="s">
        <v>121</v>
      </c>
      <c r="Q234" s="1" t="s">
        <v>31</v>
      </c>
      <c r="R234" s="1" t="s">
        <v>568</v>
      </c>
      <c r="S234" s="1" t="s">
        <v>33</v>
      </c>
      <c r="T234" s="1" t="s">
        <v>36</v>
      </c>
      <c r="U234" s="1" t="s">
        <v>76</v>
      </c>
      <c r="V234" s="1" t="s">
        <v>36</v>
      </c>
      <c r="W234" s="1" t="s">
        <v>36</v>
      </c>
      <c r="X234" s="1" t="s">
        <v>77</v>
      </c>
      <c r="Y234" s="8" t="str">
        <f>IFERROR(VLOOKUP(A234,Sheet3!B:H,6,false),VLOOKUP(J234,Sheet2!A:C,2,false))</f>
        <v>https://assets.roomstogo.com/product/tuft-needle-tn1-twin-xl-mattress_50009933_image-item</v>
      </c>
      <c r="Z234" s="8" t="str">
        <f>IFERROR(VLOOKUP(A234,Sheet3!B:H,7,false),VLOOKUP(J234,Sheet2!A:C,3,false))</f>
        <v>https://assets.roomstogo.com/product/tuft-needle-tn1-twin-xl-mattress_50009933_alt-image-1</v>
      </c>
    </row>
    <row r="235">
      <c r="A235" s="4">
        <v>5.0710574E7</v>
      </c>
      <c r="B235" s="9">
        <v>3.0</v>
      </c>
      <c r="C235" s="9">
        <v>5.0</v>
      </c>
      <c r="D235" s="2" t="s">
        <v>277</v>
      </c>
      <c r="E235" s="2" t="s">
        <v>44</v>
      </c>
      <c r="F235" s="2" t="s">
        <v>278</v>
      </c>
      <c r="G235" s="9">
        <v>8.0</v>
      </c>
      <c r="H235" s="9">
        <v>4.88</v>
      </c>
      <c r="I235" s="9">
        <v>5.0</v>
      </c>
      <c r="J235" s="1" t="s">
        <v>122</v>
      </c>
      <c r="K235" s="1" t="s">
        <v>591</v>
      </c>
      <c r="L235" s="6">
        <v>897.0</v>
      </c>
      <c r="M235" s="6">
        <v>1399.0</v>
      </c>
      <c r="N235" s="1" t="s">
        <v>124</v>
      </c>
      <c r="O235" s="7"/>
      <c r="P235" s="1" t="s">
        <v>492</v>
      </c>
      <c r="Q235" s="1" t="s">
        <v>31</v>
      </c>
      <c r="R235" s="1" t="s">
        <v>568</v>
      </c>
      <c r="S235" s="1" t="s">
        <v>33</v>
      </c>
      <c r="T235" s="1" t="s">
        <v>34</v>
      </c>
      <c r="U235" s="1" t="s">
        <v>35</v>
      </c>
      <c r="V235" s="1" t="s">
        <v>34</v>
      </c>
      <c r="W235" s="1" t="s">
        <v>34</v>
      </c>
      <c r="X235" s="1" t="s">
        <v>37</v>
      </c>
      <c r="Y235" s="8" t="str">
        <f>IFERROR(VLOOKUP(A235,Sheet3!B:H,6,false),VLOOKUP(J235,Sheet2!A:C,2,false))</f>
        <v>https://assets.roomstogo.com/product/molecule-core-twin-xl-mattress_50010570_image-item</v>
      </c>
      <c r="Z235" s="8" t="str">
        <f>IFERROR(VLOOKUP(A235,Sheet3!B:H,7,false),VLOOKUP(J235,Sheet2!A:C,3,false))</f>
        <v>https://assets.roomstogo.com/product/molecule-core-twin-xl-mattress_50010570_alt-image-1</v>
      </c>
    </row>
    <row r="236">
      <c r="A236" s="4">
        <v>5.0710675E7</v>
      </c>
      <c r="B236" s="9">
        <v>61.0</v>
      </c>
      <c r="C236" s="9">
        <v>4.38</v>
      </c>
      <c r="D236" s="2" t="s">
        <v>125</v>
      </c>
      <c r="E236" s="2" t="s">
        <v>44</v>
      </c>
      <c r="F236" s="2" t="s">
        <v>126</v>
      </c>
      <c r="G236" s="9">
        <v>192.0</v>
      </c>
      <c r="H236" s="9">
        <v>4.4</v>
      </c>
      <c r="I236" s="9">
        <v>131.0</v>
      </c>
      <c r="J236" s="1" t="s">
        <v>127</v>
      </c>
      <c r="K236" s="1" t="s">
        <v>592</v>
      </c>
      <c r="L236" s="6">
        <v>1195.0</v>
      </c>
      <c r="M236" s="6">
        <v>1499.99</v>
      </c>
      <c r="N236" s="1" t="s">
        <v>129</v>
      </c>
      <c r="O236" s="1" t="s">
        <v>54</v>
      </c>
      <c r="P236" s="1" t="s">
        <v>130</v>
      </c>
      <c r="Q236" s="1" t="s">
        <v>31</v>
      </c>
      <c r="R236" s="1" t="s">
        <v>568</v>
      </c>
      <c r="S236" s="1" t="s">
        <v>41</v>
      </c>
      <c r="T236" s="1" t="s">
        <v>34</v>
      </c>
      <c r="U236" s="1" t="s">
        <v>35</v>
      </c>
      <c r="V236" s="1" t="s">
        <v>34</v>
      </c>
      <c r="W236" s="1" t="s">
        <v>34</v>
      </c>
      <c r="X236" s="1" t="s">
        <v>37</v>
      </c>
      <c r="Y236" s="8" t="str">
        <f>IFERROR(VLOOKUP(A236,Sheet3!B:H,6,false),VLOOKUP(J236,Sheet2!A:C,2,false))</f>
        <v>https://assets.roomstogo.com/product/beautyrest-select-broad-peak-medium-hybrid-twin-xl-mattress_50010671_image-item</v>
      </c>
      <c r="Z236" s="8" t="str">
        <f>IFERROR(VLOOKUP(A236,Sheet3!B:H,7,false),VLOOKUP(J236,Sheet2!A:C,3,false))</f>
        <v>https://assets.roomstogo.com/product/beautyrest-select-broad-peak-medium-hybrid-twin-xl-mattress_50010671_alt-image-1</v>
      </c>
    </row>
    <row r="237">
      <c r="A237" s="4">
        <v>5.0711348E7</v>
      </c>
      <c r="B237" s="9">
        <v>1.0</v>
      </c>
      <c r="C237" s="9">
        <v>3.0</v>
      </c>
      <c r="D237" s="2" t="s">
        <v>139</v>
      </c>
      <c r="E237" s="2" t="s">
        <v>44</v>
      </c>
      <c r="F237" s="2" t="s">
        <v>140</v>
      </c>
      <c r="G237" s="9">
        <v>10.0</v>
      </c>
      <c r="H237" s="9">
        <v>4.2</v>
      </c>
      <c r="I237" s="9">
        <v>9.0</v>
      </c>
      <c r="J237" s="1" t="s">
        <v>141</v>
      </c>
      <c r="K237" s="1" t="s">
        <v>593</v>
      </c>
      <c r="L237" s="6">
        <v>1097.0</v>
      </c>
      <c r="M237" s="6">
        <v>1299.99</v>
      </c>
      <c r="N237" s="1" t="s">
        <v>143</v>
      </c>
      <c r="O237" s="1" t="s">
        <v>54</v>
      </c>
      <c r="P237" s="7"/>
      <c r="Q237" s="1" t="s">
        <v>31</v>
      </c>
      <c r="R237" s="1" t="s">
        <v>568</v>
      </c>
      <c r="S237" s="1" t="s">
        <v>59</v>
      </c>
      <c r="T237" s="1" t="s">
        <v>36</v>
      </c>
      <c r="U237" s="1" t="s">
        <v>76</v>
      </c>
      <c r="V237" s="1" t="s">
        <v>34</v>
      </c>
      <c r="W237" s="1" t="s">
        <v>36</v>
      </c>
      <c r="X237" s="1" t="s">
        <v>144</v>
      </c>
      <c r="Y237" s="8" t="str">
        <f>IFERROR(VLOOKUP(A237,Sheet3!B:H,6,false),VLOOKUP(J237,Sheet2!A:C,2,false))</f>
        <v>https://assets.roomstogo.com/product/therapedic-forester-twin-xl-mattress_50011344_image-item</v>
      </c>
      <c r="Z237" s="8" t="str">
        <f>IFERROR(VLOOKUP(A237,Sheet3!B:H,7,false),VLOOKUP(J237,Sheet2!A:C,3,false))</f>
        <v>https://assets.roomstogo.com/product/therapedic-forester-twin-xl-mattress_50011344_alt-image-1</v>
      </c>
    </row>
    <row r="238">
      <c r="A238" s="4">
        <v>5.0711362E7</v>
      </c>
      <c r="B238" s="9">
        <v>2.0</v>
      </c>
      <c r="C238" s="9">
        <v>5.0</v>
      </c>
      <c r="D238" s="2" t="s">
        <v>332</v>
      </c>
      <c r="E238" s="2" t="s">
        <v>44</v>
      </c>
      <c r="F238" s="2" t="s">
        <v>333</v>
      </c>
      <c r="G238" s="9">
        <v>20.0</v>
      </c>
      <c r="H238" s="9">
        <v>4.3</v>
      </c>
      <c r="I238" s="9">
        <v>18.0</v>
      </c>
      <c r="J238" s="1" t="s">
        <v>145</v>
      </c>
      <c r="K238" s="1" t="s">
        <v>594</v>
      </c>
      <c r="L238" s="6">
        <v>897.0</v>
      </c>
      <c r="M238" s="6">
        <v>999.99</v>
      </c>
      <c r="N238" s="1" t="s">
        <v>143</v>
      </c>
      <c r="O238" s="1" t="s">
        <v>54</v>
      </c>
      <c r="P238" s="7"/>
      <c r="Q238" s="1" t="s">
        <v>31</v>
      </c>
      <c r="R238" s="1" t="s">
        <v>568</v>
      </c>
      <c r="S238" s="1" t="s">
        <v>59</v>
      </c>
      <c r="T238" s="1" t="s">
        <v>36</v>
      </c>
      <c r="U238" s="1" t="s">
        <v>35</v>
      </c>
      <c r="V238" s="1" t="s">
        <v>36</v>
      </c>
      <c r="W238" s="1" t="s">
        <v>34</v>
      </c>
      <c r="X238" s="1" t="s">
        <v>37</v>
      </c>
      <c r="Y238" s="8" t="str">
        <f>IFERROR(VLOOKUP(A238,Sheet3!B:H,6,false),VLOOKUP(J238,Sheet2!A:C,2,false))</f>
        <v>https://assets.roomstogo.com/product/therapedic-darlington-twin-xl-mattress_50011368_image-item</v>
      </c>
      <c r="Z238" s="8" t="str">
        <f>IFERROR(VLOOKUP(A238,Sheet3!B:H,7,false),VLOOKUP(J238,Sheet2!A:C,3,false))</f>
        <v>https://assets.roomstogo.com/product/therapedic-darlington-twin-xl-mattress_50011368_alt-image-1</v>
      </c>
    </row>
    <row r="239">
      <c r="A239" s="4">
        <v>5.0711386E7</v>
      </c>
      <c r="B239" s="5"/>
      <c r="C239" s="5"/>
      <c r="D239" s="5"/>
      <c r="E239" s="5"/>
      <c r="F239" s="5"/>
      <c r="G239" s="5"/>
      <c r="H239" s="5"/>
      <c r="I239" s="5"/>
      <c r="J239" s="1" t="s">
        <v>147</v>
      </c>
      <c r="K239" s="1" t="s">
        <v>595</v>
      </c>
      <c r="L239" s="6">
        <v>1177.0</v>
      </c>
      <c r="M239" s="6">
        <v>1499.99</v>
      </c>
      <c r="N239" s="1" t="s">
        <v>149</v>
      </c>
      <c r="O239" s="1" t="s">
        <v>54</v>
      </c>
      <c r="P239" s="7"/>
      <c r="Q239" s="7"/>
      <c r="R239" s="1" t="s">
        <v>568</v>
      </c>
      <c r="S239" s="1" t="s">
        <v>41</v>
      </c>
      <c r="T239" s="1" t="s">
        <v>36</v>
      </c>
      <c r="U239" s="1" t="s">
        <v>49</v>
      </c>
      <c r="V239" s="1" t="s">
        <v>34</v>
      </c>
      <c r="W239" s="1" t="s">
        <v>34</v>
      </c>
      <c r="X239" s="1" t="s">
        <v>51</v>
      </c>
      <c r="Y239" s="8" t="str">
        <f>IFERROR(VLOOKUP(A239,Sheet3!B:H,6,false),VLOOKUP(J239,Sheet2!A:C,2,false))</f>
        <v>https://assets.roomstogo.com/product/therapedic-hastings-twin-xl-mattress_50011382_image-item</v>
      </c>
      <c r="Z239" s="8" t="str">
        <f>IFERROR(VLOOKUP(A239,Sheet3!B:H,7,false),VLOOKUP(J239,Sheet2!A:C,3,false))</f>
        <v>https://assets.roomstogo.com/product/therapedic-hastings-twin-xl-mattress_50011382_alt-image-1</v>
      </c>
    </row>
    <row r="240">
      <c r="A240" s="4">
        <v>5.0711451E7</v>
      </c>
      <c r="B240" s="9">
        <v>5.0</v>
      </c>
      <c r="C240" s="9">
        <v>4.0</v>
      </c>
      <c r="D240" s="2" t="s">
        <v>500</v>
      </c>
      <c r="E240" s="2" t="s">
        <v>44</v>
      </c>
      <c r="F240" s="2" t="s">
        <v>501</v>
      </c>
      <c r="G240" s="9">
        <v>9.0</v>
      </c>
      <c r="H240" s="9">
        <v>4.33</v>
      </c>
      <c r="I240" s="9">
        <v>4.0</v>
      </c>
      <c r="J240" s="1" t="s">
        <v>150</v>
      </c>
      <c r="K240" s="1" t="s">
        <v>596</v>
      </c>
      <c r="L240" s="6">
        <v>1899.99</v>
      </c>
      <c r="M240" s="6">
        <v>1899.99</v>
      </c>
      <c r="N240" s="1" t="s">
        <v>149</v>
      </c>
      <c r="O240" s="1" t="s">
        <v>54</v>
      </c>
      <c r="P240" s="7"/>
      <c r="Q240" s="1" t="s">
        <v>31</v>
      </c>
      <c r="R240" s="1" t="s">
        <v>568</v>
      </c>
      <c r="S240" s="1" t="s">
        <v>41</v>
      </c>
      <c r="T240" s="1" t="s">
        <v>34</v>
      </c>
      <c r="U240" s="1" t="s">
        <v>76</v>
      </c>
      <c r="V240" s="1" t="s">
        <v>42</v>
      </c>
      <c r="W240" s="1" t="s">
        <v>34</v>
      </c>
      <c r="X240" s="1" t="s">
        <v>77</v>
      </c>
      <c r="Y240" s="8" t="str">
        <f>IFERROR(VLOOKUP(A240,Sheet3!B:H,6,false),VLOOKUP(J240,Sheet2!A:C,2,false))</f>
        <v>https://assets.roomstogo.com/product/therapedic-kaanapali-twin-xl-mattress_50011457_image-item</v>
      </c>
      <c r="Z240" s="8" t="str">
        <f>IFERROR(VLOOKUP(A240,Sheet3!B:H,7,false),VLOOKUP(J240,Sheet2!A:C,3,false))</f>
        <v>https://assets.roomstogo.com/product/therapedic-kaanapali-twin-xl-mattress_50011457_alt-image-1</v>
      </c>
    </row>
    <row r="241">
      <c r="A241" s="4">
        <v>5.0711499E7</v>
      </c>
      <c r="B241" s="9">
        <v>5.0</v>
      </c>
      <c r="C241" s="9">
        <v>4.2</v>
      </c>
      <c r="D241" s="2" t="s">
        <v>152</v>
      </c>
      <c r="E241" s="2" t="s">
        <v>44</v>
      </c>
      <c r="F241" s="2" t="s">
        <v>153</v>
      </c>
      <c r="G241" s="9">
        <v>13.0</v>
      </c>
      <c r="H241" s="9">
        <v>3.92</v>
      </c>
      <c r="I241" s="9">
        <v>8.0</v>
      </c>
      <c r="J241" s="1" t="s">
        <v>154</v>
      </c>
      <c r="K241" s="1" t="s">
        <v>597</v>
      </c>
      <c r="L241" s="6">
        <v>2299.99</v>
      </c>
      <c r="M241" s="6">
        <v>2299.99</v>
      </c>
      <c r="N241" s="1" t="s">
        <v>149</v>
      </c>
      <c r="O241" s="1" t="s">
        <v>54</v>
      </c>
      <c r="P241" s="7"/>
      <c r="Q241" s="1" t="s">
        <v>31</v>
      </c>
      <c r="R241" s="1" t="s">
        <v>568</v>
      </c>
      <c r="S241" s="1" t="s">
        <v>41</v>
      </c>
      <c r="T241" s="1" t="s">
        <v>42</v>
      </c>
      <c r="U241" s="1" t="s">
        <v>35</v>
      </c>
      <c r="V241" s="1" t="s">
        <v>42</v>
      </c>
      <c r="W241" s="1" t="s">
        <v>34</v>
      </c>
      <c r="X241" s="1" t="s">
        <v>37</v>
      </c>
      <c r="Y241" s="8" t="str">
        <f>IFERROR(VLOOKUP(A241,Sheet3!B:H,6,false),VLOOKUP(J241,Sheet2!A:C,2,false))</f>
        <v>https://assets.roomstogo.com/product/therapedic-ledo-twin-xl-mattress_50011495_image-item</v>
      </c>
      <c r="Z241" s="8" t="str">
        <f>IFERROR(VLOOKUP(A241,Sheet3!B:H,7,false),VLOOKUP(J241,Sheet2!A:C,3,false))</f>
        <v>https://assets.roomstogo.com/product/therapedic-ledo-twin-xl-mattress_50011495_alt-image-1</v>
      </c>
    </row>
    <row r="242">
      <c r="A242" s="4">
        <v>5.0720866E7</v>
      </c>
      <c r="B242" s="9">
        <v>3.0</v>
      </c>
      <c r="C242" s="9">
        <v>5.0</v>
      </c>
      <c r="D242" s="2" t="s">
        <v>504</v>
      </c>
      <c r="E242" s="2" t="s">
        <v>44</v>
      </c>
      <c r="F242" s="2" t="s">
        <v>505</v>
      </c>
      <c r="G242" s="9">
        <v>9.0</v>
      </c>
      <c r="H242" s="9">
        <v>4.0</v>
      </c>
      <c r="I242" s="9">
        <v>6.0</v>
      </c>
      <c r="J242" s="1" t="s">
        <v>156</v>
      </c>
      <c r="K242" s="1" t="s">
        <v>598</v>
      </c>
      <c r="L242" s="6">
        <v>1397.0</v>
      </c>
      <c r="M242" s="6">
        <v>1699.99</v>
      </c>
      <c r="N242" s="1" t="s">
        <v>158</v>
      </c>
      <c r="O242" s="1" t="s">
        <v>54</v>
      </c>
      <c r="P242" s="7"/>
      <c r="Q242" s="1" t="s">
        <v>31</v>
      </c>
      <c r="R242" s="1" t="s">
        <v>568</v>
      </c>
      <c r="S242" s="1" t="s">
        <v>59</v>
      </c>
      <c r="T242" s="1" t="s">
        <v>34</v>
      </c>
      <c r="U242" s="1" t="s">
        <v>35</v>
      </c>
      <c r="V242" s="1" t="s">
        <v>34</v>
      </c>
      <c r="W242" s="1" t="s">
        <v>34</v>
      </c>
      <c r="X242" s="1" t="s">
        <v>37</v>
      </c>
      <c r="Y242" s="8" t="str">
        <f>IFERROR(VLOOKUP(A242,Sheet3!B:H,6,false),VLOOKUP(J242,Sheet2!A:C,2,false))</f>
        <v>https://assets.roomstogo.com/product/drew-jonathan-capertee-twin-xl-mattress_50020862_image-item</v>
      </c>
      <c r="Z242" s="8" t="str">
        <f>IFERROR(VLOOKUP(A242,Sheet3!B:H,7,false),VLOOKUP(J242,Sheet2!A:C,3,false))</f>
        <v>https://assets.roomstogo.com/product/drew-jonathan-capertee-twin-xl-mattress_50020862_alt-image-1</v>
      </c>
    </row>
    <row r="243">
      <c r="A243" s="4">
        <v>5.0720929E7</v>
      </c>
      <c r="B243" s="5"/>
      <c r="C243" s="5"/>
      <c r="D243" s="5"/>
      <c r="E243" s="5"/>
      <c r="F243" s="5"/>
      <c r="G243" s="5"/>
      <c r="H243" s="5"/>
      <c r="I243" s="5"/>
      <c r="J243" s="1" t="s">
        <v>159</v>
      </c>
      <c r="K243" s="1" t="s">
        <v>599</v>
      </c>
      <c r="L243" s="6">
        <v>2097.0</v>
      </c>
      <c r="M243" s="6">
        <v>2399.99</v>
      </c>
      <c r="N243" s="1" t="s">
        <v>158</v>
      </c>
      <c r="O243" s="1" t="s">
        <v>54</v>
      </c>
      <c r="P243" s="7"/>
      <c r="Q243" s="1" t="s">
        <v>31</v>
      </c>
      <c r="R243" s="1" t="s">
        <v>568</v>
      </c>
      <c r="S243" s="1" t="s">
        <v>59</v>
      </c>
      <c r="T243" s="1" t="s">
        <v>42</v>
      </c>
      <c r="U243" s="1" t="s">
        <v>49</v>
      </c>
      <c r="V243" s="1" t="s">
        <v>34</v>
      </c>
      <c r="W243" s="1" t="s">
        <v>34</v>
      </c>
      <c r="X243" s="1" t="s">
        <v>51</v>
      </c>
      <c r="Y243" s="8" t="str">
        <f>IFERROR(VLOOKUP(A243,Sheet3!B:H,6,false),VLOOKUP(J243,Sheet2!A:C,2,false))</f>
        <v>https://assets.roomstogo.com/product/drew-jonathan-arada-canyon-twin-xl-mattress_50020925_image-item</v>
      </c>
      <c r="Z243" s="8" t="str">
        <f>IFERROR(VLOOKUP(A243,Sheet3!B:H,7,false),VLOOKUP(J243,Sheet2!A:C,3,false))</f>
        <v>https://assets.roomstogo.com/product/drew-jonathan-arada-canyon-twin-xl-mattress_50020925_alt-image-1</v>
      </c>
    </row>
    <row r="244">
      <c r="A244" s="4">
        <v>5.0722214E7</v>
      </c>
      <c r="B244" s="5"/>
      <c r="C244" s="5"/>
      <c r="D244" s="5"/>
      <c r="E244" s="5"/>
      <c r="F244" s="5"/>
      <c r="G244" s="5"/>
      <c r="H244" s="5"/>
      <c r="I244" s="5"/>
      <c r="J244" s="1" t="s">
        <v>163</v>
      </c>
      <c r="K244" s="1" t="s">
        <v>600</v>
      </c>
      <c r="L244" s="6">
        <v>697.0</v>
      </c>
      <c r="M244" s="6">
        <v>999.99</v>
      </c>
      <c r="N244" s="1" t="s">
        <v>165</v>
      </c>
      <c r="O244" s="1" t="s">
        <v>54</v>
      </c>
      <c r="P244" s="1" t="s">
        <v>166</v>
      </c>
      <c r="Q244" s="1" t="s">
        <v>31</v>
      </c>
      <c r="R244" s="1" t="s">
        <v>568</v>
      </c>
      <c r="S244" s="1" t="s">
        <v>41</v>
      </c>
      <c r="T244" s="1" t="s">
        <v>36</v>
      </c>
      <c r="U244" s="1" t="s">
        <v>35</v>
      </c>
      <c r="V244" s="1" t="s">
        <v>34</v>
      </c>
      <c r="W244" s="1" t="s">
        <v>36</v>
      </c>
      <c r="X244" s="1" t="s">
        <v>37</v>
      </c>
      <c r="Y244" s="8" t="str">
        <f>IFERROR(VLOOKUP(A244,Sheet3!B:H,6,false),VLOOKUP(J244,Sheet2!A:C,2,false))</f>
        <v>https://assets.roomstogo.com/product/beauty-sleep-oceana-mist-medium-hybrid-twin-xl-mattress_50022210_image-item</v>
      </c>
      <c r="Z244" s="8" t="str">
        <f>IFERROR(VLOOKUP(A244,Sheet3!B:H,7,false),VLOOKUP(J244,Sheet2!A:C,3,false))</f>
        <v>https://assets.roomstogo.com/product/beauty-sleep-oceana-mist-medium-hybrid-twin-xl-mattress_50022210_alt-image-8</v>
      </c>
    </row>
    <row r="245">
      <c r="A245" s="4">
        <v>5.0725741E7</v>
      </c>
      <c r="B245" s="9">
        <v>6.0</v>
      </c>
      <c r="C245" s="9">
        <v>3.83</v>
      </c>
      <c r="D245" s="2" t="s">
        <v>167</v>
      </c>
      <c r="E245" s="2" t="s">
        <v>44</v>
      </c>
      <c r="F245" s="2" t="s">
        <v>168</v>
      </c>
      <c r="G245" s="9">
        <v>13.0</v>
      </c>
      <c r="H245" s="9">
        <v>4.08</v>
      </c>
      <c r="I245" s="9">
        <v>7.0</v>
      </c>
      <c r="J245" s="1" t="s">
        <v>169</v>
      </c>
      <c r="K245" s="1" t="s">
        <v>601</v>
      </c>
      <c r="L245" s="6">
        <v>1749.0</v>
      </c>
      <c r="M245" s="6">
        <v>1749.0</v>
      </c>
      <c r="N245" s="1" t="s">
        <v>171</v>
      </c>
      <c r="O245" s="7"/>
      <c r="P245" s="1" t="s">
        <v>172</v>
      </c>
      <c r="Q245" s="1" t="s">
        <v>31</v>
      </c>
      <c r="R245" s="1" t="s">
        <v>568</v>
      </c>
      <c r="S245" s="1" t="s">
        <v>59</v>
      </c>
      <c r="T245" s="1" t="s">
        <v>42</v>
      </c>
      <c r="U245" s="1" t="s">
        <v>49</v>
      </c>
      <c r="V245" s="1" t="s">
        <v>42</v>
      </c>
      <c r="W245" s="1" t="s">
        <v>42</v>
      </c>
      <c r="X245" s="1" t="s">
        <v>51</v>
      </c>
      <c r="Y245" s="8" t="str">
        <f>IFERROR(VLOOKUP(A245,Sheet3!B:H,6,false),VLOOKUP(J245,Sheet2!A:C,2,false))</f>
        <v>https://assets.roomstogo.com/product/beautyrest-world-class-level-three-plush-twin-xl-mattress_50025747_image-item</v>
      </c>
      <c r="Z245" s="8" t="str">
        <f>IFERROR(VLOOKUP(A245,Sheet3!B:H,7,false),VLOOKUP(J245,Sheet2!A:C,3,false))</f>
        <v>https://assets.roomstogo.com/product/beautyrest-world-class-level-three-plush-twin-xl-mattress_50025747_alt-image-13</v>
      </c>
    </row>
    <row r="246">
      <c r="A246" s="4">
        <v>5.0725753E7</v>
      </c>
      <c r="B246" s="9">
        <v>8.0</v>
      </c>
      <c r="C246" s="9">
        <v>3.38</v>
      </c>
      <c r="D246" s="2" t="s">
        <v>512</v>
      </c>
      <c r="E246" s="2" t="s">
        <v>44</v>
      </c>
      <c r="F246" s="2" t="s">
        <v>513</v>
      </c>
      <c r="G246" s="9">
        <v>14.0</v>
      </c>
      <c r="H246" s="9">
        <v>3.71</v>
      </c>
      <c r="I246" s="9">
        <v>6.0</v>
      </c>
      <c r="J246" s="1" t="s">
        <v>173</v>
      </c>
      <c r="K246" s="1" t="s">
        <v>602</v>
      </c>
      <c r="L246" s="6">
        <v>1949.0</v>
      </c>
      <c r="M246" s="6">
        <v>1949.0</v>
      </c>
      <c r="N246" s="1" t="s">
        <v>171</v>
      </c>
      <c r="O246" s="7"/>
      <c r="P246" s="1" t="s">
        <v>175</v>
      </c>
      <c r="Q246" s="1" t="s">
        <v>31</v>
      </c>
      <c r="R246" s="1" t="s">
        <v>568</v>
      </c>
      <c r="S246" s="1" t="s">
        <v>59</v>
      </c>
      <c r="T246" s="1" t="s">
        <v>42</v>
      </c>
      <c r="U246" s="1" t="s">
        <v>35</v>
      </c>
      <c r="V246" s="1" t="s">
        <v>42</v>
      </c>
      <c r="W246" s="1" t="s">
        <v>42</v>
      </c>
      <c r="X246" s="1" t="s">
        <v>37</v>
      </c>
      <c r="Y246" s="8" t="str">
        <f>IFERROR(VLOOKUP(A246,Sheet3!B:H,6,false),VLOOKUP(J246,Sheet2!A:C,2,false))</f>
        <v>https://assets.roomstogo.com/product/beautyrest-world-class-level-three-medium-pillow-top-twin-xl-mattress_50025759_image-item</v>
      </c>
      <c r="Z246" s="8" t="str">
        <f>IFERROR(VLOOKUP(A246,Sheet3!B:H,7,false),VLOOKUP(J246,Sheet2!A:C,3,false))</f>
        <v>https://assets.roomstogo.com/product/beautyrest-world-class-level-three-medium-pillow-top-twin-xl-mattress_50025759_alt-image-13</v>
      </c>
    </row>
    <row r="247">
      <c r="A247" s="4">
        <v>5.0725804E7</v>
      </c>
      <c r="B247" s="5"/>
      <c r="C247" s="5"/>
      <c r="D247" s="5"/>
      <c r="E247" s="5"/>
      <c r="F247" s="5"/>
      <c r="G247" s="5"/>
      <c r="H247" s="5"/>
      <c r="I247" s="5"/>
      <c r="J247" s="1" t="s">
        <v>176</v>
      </c>
      <c r="K247" s="1" t="s">
        <v>603</v>
      </c>
      <c r="L247" s="6">
        <v>2299.0</v>
      </c>
      <c r="M247" s="6">
        <v>2299.0</v>
      </c>
      <c r="N247" s="1" t="s">
        <v>171</v>
      </c>
      <c r="O247" s="7"/>
      <c r="P247" s="1" t="s">
        <v>178</v>
      </c>
      <c r="Q247" s="1" t="s">
        <v>31</v>
      </c>
      <c r="R247" s="1" t="s">
        <v>568</v>
      </c>
      <c r="S247" s="1" t="s">
        <v>59</v>
      </c>
      <c r="T247" s="1" t="s">
        <v>50</v>
      </c>
      <c r="U247" s="1" t="s">
        <v>49</v>
      </c>
      <c r="V247" s="1" t="s">
        <v>42</v>
      </c>
      <c r="W247" s="1" t="s">
        <v>42</v>
      </c>
      <c r="X247" s="1" t="s">
        <v>51</v>
      </c>
      <c r="Y247" s="8" t="str">
        <f>IFERROR(VLOOKUP(A247,Sheet3!B:H,6,false),VLOOKUP(J247,Sheet2!A:C,2,false))</f>
        <v>https://assets.roomstogo.com/product/beautyrest-world-class-level-four-plush-pillow-top-twin-xl-mattress_50025800_image-item</v>
      </c>
      <c r="Z247" s="8" t="str">
        <f>IFERROR(VLOOKUP(A247,Sheet3!B:H,7,false),VLOOKUP(J247,Sheet2!A:C,3,false))</f>
        <v>https://assets.roomstogo.com/product/beautyrest-world-class-level-four-plush-pillow-top-twin-xl-mattress_50025800_alt-image-13</v>
      </c>
    </row>
    <row r="248">
      <c r="A248" s="4">
        <v>5.0728951E7</v>
      </c>
      <c r="B248" s="9">
        <v>1.0</v>
      </c>
      <c r="C248" s="9">
        <v>5.0</v>
      </c>
      <c r="D248" s="2" t="s">
        <v>518</v>
      </c>
      <c r="E248" s="2" t="s">
        <v>44</v>
      </c>
      <c r="F248" s="2" t="s">
        <v>519</v>
      </c>
      <c r="G248" s="9">
        <v>3.0</v>
      </c>
      <c r="H248" s="9">
        <v>5.0</v>
      </c>
      <c r="I248" s="9">
        <v>2.0</v>
      </c>
      <c r="J248" s="1" t="s">
        <v>179</v>
      </c>
      <c r="K248" s="1" t="s">
        <v>604</v>
      </c>
      <c r="L248" s="6">
        <v>1397.0</v>
      </c>
      <c r="M248" s="6">
        <v>1999.0</v>
      </c>
      <c r="N248" s="1" t="s">
        <v>181</v>
      </c>
      <c r="O248" s="1" t="s">
        <v>54</v>
      </c>
      <c r="P248" s="7"/>
      <c r="Q248" s="1" t="s">
        <v>31</v>
      </c>
      <c r="R248" s="1" t="s">
        <v>568</v>
      </c>
      <c r="S248" s="1" t="s">
        <v>59</v>
      </c>
      <c r="T248" s="1" t="s">
        <v>42</v>
      </c>
      <c r="U248" s="1" t="s">
        <v>49</v>
      </c>
      <c r="V248" s="1" t="s">
        <v>34</v>
      </c>
      <c r="W248" s="1" t="s">
        <v>34</v>
      </c>
      <c r="X248" s="1" t="s">
        <v>182</v>
      </c>
      <c r="Y248" s="8" t="str">
        <f>IFERROR(VLOOKUP(A248,Sheet3!B:H,6,false),VLOOKUP(J248,Sheet2!A:C,2,false))</f>
        <v>https://assets.roomstogo.com/product/sealy-correct-comfort-kerry-park-twin-xl-mattress_50028957_image-item</v>
      </c>
      <c r="Z248" s="8" t="str">
        <f>IFERROR(VLOOKUP(A248,Sheet3!B:H,7,false),VLOOKUP(J248,Sheet2!A:C,3,false))</f>
        <v>https://assets.roomstogo.com/product/sealy-correct-comfort-kerry-park-twin-xl-mattress_50028957_alt-image-1</v>
      </c>
    </row>
    <row r="249">
      <c r="A249" s="4">
        <v>5.0728963E7</v>
      </c>
      <c r="B249" s="9">
        <v>4.0</v>
      </c>
      <c r="C249" s="9">
        <v>5.0</v>
      </c>
      <c r="D249" s="2" t="s">
        <v>183</v>
      </c>
      <c r="E249" s="2" t="s">
        <v>44</v>
      </c>
      <c r="F249" s="2" t="s">
        <v>184</v>
      </c>
      <c r="G249" s="9">
        <v>12.0</v>
      </c>
      <c r="H249" s="9">
        <v>4.83</v>
      </c>
      <c r="I249" s="9">
        <v>8.0</v>
      </c>
      <c r="J249" s="1" t="s">
        <v>185</v>
      </c>
      <c r="K249" s="1" t="s">
        <v>605</v>
      </c>
      <c r="L249" s="6">
        <v>995.0</v>
      </c>
      <c r="M249" s="6">
        <v>1099.0</v>
      </c>
      <c r="N249" s="1" t="s">
        <v>181</v>
      </c>
      <c r="O249" s="1" t="s">
        <v>54</v>
      </c>
      <c r="P249" s="7"/>
      <c r="Q249" s="1" t="s">
        <v>31</v>
      </c>
      <c r="R249" s="1" t="s">
        <v>568</v>
      </c>
      <c r="S249" s="1" t="s">
        <v>33</v>
      </c>
      <c r="T249" s="1" t="s">
        <v>34</v>
      </c>
      <c r="U249" s="1" t="s">
        <v>35</v>
      </c>
      <c r="V249" s="1" t="s">
        <v>34</v>
      </c>
      <c r="W249" s="1" t="s">
        <v>36</v>
      </c>
      <c r="X249" s="1" t="s">
        <v>37</v>
      </c>
      <c r="Y249" s="8" t="str">
        <f>IFERROR(VLOOKUP(A249,Sheet3!B:H,6,false),VLOOKUP(J249,Sheet2!A:C,2,false))</f>
        <v>https://assets.roomstogo.com/product/sealy-correct-comfort-bradford-hill-twin-xl-mattress_50028969_image-item</v>
      </c>
      <c r="Z249" s="8" t="str">
        <f>IFERROR(VLOOKUP(A249,Sheet3!B:H,7,false),VLOOKUP(J249,Sheet2!A:C,3,false))</f>
        <v>https://assets.roomstogo.com/product/sealy-correct-comfort-bradford-hill-twin-xl-mattress_50028969_alt-image-1</v>
      </c>
    </row>
    <row r="250">
      <c r="A250" s="4">
        <v>5.0728975E7</v>
      </c>
      <c r="B250" s="5"/>
      <c r="C250" s="5"/>
      <c r="D250" s="5"/>
      <c r="E250" s="5"/>
      <c r="F250" s="5"/>
      <c r="G250" s="5"/>
      <c r="H250" s="5"/>
      <c r="I250" s="5"/>
      <c r="J250" s="1" t="s">
        <v>187</v>
      </c>
      <c r="K250" s="1" t="s">
        <v>606</v>
      </c>
      <c r="L250" s="6">
        <v>1497.0</v>
      </c>
      <c r="M250" s="6">
        <v>2299.0</v>
      </c>
      <c r="N250" s="1" t="s">
        <v>181</v>
      </c>
      <c r="O250" s="1" t="s">
        <v>54</v>
      </c>
      <c r="P250" s="7"/>
      <c r="Q250" s="7"/>
      <c r="R250" s="1" t="s">
        <v>568</v>
      </c>
      <c r="S250" s="1" t="s">
        <v>33</v>
      </c>
      <c r="T250" s="1" t="s">
        <v>42</v>
      </c>
      <c r="U250" s="1" t="s">
        <v>35</v>
      </c>
      <c r="V250" s="1" t="s">
        <v>34</v>
      </c>
      <c r="W250" s="1" t="s">
        <v>34</v>
      </c>
      <c r="X250" s="1" t="s">
        <v>37</v>
      </c>
      <c r="Y250" s="8" t="str">
        <f>IFERROR(VLOOKUP(A250,Sheet3!B:H,6,false),VLOOKUP(J250,Sheet2!A:C,2,false))</f>
        <v>https://assets.roomstogo.com/product/posturepedic-northgate-twin-xl-mattress_50028971_image-item</v>
      </c>
      <c r="Z250" s="8" t="str">
        <f>IFERROR(VLOOKUP(A250,Sheet3!B:H,7,false),VLOOKUP(J250,Sheet2!A:C,3,false))</f>
        <v>https://assets.roomstogo.com/product/posturepedic-northgate-twin-xl-mattress_50028971_alt-image-1</v>
      </c>
    </row>
    <row r="251">
      <c r="A251" s="4">
        <v>5.0729179E7</v>
      </c>
      <c r="B251" s="5"/>
      <c r="C251" s="5"/>
      <c r="D251" s="5"/>
      <c r="E251" s="5"/>
      <c r="F251" s="5"/>
      <c r="G251" s="5"/>
      <c r="H251" s="5"/>
      <c r="I251" s="5"/>
      <c r="J251" s="1" t="s">
        <v>189</v>
      </c>
      <c r="K251" s="1" t="s">
        <v>607</v>
      </c>
      <c r="L251" s="6">
        <v>1077.0</v>
      </c>
      <c r="M251" s="6">
        <v>1199.0</v>
      </c>
      <c r="N251" s="1" t="s">
        <v>191</v>
      </c>
      <c r="O251" s="1" t="s">
        <v>54</v>
      </c>
      <c r="P251" s="1" t="s">
        <v>192</v>
      </c>
      <c r="Q251" s="1" t="s">
        <v>31</v>
      </c>
      <c r="R251" s="1" t="s">
        <v>568</v>
      </c>
      <c r="S251" s="1" t="s">
        <v>59</v>
      </c>
      <c r="T251" s="1" t="s">
        <v>36</v>
      </c>
      <c r="U251" s="1" t="s">
        <v>35</v>
      </c>
      <c r="V251" s="1" t="s">
        <v>36</v>
      </c>
      <c r="W251" s="1" t="s">
        <v>36</v>
      </c>
      <c r="X251" s="1" t="s">
        <v>37</v>
      </c>
      <c r="Y251" s="8" t="str">
        <f>IFERROR(VLOOKUP(A251,Sheet3!B:H,6,false),VLOOKUP(J251,Sheet2!A:C,2,false))</f>
        <v>https://assets.roomstogo.com/product/sealy-posturepedic-brierwood-twin-xl-mattress_50029175_image-item</v>
      </c>
      <c r="Z251" s="8" t="str">
        <f>IFERROR(VLOOKUP(A251,Sheet3!B:H,7,false),VLOOKUP(J251,Sheet2!A:C,3,false))</f>
        <v>https://assets.roomstogo.com/product/sealy-posturepedic-brierwood-twin-xl-mattress_50029175_alt-image-1</v>
      </c>
    </row>
    <row r="252">
      <c r="A252" s="4">
        <v>5.0729206E7</v>
      </c>
      <c r="B252" s="9">
        <v>1.0</v>
      </c>
      <c r="C252" s="9">
        <v>4.0</v>
      </c>
      <c r="D252" s="2" t="s">
        <v>526</v>
      </c>
      <c r="E252" s="2" t="s">
        <v>44</v>
      </c>
      <c r="F252" s="2" t="s">
        <v>527</v>
      </c>
      <c r="G252" s="9">
        <v>3.0</v>
      </c>
      <c r="H252" s="9">
        <v>4.0</v>
      </c>
      <c r="I252" s="9">
        <v>2.0</v>
      </c>
      <c r="J252" s="1" t="s">
        <v>193</v>
      </c>
      <c r="K252" s="1" t="s">
        <v>608</v>
      </c>
      <c r="L252" s="6">
        <v>1397.0</v>
      </c>
      <c r="M252" s="6">
        <v>1599.0</v>
      </c>
      <c r="N252" s="1" t="s">
        <v>195</v>
      </c>
      <c r="O252" s="1" t="s">
        <v>54</v>
      </c>
      <c r="P252" s="1" t="s">
        <v>196</v>
      </c>
      <c r="Q252" s="1" t="s">
        <v>31</v>
      </c>
      <c r="R252" s="1" t="s">
        <v>568</v>
      </c>
      <c r="S252" s="1" t="s">
        <v>59</v>
      </c>
      <c r="T252" s="1" t="s">
        <v>34</v>
      </c>
      <c r="U252" s="1" t="s">
        <v>35</v>
      </c>
      <c r="V252" s="1" t="s">
        <v>34</v>
      </c>
      <c r="W252" s="1" t="s">
        <v>36</v>
      </c>
      <c r="X252" s="1" t="s">
        <v>37</v>
      </c>
      <c r="Y252" s="8" t="str">
        <f>IFERROR(VLOOKUP(A252,Sheet3!B:H,6,false),VLOOKUP(J252,Sheet2!A:C,2,false))</f>
        <v>https://assets.roomstogo.com/product/sealy-posturepedic-castle-rock-twin-xl-mattress_50029202_image-item</v>
      </c>
      <c r="Z252" s="8" t="str">
        <f>IFERROR(VLOOKUP(A252,Sheet3!B:H,7,false),VLOOKUP(J252,Sheet2!A:C,3,false))</f>
        <v>https://assets.roomstogo.com/product/sealy-posturepedic-castle-rock-twin-xl-mattress_50029202_alt-image-1</v>
      </c>
    </row>
    <row r="253">
      <c r="A253" s="4">
        <v>5.0729218E7</v>
      </c>
      <c r="B253" s="9">
        <v>1.0</v>
      </c>
      <c r="C253" s="9">
        <v>5.0</v>
      </c>
      <c r="D253" s="2" t="s">
        <v>609</v>
      </c>
      <c r="E253" s="2" t="s">
        <v>44</v>
      </c>
      <c r="F253" s="2" t="s">
        <v>610</v>
      </c>
      <c r="G253" s="9">
        <v>2.0</v>
      </c>
      <c r="H253" s="9">
        <v>3.5</v>
      </c>
      <c r="I253" s="9">
        <v>1.0</v>
      </c>
      <c r="J253" s="1" t="s">
        <v>197</v>
      </c>
      <c r="K253" s="1" t="s">
        <v>611</v>
      </c>
      <c r="L253" s="6">
        <v>1577.0</v>
      </c>
      <c r="M253" s="6">
        <v>1799.0</v>
      </c>
      <c r="N253" s="1" t="s">
        <v>199</v>
      </c>
      <c r="O253" s="7"/>
      <c r="P253" s="1" t="s">
        <v>200</v>
      </c>
      <c r="Q253" s="1" t="s">
        <v>31</v>
      </c>
      <c r="R253" s="1" t="s">
        <v>568</v>
      </c>
      <c r="S253" s="1" t="s">
        <v>59</v>
      </c>
      <c r="T253" s="1" t="s">
        <v>34</v>
      </c>
      <c r="U253" s="1" t="s">
        <v>35</v>
      </c>
      <c r="V253" s="1" t="s">
        <v>42</v>
      </c>
      <c r="W253" s="1" t="s">
        <v>34</v>
      </c>
      <c r="X253" s="1" t="s">
        <v>37</v>
      </c>
      <c r="Y253" s="8" t="str">
        <f>IFERROR(VLOOKUP(A253,Sheet3!B:H,6,false),VLOOKUP(J253,Sheet2!A:C,2,false))</f>
        <v>https://assets.roomstogo.com/product/sealy-posturepedic-pebblebrook-twin-xl-mattress_50029214_image-item</v>
      </c>
      <c r="Z253" s="8" t="str">
        <f>IFERROR(VLOOKUP(A253,Sheet3!B:H,7,false),VLOOKUP(J253,Sheet2!A:C,3,false))</f>
        <v>https://assets.roomstogo.com/product/sealy-posturepedic-pebblebrook-twin-xl-mattress_50029214_alt-image-1</v>
      </c>
    </row>
    <row r="254">
      <c r="A254" s="4">
        <v>5.0737051E7</v>
      </c>
      <c r="B254" s="9">
        <v>7.0</v>
      </c>
      <c r="C254" s="9">
        <v>3.29</v>
      </c>
      <c r="D254" s="2" t="s">
        <v>201</v>
      </c>
      <c r="E254" s="2" t="s">
        <v>44</v>
      </c>
      <c r="F254" s="2" t="s">
        <v>202</v>
      </c>
      <c r="G254" s="9">
        <v>347.0</v>
      </c>
      <c r="H254" s="9">
        <v>4.52</v>
      </c>
      <c r="I254" s="9">
        <v>340.0</v>
      </c>
      <c r="J254" s="1" t="s">
        <v>203</v>
      </c>
      <c r="K254" s="1" t="s">
        <v>612</v>
      </c>
      <c r="L254" s="6">
        <v>2599.0</v>
      </c>
      <c r="M254" s="6">
        <v>2599.0</v>
      </c>
      <c r="N254" s="1" t="s">
        <v>205</v>
      </c>
      <c r="O254" s="7"/>
      <c r="P254" s="1" t="s">
        <v>206</v>
      </c>
      <c r="Q254" s="1" t="s">
        <v>31</v>
      </c>
      <c r="R254" s="1" t="s">
        <v>568</v>
      </c>
      <c r="S254" s="1" t="s">
        <v>59</v>
      </c>
      <c r="T254" s="1" t="s">
        <v>34</v>
      </c>
      <c r="U254" s="1" t="s">
        <v>76</v>
      </c>
      <c r="V254" s="1" t="s">
        <v>50</v>
      </c>
      <c r="W254" s="1" t="s">
        <v>42</v>
      </c>
      <c r="X254" s="1" t="s">
        <v>144</v>
      </c>
      <c r="Y254" s="8" t="str">
        <f>IFERROR(VLOOKUP(A254,Sheet3!B:H,6,false),VLOOKUP(J254,Sheet2!A:C,2,false))</f>
        <v>https://assets.roomstogo.com/product/beautyrest-black-series-one-extra-firm-twin-xl-mattress_50037057_image-item</v>
      </c>
      <c r="Z254" s="8" t="str">
        <f>IFERROR(VLOOKUP(A254,Sheet3!B:H,7,false),VLOOKUP(J254,Sheet2!A:C,3,false))</f>
        <v>https://assets.roomstogo.com/product/beautyrest-black-series-one-extra-firm-twin-xl-mattress_50037057_alt-image-1</v>
      </c>
    </row>
    <row r="255">
      <c r="A255" s="4">
        <v>5.0737138E7</v>
      </c>
      <c r="B255" s="9">
        <v>6.0</v>
      </c>
      <c r="C255" s="9">
        <v>3.67</v>
      </c>
      <c r="D255" s="2" t="s">
        <v>207</v>
      </c>
      <c r="E255" s="2" t="s">
        <v>44</v>
      </c>
      <c r="F255" s="2" t="s">
        <v>208</v>
      </c>
      <c r="G255" s="9">
        <v>137.0</v>
      </c>
      <c r="H255" s="9">
        <v>4.58</v>
      </c>
      <c r="I255" s="9">
        <v>131.0</v>
      </c>
      <c r="J255" s="1" t="s">
        <v>209</v>
      </c>
      <c r="K255" s="1" t="s">
        <v>613</v>
      </c>
      <c r="L255" s="6">
        <v>3599.0</v>
      </c>
      <c r="M255" s="6">
        <v>3599.0</v>
      </c>
      <c r="N255" s="1" t="s">
        <v>205</v>
      </c>
      <c r="O255" s="7"/>
      <c r="P255" s="1" t="s">
        <v>211</v>
      </c>
      <c r="Q255" s="1" t="s">
        <v>31</v>
      </c>
      <c r="R255" s="1" t="s">
        <v>568</v>
      </c>
      <c r="S255" s="1" t="s">
        <v>59</v>
      </c>
      <c r="T255" s="1" t="s">
        <v>42</v>
      </c>
      <c r="U255" s="1" t="s">
        <v>35</v>
      </c>
      <c r="V255" s="1" t="s">
        <v>50</v>
      </c>
      <c r="W255" s="1" t="s">
        <v>42</v>
      </c>
      <c r="X255" s="1" t="s">
        <v>37</v>
      </c>
      <c r="Y255" s="8" t="str">
        <f>IFERROR(VLOOKUP(A255,Sheet3!B:H,6,false),VLOOKUP(J255,Sheet2!A:C,2,false))</f>
        <v>https://assets.roomstogo.com/product/beautyrest-black-series-two-medium-twin-xl-mattress_50037134_image-item</v>
      </c>
      <c r="Z255" s="8" t="str">
        <f>IFERROR(VLOOKUP(A255,Sheet3!B:H,7,false),VLOOKUP(J255,Sheet2!A:C,3,false))</f>
        <v>https://assets.roomstogo.com/product/beautyrest-black-series-two-medium-twin-xl-mattress_50037134_alt-image-1</v>
      </c>
    </row>
    <row r="256">
      <c r="A256" s="4">
        <v>5.0737227E7</v>
      </c>
      <c r="B256" s="9">
        <v>3.0</v>
      </c>
      <c r="C256" s="9">
        <v>4.67</v>
      </c>
      <c r="D256" s="2" t="s">
        <v>212</v>
      </c>
      <c r="E256" s="2" t="s">
        <v>44</v>
      </c>
      <c r="F256" s="2" t="s">
        <v>213</v>
      </c>
      <c r="G256" s="9">
        <v>290.0</v>
      </c>
      <c r="H256" s="9">
        <v>4.72</v>
      </c>
      <c r="I256" s="9">
        <v>287.0</v>
      </c>
      <c r="J256" s="1" t="s">
        <v>214</v>
      </c>
      <c r="K256" s="1" t="s">
        <v>614</v>
      </c>
      <c r="L256" s="6">
        <v>4899.0</v>
      </c>
      <c r="M256" s="6">
        <v>4899.0</v>
      </c>
      <c r="N256" s="1" t="s">
        <v>205</v>
      </c>
      <c r="O256" s="7"/>
      <c r="P256" s="1" t="s">
        <v>216</v>
      </c>
      <c r="Q256" s="1" t="s">
        <v>31</v>
      </c>
      <c r="R256" s="1" t="s">
        <v>568</v>
      </c>
      <c r="S256" s="1" t="s">
        <v>59</v>
      </c>
      <c r="T256" s="1" t="s">
        <v>50</v>
      </c>
      <c r="U256" s="1" t="s">
        <v>49</v>
      </c>
      <c r="V256" s="1" t="s">
        <v>50</v>
      </c>
      <c r="W256" s="1" t="s">
        <v>42</v>
      </c>
      <c r="X256" s="1" t="s">
        <v>51</v>
      </c>
      <c r="Y256" s="8" t="str">
        <f>IFERROR(VLOOKUP(A256,Sheet3!B:H,6,false),VLOOKUP(J256,Sheet2!A:C,2,false))</f>
        <v>https://assets.roomstogo.com/product/beautyrest-black-series-three-plush-pillow-top-twin-xl-mattress_50037223_image-item</v>
      </c>
      <c r="Z256" s="8" t="str">
        <f>IFERROR(VLOOKUP(A256,Sheet3!B:H,7,false),VLOOKUP(J256,Sheet2!A:C,3,false))</f>
        <v>https://assets.roomstogo.com/product/beautyrest-black-series-three-plush-pillow-top-twin-xl-mattress_50037223_alt-image-1</v>
      </c>
    </row>
    <row r="257">
      <c r="A257" s="4">
        <v>5.074803E7</v>
      </c>
      <c r="B257" s="9">
        <v>6.0</v>
      </c>
      <c r="C257" s="9">
        <v>5.0</v>
      </c>
      <c r="D257" s="2" t="s">
        <v>217</v>
      </c>
      <c r="E257" s="2" t="s">
        <v>44</v>
      </c>
      <c r="F257" s="2" t="s">
        <v>218</v>
      </c>
      <c r="G257" s="9">
        <v>438.0</v>
      </c>
      <c r="H257" s="9">
        <v>4.52</v>
      </c>
      <c r="I257" s="9">
        <v>432.0</v>
      </c>
      <c r="J257" s="1" t="s">
        <v>219</v>
      </c>
      <c r="K257" s="1" t="s">
        <v>615</v>
      </c>
      <c r="L257" s="6">
        <v>2999.0</v>
      </c>
      <c r="M257" s="6">
        <v>2999.0</v>
      </c>
      <c r="N257" s="1" t="s">
        <v>221</v>
      </c>
      <c r="O257" s="7"/>
      <c r="P257" s="1" t="s">
        <v>222</v>
      </c>
      <c r="Q257" s="1" t="s">
        <v>31</v>
      </c>
      <c r="R257" s="1" t="s">
        <v>568</v>
      </c>
      <c r="S257" s="1" t="s">
        <v>59</v>
      </c>
      <c r="T257" s="1" t="s">
        <v>34</v>
      </c>
      <c r="U257" s="1" t="s">
        <v>76</v>
      </c>
      <c r="V257" s="1" t="s">
        <v>42</v>
      </c>
      <c r="W257" s="1" t="s">
        <v>34</v>
      </c>
      <c r="X257" s="1" t="s">
        <v>77</v>
      </c>
      <c r="Y257" s="8" t="str">
        <f>IFERROR(VLOOKUP(A257,Sheet3!B:H,6,false),VLOOKUP(J257,Sheet2!A:C,2,false))</f>
        <v>https://assets.roomstogo.com/product/stearns-and-foster-estate-firm-tight-top-twin-xl-mattress_50048036_image-item</v>
      </c>
      <c r="Z257" s="8" t="str">
        <f>IFERROR(VLOOKUP(A257,Sheet3!B:H,7,false),VLOOKUP(J257,Sheet2!A:C,3,false))</f>
        <v>https://assets.roomstogo.com/product/stearns-and-foster-estate-firm-tight-top-twin-xl-mattress_50048036_alt-image-1</v>
      </c>
    </row>
    <row r="258">
      <c r="A258" s="4">
        <v>5.0748054E7</v>
      </c>
      <c r="B258" s="9">
        <v>2.0</v>
      </c>
      <c r="C258" s="9">
        <v>4.0</v>
      </c>
      <c r="D258" s="2" t="s">
        <v>435</v>
      </c>
      <c r="E258" s="2" t="s">
        <v>44</v>
      </c>
      <c r="F258" s="2" t="s">
        <v>436</v>
      </c>
      <c r="G258" s="9">
        <v>7.0</v>
      </c>
      <c r="H258" s="9">
        <v>3.86</v>
      </c>
      <c r="I258" s="9">
        <v>5.0</v>
      </c>
      <c r="J258" s="1" t="s">
        <v>223</v>
      </c>
      <c r="K258" s="1" t="s">
        <v>616</v>
      </c>
      <c r="L258" s="6">
        <v>3199.0</v>
      </c>
      <c r="M258" s="6">
        <v>3199.0</v>
      </c>
      <c r="N258" s="1" t="s">
        <v>221</v>
      </c>
      <c r="O258" s="7"/>
      <c r="P258" s="1" t="s">
        <v>222</v>
      </c>
      <c r="Q258" s="1" t="s">
        <v>31</v>
      </c>
      <c r="R258" s="1" t="s">
        <v>568</v>
      </c>
      <c r="S258" s="1" t="s">
        <v>59</v>
      </c>
      <c r="T258" s="1" t="s">
        <v>34</v>
      </c>
      <c r="U258" s="1" t="s">
        <v>76</v>
      </c>
      <c r="V258" s="1" t="s">
        <v>42</v>
      </c>
      <c r="W258" s="1" t="s">
        <v>34</v>
      </c>
      <c r="X258" s="1" t="s">
        <v>77</v>
      </c>
      <c r="Y258" s="8" t="str">
        <f>IFERROR(VLOOKUP(A258,Sheet3!B:H,6,false),VLOOKUP(J258,Sheet2!A:C,2,false))</f>
        <v>https://assets.roomstogo.com/product/stearns-and-foster-estate-firm-pillow-top-twin-xl-mattress_50048050_image-item</v>
      </c>
      <c r="Z258" s="8" t="str">
        <f>IFERROR(VLOOKUP(A258,Sheet3!B:H,7,false),VLOOKUP(J258,Sheet2!A:C,3,false))</f>
        <v>https://assets.roomstogo.com/product/stearns-and-foster-estate-firm-pillow-top-twin-xl-mattress_50048050_alt-image-1</v>
      </c>
    </row>
    <row r="259">
      <c r="A259" s="4">
        <v>5.074827E7</v>
      </c>
      <c r="B259" s="5"/>
      <c r="C259" s="5"/>
      <c r="D259" s="5"/>
      <c r="E259" s="5"/>
      <c r="F259" s="5"/>
      <c r="G259" s="5"/>
      <c r="H259" s="5"/>
      <c r="I259" s="5"/>
      <c r="J259" s="1" t="s">
        <v>227</v>
      </c>
      <c r="K259" s="1" t="s">
        <v>617</v>
      </c>
      <c r="L259" s="6">
        <v>4799.0</v>
      </c>
      <c r="M259" s="6">
        <v>4799.0</v>
      </c>
      <c r="N259" s="1" t="s">
        <v>221</v>
      </c>
      <c r="O259" s="7"/>
      <c r="P259" s="1" t="s">
        <v>229</v>
      </c>
      <c r="Q259" s="1" t="s">
        <v>31</v>
      </c>
      <c r="R259" s="1" t="s">
        <v>568</v>
      </c>
      <c r="S259" s="1" t="s">
        <v>59</v>
      </c>
      <c r="T259" s="1" t="s">
        <v>42</v>
      </c>
      <c r="U259" s="1" t="s">
        <v>35</v>
      </c>
      <c r="V259" s="1" t="s">
        <v>50</v>
      </c>
      <c r="W259" s="1" t="s">
        <v>42</v>
      </c>
      <c r="X259" s="1" t="s">
        <v>37</v>
      </c>
      <c r="Y259" s="8" t="str">
        <f>IFERROR(VLOOKUP(A259,Sheet3!B:H,6,false),VLOOKUP(J259,Sheet2!A:C,2,false))</f>
        <v>https://assets.roomstogo.com/product/stearns-and-foster-lux-estate-elite-medium-pillow-top-twin-xl-mattress_50048276_image-item</v>
      </c>
      <c r="Z259" s="8" t="str">
        <f>IFERROR(VLOOKUP(A259,Sheet3!B:H,7,false),VLOOKUP(J259,Sheet2!A:C,3,false))</f>
        <v>https://assets.roomstogo.com/product/stearns-and-foster-lux-estate-elite-medium-pillow-top-twin-xl-mattress_50048276_alt-image-1</v>
      </c>
    </row>
    <row r="260">
      <c r="A260" s="4">
        <v>5.0770114E7</v>
      </c>
      <c r="B260" s="9">
        <v>2.0</v>
      </c>
      <c r="C260" s="9">
        <v>3.0</v>
      </c>
      <c r="D260" s="2" t="s">
        <v>230</v>
      </c>
      <c r="E260" s="2" t="s">
        <v>44</v>
      </c>
      <c r="F260" s="2" t="s">
        <v>231</v>
      </c>
      <c r="G260" s="9">
        <v>9006.0</v>
      </c>
      <c r="H260" s="9">
        <v>4.32</v>
      </c>
      <c r="I260" s="9">
        <v>9004.0</v>
      </c>
      <c r="J260" s="1" t="s">
        <v>232</v>
      </c>
      <c r="K260" s="1" t="s">
        <v>618</v>
      </c>
      <c r="L260" s="6">
        <v>2538.0</v>
      </c>
      <c r="M260" s="6">
        <v>3172.5</v>
      </c>
      <c r="N260" s="1" t="s">
        <v>234</v>
      </c>
      <c r="O260" s="7"/>
      <c r="P260" s="7"/>
      <c r="Q260" s="1" t="s">
        <v>31</v>
      </c>
      <c r="R260" s="1" t="s">
        <v>568</v>
      </c>
      <c r="S260" s="1" t="s">
        <v>59</v>
      </c>
      <c r="T260" s="1" t="s">
        <v>42</v>
      </c>
      <c r="U260" s="1" t="s">
        <v>35</v>
      </c>
      <c r="V260" s="1" t="s">
        <v>42</v>
      </c>
      <c r="W260" s="1" t="s">
        <v>34</v>
      </c>
      <c r="X260" s="1" t="s">
        <v>37</v>
      </c>
      <c r="Y260" s="8" t="str">
        <f>IFERROR(VLOOKUP(A260,Sheet3!B:H,6,false),VLOOKUP(J260,Sheet2!A:C,2,false))</f>
        <v>https://assets.roomstogo.com/product/helix-midnight-luxe-twin-xl-mattress_50070110_image-item</v>
      </c>
      <c r="Z260" s="8" t="str">
        <f>IFERROR(VLOOKUP(A260,Sheet3!B:H,7,false),VLOOKUP(J260,Sheet2!A:C,3,false))</f>
        <v>https://assets.roomstogo.com/product/helix-midnight-luxe-twin-xl-mattress_50070110_alt-image-1</v>
      </c>
    </row>
    <row r="261">
      <c r="A261" s="4">
        <v>5.0770126E7</v>
      </c>
      <c r="B261" s="9">
        <v>7.0</v>
      </c>
      <c r="C261" s="9">
        <v>4.0</v>
      </c>
      <c r="D261" s="2" t="s">
        <v>235</v>
      </c>
      <c r="E261" s="2" t="s">
        <v>44</v>
      </c>
      <c r="F261" s="2" t="s">
        <v>236</v>
      </c>
      <c r="G261" s="9">
        <v>501.0</v>
      </c>
      <c r="H261" s="9">
        <v>4.22</v>
      </c>
      <c r="I261" s="9">
        <v>494.0</v>
      </c>
      <c r="J261" s="1" t="s">
        <v>237</v>
      </c>
      <c r="K261" s="1" t="s">
        <v>619</v>
      </c>
      <c r="L261" s="6">
        <v>3599.0</v>
      </c>
      <c r="M261" s="6">
        <v>4498.75</v>
      </c>
      <c r="N261" s="1" t="s">
        <v>234</v>
      </c>
      <c r="O261" s="7"/>
      <c r="P261" s="7"/>
      <c r="Q261" s="1" t="s">
        <v>31</v>
      </c>
      <c r="R261" s="1" t="s">
        <v>568</v>
      </c>
      <c r="S261" s="1" t="s">
        <v>59</v>
      </c>
      <c r="T261" s="1" t="s">
        <v>50</v>
      </c>
      <c r="U261" s="1" t="s">
        <v>35</v>
      </c>
      <c r="V261" s="1" t="s">
        <v>42</v>
      </c>
      <c r="W261" s="1" t="s">
        <v>42</v>
      </c>
      <c r="X261" s="1" t="s">
        <v>37</v>
      </c>
      <c r="Y261" s="8" t="str">
        <f>IFERROR(VLOOKUP(A261,Sheet3!B:H,6,false),VLOOKUP(J261,Sheet2!A:C,2,false))</f>
        <v>https://assets.roomstogo.com/product/helix-midnight-elite-twin-xl-mattress_50070122_image-item</v>
      </c>
      <c r="Z261" s="8" t="str">
        <f>IFERROR(VLOOKUP(A261,Sheet3!B:H,7,false),VLOOKUP(J261,Sheet2!A:C,3,false))</f>
        <v>https://assets.roomstogo.com/product/helix-midnight-elite-twin-xl-mattress_50070122_alt-image-1</v>
      </c>
    </row>
    <row r="262">
      <c r="A262" s="4">
        <v>5.0800486E7</v>
      </c>
      <c r="B262" s="9">
        <v>8.0</v>
      </c>
      <c r="C262" s="9">
        <v>4.25</v>
      </c>
      <c r="D262" s="2" t="s">
        <v>620</v>
      </c>
      <c r="E262" s="2" t="s">
        <v>621</v>
      </c>
      <c r="F262" s="2" t="s">
        <v>446</v>
      </c>
      <c r="G262" s="9">
        <v>14.0</v>
      </c>
      <c r="H262" s="9">
        <v>4.79</v>
      </c>
      <c r="I262" s="9">
        <v>6.0</v>
      </c>
      <c r="J262" s="1" t="s">
        <v>447</v>
      </c>
      <c r="K262" s="1" t="s">
        <v>622</v>
      </c>
      <c r="L262" s="6">
        <v>649.0</v>
      </c>
      <c r="M262" s="6">
        <v>749.0</v>
      </c>
      <c r="N262" s="1" t="s">
        <v>449</v>
      </c>
      <c r="O262" s="7"/>
      <c r="P262" s="1" t="s">
        <v>450</v>
      </c>
      <c r="Q262" s="1" t="s">
        <v>31</v>
      </c>
      <c r="R262" s="1" t="s">
        <v>32</v>
      </c>
      <c r="S262" s="7"/>
      <c r="T262" s="7"/>
      <c r="U262" s="7"/>
      <c r="V262" s="7"/>
      <c r="W262" s="7"/>
      <c r="X262" s="7"/>
      <c r="Y262" s="11" t="str">
        <f>IFERROR(VLOOKUP(A262,Sheet3!B:H,6,false),VLOOKUP(J262,Sheet2!A:C,2,false))</f>
        <v>#N/A</v>
      </c>
      <c r="Z262" s="11" t="str">
        <f>IFERROR(VLOOKUP(A262,Sheet3!B:H,7,false),VLOOKUP(J262,Sheet2!A:C,3,false))</f>
        <v>#N/A</v>
      </c>
    </row>
    <row r="263">
      <c r="A263" s="4">
        <v>5.0800513E7</v>
      </c>
      <c r="B263" s="9">
        <v>1.0</v>
      </c>
      <c r="C263" s="9">
        <v>5.0</v>
      </c>
      <c r="D263" s="2" t="s">
        <v>623</v>
      </c>
      <c r="E263" s="2" t="s">
        <v>621</v>
      </c>
      <c r="F263" s="2" t="s">
        <v>452</v>
      </c>
      <c r="G263" s="9">
        <v>1.0</v>
      </c>
      <c r="H263" s="9">
        <v>5.0</v>
      </c>
      <c r="I263" s="9">
        <v>0.0</v>
      </c>
      <c r="J263" s="1" t="s">
        <v>453</v>
      </c>
      <c r="K263" s="1" t="s">
        <v>624</v>
      </c>
      <c r="L263" s="6">
        <v>1399.0</v>
      </c>
      <c r="M263" s="6">
        <v>1599.0</v>
      </c>
      <c r="N263" s="1" t="s">
        <v>449</v>
      </c>
      <c r="O263" s="7"/>
      <c r="P263" s="1" t="s">
        <v>455</v>
      </c>
      <c r="Q263" s="1" t="s">
        <v>31</v>
      </c>
      <c r="R263" s="1" t="s">
        <v>32</v>
      </c>
      <c r="S263" s="7"/>
      <c r="T263" s="7"/>
      <c r="U263" s="7"/>
      <c r="V263" s="7"/>
      <c r="W263" s="7"/>
      <c r="X263" s="7"/>
      <c r="Y263" s="11" t="str">
        <f>IFERROR(VLOOKUP(A263,Sheet3!B:H,6,false),VLOOKUP(J263,Sheet2!A:C,2,false))</f>
        <v>#N/A</v>
      </c>
      <c r="Z263" s="11" t="str">
        <f>IFERROR(VLOOKUP(A263,Sheet3!B:H,7,false),VLOOKUP(J263,Sheet2!A:C,3,false))</f>
        <v>#N/A</v>
      </c>
    </row>
    <row r="264">
      <c r="A264" s="4">
        <v>5.0808165E7</v>
      </c>
      <c r="B264" s="9">
        <v>5.0</v>
      </c>
      <c r="C264" s="9">
        <v>4.8</v>
      </c>
      <c r="D264" s="2" t="s">
        <v>625</v>
      </c>
      <c r="E264" s="2" t="s">
        <v>621</v>
      </c>
      <c r="F264" s="2" t="s">
        <v>457</v>
      </c>
      <c r="G264" s="9">
        <v>1.0</v>
      </c>
      <c r="H264" s="9">
        <v>5.0</v>
      </c>
      <c r="I264" s="9">
        <v>-4.0</v>
      </c>
      <c r="J264" s="1" t="s">
        <v>458</v>
      </c>
      <c r="K264" s="1" t="s">
        <v>626</v>
      </c>
      <c r="L264" s="6">
        <v>1599.0</v>
      </c>
      <c r="M264" s="6">
        <v>1599.0</v>
      </c>
      <c r="N264" s="1" t="s">
        <v>64</v>
      </c>
      <c r="O264" s="7"/>
      <c r="P264" s="1" t="s">
        <v>460</v>
      </c>
      <c r="Q264" s="1" t="s">
        <v>31</v>
      </c>
      <c r="R264" s="1" t="s">
        <v>32</v>
      </c>
      <c r="S264" s="7"/>
      <c r="T264" s="7"/>
      <c r="U264" s="7"/>
      <c r="V264" s="7"/>
      <c r="W264" s="7"/>
      <c r="X264" s="7"/>
      <c r="Y264" s="11" t="str">
        <f>IFERROR(VLOOKUP(A264,Sheet3!B:H,6,false),VLOOKUP(J264,Sheet2!A:C,2,false))</f>
        <v>#N/A</v>
      </c>
      <c r="Z264" s="11" t="str">
        <f>IFERROR(VLOOKUP(A264,Sheet3!B:H,7,false),VLOOKUP(J264,Sheet2!A:C,3,false))</f>
        <v>#N/A</v>
      </c>
    </row>
    <row r="265">
      <c r="A265" s="4">
        <v>5.0808189E7</v>
      </c>
      <c r="B265" s="9">
        <v>2.0</v>
      </c>
      <c r="C265" s="9">
        <v>4.0</v>
      </c>
      <c r="D265" s="2" t="s">
        <v>627</v>
      </c>
      <c r="E265" s="2" t="s">
        <v>621</v>
      </c>
      <c r="F265" s="2" t="s">
        <v>462</v>
      </c>
      <c r="G265" s="9">
        <v>405.0</v>
      </c>
      <c r="H265" s="9">
        <v>4.6</v>
      </c>
      <c r="I265" s="9">
        <v>403.0</v>
      </c>
      <c r="J265" s="1" t="s">
        <v>463</v>
      </c>
      <c r="K265" s="1" t="s">
        <v>628</v>
      </c>
      <c r="L265" s="6">
        <v>2099.0</v>
      </c>
      <c r="M265" s="6">
        <v>2099.0</v>
      </c>
      <c r="N265" s="1" t="s">
        <v>64</v>
      </c>
      <c r="O265" s="7"/>
      <c r="P265" s="1" t="s">
        <v>465</v>
      </c>
      <c r="Q265" s="1" t="s">
        <v>31</v>
      </c>
      <c r="R265" s="1" t="s">
        <v>32</v>
      </c>
      <c r="S265" s="7"/>
      <c r="T265" s="7"/>
      <c r="U265" s="7"/>
      <c r="V265" s="7"/>
      <c r="W265" s="7"/>
      <c r="X265" s="7"/>
      <c r="Y265" s="11" t="str">
        <f>IFERROR(VLOOKUP(A265,Sheet3!B:H,6,false),VLOOKUP(J265,Sheet2!A:C,2,false))</f>
        <v>#N/A</v>
      </c>
      <c r="Z265" s="11" t="str">
        <f>IFERROR(VLOOKUP(A265,Sheet3!B:H,7,false),VLOOKUP(J265,Sheet2!A:C,3,false))</f>
        <v>#N/A</v>
      </c>
    </row>
    <row r="266">
      <c r="A266" s="4">
        <v>5.0808191E7</v>
      </c>
      <c r="B266" s="9">
        <v>2.0</v>
      </c>
      <c r="C266" s="9">
        <v>5.0</v>
      </c>
      <c r="D266" s="2" t="s">
        <v>629</v>
      </c>
      <c r="E266" s="2" t="s">
        <v>621</v>
      </c>
      <c r="F266" s="2" t="s">
        <v>548</v>
      </c>
      <c r="G266" s="9">
        <v>5.0</v>
      </c>
      <c r="H266" s="9">
        <v>4.4</v>
      </c>
      <c r="I266" s="9">
        <v>3.0</v>
      </c>
      <c r="J266" s="1" t="s">
        <v>549</v>
      </c>
      <c r="K266" s="1" t="s">
        <v>630</v>
      </c>
      <c r="L266" s="6">
        <v>2599.0</v>
      </c>
      <c r="M266" s="6">
        <v>2599.0</v>
      </c>
      <c r="N266" s="1" t="s">
        <v>64</v>
      </c>
      <c r="O266" s="7"/>
      <c r="P266" s="1" t="s">
        <v>551</v>
      </c>
      <c r="Q266" s="1" t="s">
        <v>31</v>
      </c>
      <c r="R266" s="1" t="s">
        <v>32</v>
      </c>
      <c r="S266" s="7"/>
      <c r="T266" s="7"/>
      <c r="U266" s="7"/>
      <c r="V266" s="7"/>
      <c r="W266" s="7"/>
      <c r="X266" s="7"/>
      <c r="Y266" s="11" t="str">
        <f>IFERROR(VLOOKUP(A266,Sheet3!B:H,6,false),VLOOKUP(J266,Sheet2!A:C,2,false))</f>
        <v>#N/A</v>
      </c>
      <c r="Z266" s="11" t="str">
        <f>IFERROR(VLOOKUP(A266,Sheet3!B:H,7,false),VLOOKUP(J266,Sheet2!A:C,3,false))</f>
        <v>#N/A</v>
      </c>
    </row>
    <row r="267">
      <c r="A267" s="4">
        <v>5.0808836E7</v>
      </c>
      <c r="B267" s="9">
        <v>2.0</v>
      </c>
      <c r="C267" s="9">
        <v>5.0</v>
      </c>
      <c r="D267" s="2" t="s">
        <v>631</v>
      </c>
      <c r="E267" s="2" t="s">
        <v>621</v>
      </c>
      <c r="F267" s="2" t="s">
        <v>553</v>
      </c>
      <c r="G267" s="9">
        <v>12.0</v>
      </c>
      <c r="H267" s="9">
        <v>3.33</v>
      </c>
      <c r="I267" s="9">
        <v>10.0</v>
      </c>
      <c r="J267" s="1" t="s">
        <v>554</v>
      </c>
      <c r="K267" s="1" t="s">
        <v>632</v>
      </c>
      <c r="L267" s="6">
        <v>499.0</v>
      </c>
      <c r="M267" s="6">
        <v>499.0</v>
      </c>
      <c r="N267" s="1" t="s">
        <v>556</v>
      </c>
      <c r="O267" s="1" t="s">
        <v>54</v>
      </c>
      <c r="P267" s="1" t="s">
        <v>633</v>
      </c>
      <c r="Q267" s="1" t="s">
        <v>31</v>
      </c>
      <c r="R267" s="1" t="s">
        <v>32</v>
      </c>
      <c r="S267" s="7"/>
      <c r="T267" s="7"/>
      <c r="U267" s="7"/>
      <c r="V267" s="7"/>
      <c r="W267" s="7"/>
      <c r="X267" s="7"/>
      <c r="Y267" s="11" t="str">
        <f>IFERROR(VLOOKUP(A267,Sheet3!B:H,6,false),VLOOKUP(J267,Sheet2!A:C,2,false))</f>
        <v>#N/A</v>
      </c>
      <c r="Z267" s="11" t="str">
        <f>IFERROR(VLOOKUP(A267,Sheet3!B:H,7,false),VLOOKUP(J267,Sheet2!A:C,3,false))</f>
        <v>#N/A</v>
      </c>
    </row>
    <row r="268">
      <c r="A268" s="4">
        <v>5.0808898E7</v>
      </c>
      <c r="B268" s="9">
        <v>3.0</v>
      </c>
      <c r="C268" s="9">
        <v>5.0</v>
      </c>
      <c r="D268" s="2" t="s">
        <v>634</v>
      </c>
      <c r="E268" s="2" t="s">
        <v>367</v>
      </c>
      <c r="F268" s="2" t="s">
        <v>559</v>
      </c>
      <c r="G268" s="9">
        <v>17.0</v>
      </c>
      <c r="H268" s="9">
        <v>4.47</v>
      </c>
      <c r="I268" s="9">
        <v>14.0</v>
      </c>
      <c r="J268" s="1" t="s">
        <v>560</v>
      </c>
      <c r="K268" s="1" t="s">
        <v>635</v>
      </c>
      <c r="L268" s="6">
        <v>749.0</v>
      </c>
      <c r="M268" s="6">
        <v>949.0</v>
      </c>
      <c r="N268" s="1" t="s">
        <v>556</v>
      </c>
      <c r="O268" s="1" t="s">
        <v>54</v>
      </c>
      <c r="P268" s="7"/>
      <c r="Q268" s="1" t="s">
        <v>31</v>
      </c>
      <c r="R268" s="1" t="s">
        <v>32</v>
      </c>
      <c r="S268" s="7"/>
      <c r="T268" s="7"/>
      <c r="U268" s="7"/>
      <c r="V268" s="7"/>
      <c r="W268" s="7"/>
      <c r="X268" s="7"/>
      <c r="Y268" s="11" t="str">
        <f>IFERROR(VLOOKUP(A268,Sheet3!B:H,6,false),VLOOKUP(J268,Sheet2!A:C,2,false))</f>
        <v>#N/A</v>
      </c>
      <c r="Z268" s="11" t="str">
        <f>IFERROR(VLOOKUP(A268,Sheet3!B:H,7,false),VLOOKUP(J268,Sheet2!A:C,3,false))</f>
        <v>#N/A</v>
      </c>
    </row>
    <row r="269">
      <c r="A269" s="4">
        <v>5.0808951E7</v>
      </c>
      <c r="B269" s="9">
        <v>1.0</v>
      </c>
      <c r="C269" s="9">
        <v>5.0</v>
      </c>
      <c r="D269" s="2" t="s">
        <v>636</v>
      </c>
      <c r="E269" s="2" t="s">
        <v>621</v>
      </c>
      <c r="F269" s="2" t="s">
        <v>637</v>
      </c>
      <c r="G269" s="9">
        <v>1.0</v>
      </c>
      <c r="H269" s="9">
        <v>5.0</v>
      </c>
      <c r="I269" s="9">
        <v>0.0</v>
      </c>
      <c r="J269" s="1" t="s">
        <v>562</v>
      </c>
      <c r="K269" s="1" t="s">
        <v>638</v>
      </c>
      <c r="L269" s="6">
        <v>1499.0</v>
      </c>
      <c r="M269" s="6">
        <v>1699.0</v>
      </c>
      <c r="N269" s="1" t="s">
        <v>564</v>
      </c>
      <c r="O269" s="1" t="s">
        <v>54</v>
      </c>
      <c r="P269" s="7"/>
      <c r="Q269" s="7"/>
      <c r="R269" s="1" t="s">
        <v>32</v>
      </c>
      <c r="S269" s="7"/>
      <c r="T269" s="7"/>
      <c r="U269" s="7"/>
      <c r="V269" s="7"/>
      <c r="W269" s="7"/>
      <c r="X269" s="7"/>
      <c r="Y269" s="11" t="str">
        <f>IFERROR(VLOOKUP(A269,Sheet3!B:H,6,false),VLOOKUP(J269,Sheet2!A:C,2,false))</f>
        <v>#N/A</v>
      </c>
      <c r="Z269" s="11" t="str">
        <f>IFERROR(VLOOKUP(A269,Sheet3!B:H,7,false),VLOOKUP(J269,Sheet2!A:C,3,false))</f>
        <v>#N/A</v>
      </c>
    </row>
    <row r="270">
      <c r="A270" s="4">
        <v>5.0818609E7</v>
      </c>
      <c r="B270" s="9">
        <v>5.0</v>
      </c>
      <c r="C270" s="9">
        <v>4.8</v>
      </c>
      <c r="D270" s="2" t="s">
        <v>639</v>
      </c>
      <c r="E270" s="2" t="s">
        <v>621</v>
      </c>
      <c r="F270" s="2" t="s">
        <v>368</v>
      </c>
      <c r="G270" s="9">
        <v>11.0</v>
      </c>
      <c r="H270" s="9">
        <v>4.45</v>
      </c>
      <c r="I270" s="9">
        <v>6.0</v>
      </c>
      <c r="J270" s="1" t="s">
        <v>369</v>
      </c>
      <c r="K270" s="1" t="s">
        <v>640</v>
      </c>
      <c r="L270" s="6">
        <v>899.0</v>
      </c>
      <c r="M270" s="6">
        <v>899.0</v>
      </c>
      <c r="N270" s="7"/>
      <c r="O270" s="7"/>
      <c r="P270" s="1" t="s">
        <v>371</v>
      </c>
      <c r="Q270" s="1" t="s">
        <v>31</v>
      </c>
      <c r="R270" s="1" t="s">
        <v>32</v>
      </c>
      <c r="S270" s="7"/>
      <c r="T270" s="7"/>
      <c r="U270" s="7"/>
      <c r="V270" s="7"/>
      <c r="W270" s="7"/>
      <c r="X270" s="7"/>
      <c r="Y270" s="11" t="str">
        <f>IFERROR(VLOOKUP(A270,Sheet3!B:H,6,false),VLOOKUP(J270,Sheet2!A:C,2,false))</f>
        <v>#N/A</v>
      </c>
      <c r="Z270" s="11" t="str">
        <f>IFERROR(VLOOKUP(A270,Sheet3!B:H,7,false),VLOOKUP(J270,Sheet2!A:C,3,false))</f>
        <v>#N/A</v>
      </c>
    </row>
    <row r="271">
      <c r="A271" s="4">
        <v>5.1000481E7</v>
      </c>
      <c r="B271" s="9">
        <v>18.0</v>
      </c>
      <c r="C271" s="9">
        <v>4.39</v>
      </c>
      <c r="D271" s="2" t="s">
        <v>641</v>
      </c>
      <c r="E271" s="2" t="s">
        <v>642</v>
      </c>
      <c r="F271" s="2" t="s">
        <v>446</v>
      </c>
      <c r="G271" s="9">
        <v>14.0</v>
      </c>
      <c r="H271" s="9">
        <v>4.79</v>
      </c>
      <c r="I271" s="9">
        <v>-4.0</v>
      </c>
      <c r="J271" s="1" t="s">
        <v>447</v>
      </c>
      <c r="K271" s="1" t="s">
        <v>643</v>
      </c>
      <c r="L271" s="6">
        <v>1199.0</v>
      </c>
      <c r="M271" s="6">
        <v>1299.0</v>
      </c>
      <c r="N271" s="1" t="s">
        <v>449</v>
      </c>
      <c r="O271" s="7"/>
      <c r="P271" s="1" t="s">
        <v>450</v>
      </c>
      <c r="Q271" s="1" t="s">
        <v>31</v>
      </c>
      <c r="R271" s="1" t="s">
        <v>568</v>
      </c>
      <c r="S271" s="7"/>
      <c r="T271" s="7"/>
      <c r="U271" s="7"/>
      <c r="V271" s="7"/>
      <c r="W271" s="7"/>
      <c r="X271" s="7"/>
      <c r="Y271" s="11" t="str">
        <f>IFERROR(VLOOKUP(A271,Sheet3!B:H,6,false),VLOOKUP(J271,Sheet2!A:C,2,false))</f>
        <v>#N/A</v>
      </c>
      <c r="Z271" s="11" t="str">
        <f>IFERROR(VLOOKUP(A271,Sheet3!B:H,7,false),VLOOKUP(J271,Sheet2!A:C,3,false))</f>
        <v>#N/A</v>
      </c>
    </row>
    <row r="272">
      <c r="A272" s="4">
        <v>5.1000518E7</v>
      </c>
      <c r="B272" s="9">
        <v>11.0</v>
      </c>
      <c r="C272" s="9">
        <v>4.36</v>
      </c>
      <c r="D272" s="2" t="s">
        <v>644</v>
      </c>
      <c r="E272" s="2" t="s">
        <v>642</v>
      </c>
      <c r="F272" s="2" t="s">
        <v>452</v>
      </c>
      <c r="G272" s="9">
        <v>1.0</v>
      </c>
      <c r="H272" s="9">
        <v>5.0</v>
      </c>
      <c r="I272" s="9">
        <v>-10.0</v>
      </c>
      <c r="J272" s="1" t="s">
        <v>453</v>
      </c>
      <c r="K272" s="1" t="s">
        <v>645</v>
      </c>
      <c r="L272" s="6">
        <v>1899.0</v>
      </c>
      <c r="M272" s="6">
        <v>2099.0</v>
      </c>
      <c r="N272" s="1" t="s">
        <v>449</v>
      </c>
      <c r="O272" s="7"/>
      <c r="P272" s="1" t="s">
        <v>455</v>
      </c>
      <c r="Q272" s="1" t="s">
        <v>31</v>
      </c>
      <c r="R272" s="1" t="s">
        <v>568</v>
      </c>
      <c r="S272" s="7"/>
      <c r="T272" s="7"/>
      <c r="U272" s="7"/>
      <c r="V272" s="7"/>
      <c r="W272" s="7"/>
      <c r="X272" s="7"/>
      <c r="Y272" s="11" t="str">
        <f>IFERROR(VLOOKUP(A272,Sheet3!B:H,6,false),VLOOKUP(J272,Sheet2!A:C,2,false))</f>
        <v>#N/A</v>
      </c>
      <c r="Z272" s="11" t="str">
        <f>IFERROR(VLOOKUP(A272,Sheet3!B:H,7,false),VLOOKUP(J272,Sheet2!A:C,3,false))</f>
        <v>#N/A</v>
      </c>
    </row>
    <row r="273">
      <c r="A273" s="4">
        <v>5.100816E7</v>
      </c>
      <c r="B273" s="9">
        <v>11.0</v>
      </c>
      <c r="C273" s="9">
        <v>4.27</v>
      </c>
      <c r="D273" s="2" t="s">
        <v>646</v>
      </c>
      <c r="E273" s="2" t="s">
        <v>642</v>
      </c>
      <c r="F273" s="2" t="s">
        <v>457</v>
      </c>
      <c r="G273" s="9">
        <v>1.0</v>
      </c>
      <c r="H273" s="9">
        <v>5.0</v>
      </c>
      <c r="I273" s="9">
        <v>-10.0</v>
      </c>
      <c r="J273" s="1" t="s">
        <v>458</v>
      </c>
      <c r="K273" s="1" t="s">
        <v>647</v>
      </c>
      <c r="L273" s="6">
        <v>2399.0</v>
      </c>
      <c r="M273" s="6">
        <v>2399.0</v>
      </c>
      <c r="N273" s="1" t="s">
        <v>64</v>
      </c>
      <c r="O273" s="7"/>
      <c r="P273" s="1" t="s">
        <v>460</v>
      </c>
      <c r="Q273" s="1" t="s">
        <v>31</v>
      </c>
      <c r="R273" s="1" t="s">
        <v>568</v>
      </c>
      <c r="S273" s="7"/>
      <c r="T273" s="7"/>
      <c r="U273" s="7"/>
      <c r="V273" s="7"/>
      <c r="W273" s="7"/>
      <c r="X273" s="7"/>
      <c r="Y273" s="11" t="str">
        <f>IFERROR(VLOOKUP(A273,Sheet3!B:H,6,false),VLOOKUP(J273,Sheet2!A:C,2,false))</f>
        <v>#N/A</v>
      </c>
      <c r="Z273" s="11" t="str">
        <f>IFERROR(VLOOKUP(A273,Sheet3!B:H,7,false),VLOOKUP(J273,Sheet2!A:C,3,false))</f>
        <v>#N/A</v>
      </c>
    </row>
    <row r="274">
      <c r="A274" s="4">
        <v>5.1008184E7</v>
      </c>
      <c r="B274" s="9">
        <v>2.0</v>
      </c>
      <c r="C274" s="9">
        <v>5.0</v>
      </c>
      <c r="D274" s="2" t="s">
        <v>648</v>
      </c>
      <c r="E274" s="2" t="s">
        <v>642</v>
      </c>
      <c r="F274" s="2" t="s">
        <v>462</v>
      </c>
      <c r="G274" s="9">
        <v>405.0</v>
      </c>
      <c r="H274" s="9">
        <v>4.6</v>
      </c>
      <c r="I274" s="9">
        <v>403.0</v>
      </c>
      <c r="J274" s="1" t="s">
        <v>463</v>
      </c>
      <c r="K274" s="1" t="s">
        <v>649</v>
      </c>
      <c r="L274" s="6">
        <v>2899.0</v>
      </c>
      <c r="M274" s="6">
        <v>2899.0</v>
      </c>
      <c r="N274" s="1" t="s">
        <v>64</v>
      </c>
      <c r="O274" s="7"/>
      <c r="P274" s="1" t="s">
        <v>465</v>
      </c>
      <c r="Q274" s="1" t="s">
        <v>31</v>
      </c>
      <c r="R274" s="1" t="s">
        <v>568</v>
      </c>
      <c r="S274" s="7"/>
      <c r="T274" s="7"/>
      <c r="U274" s="7"/>
      <c r="V274" s="7"/>
      <c r="W274" s="7"/>
      <c r="X274" s="7"/>
      <c r="Y274" s="11" t="str">
        <f>IFERROR(VLOOKUP(A274,Sheet3!B:H,6,false),VLOOKUP(J274,Sheet2!A:C,2,false))</f>
        <v>#N/A</v>
      </c>
      <c r="Z274" s="11" t="str">
        <f>IFERROR(VLOOKUP(A274,Sheet3!B:H,7,false),VLOOKUP(J274,Sheet2!A:C,3,false))</f>
        <v>#N/A</v>
      </c>
    </row>
    <row r="275">
      <c r="A275" s="4">
        <v>5.1008196E7</v>
      </c>
      <c r="B275" s="9">
        <v>5.0</v>
      </c>
      <c r="C275" s="9">
        <v>4.4</v>
      </c>
      <c r="D275" s="2" t="s">
        <v>650</v>
      </c>
      <c r="E275" s="2" t="s">
        <v>642</v>
      </c>
      <c r="F275" s="2" t="s">
        <v>548</v>
      </c>
      <c r="G275" s="9">
        <v>5.0</v>
      </c>
      <c r="H275" s="9">
        <v>4.4</v>
      </c>
      <c r="I275" s="9">
        <v>0.0</v>
      </c>
      <c r="J275" s="1" t="s">
        <v>549</v>
      </c>
      <c r="K275" s="1" t="s">
        <v>651</v>
      </c>
      <c r="L275" s="6">
        <v>3399.0</v>
      </c>
      <c r="M275" s="6">
        <v>3399.0</v>
      </c>
      <c r="N275" s="1" t="s">
        <v>64</v>
      </c>
      <c r="O275" s="7"/>
      <c r="P275" s="1" t="s">
        <v>551</v>
      </c>
      <c r="Q275" s="1" t="s">
        <v>31</v>
      </c>
      <c r="R275" s="1" t="s">
        <v>568</v>
      </c>
      <c r="S275" s="7"/>
      <c r="T275" s="7"/>
      <c r="U275" s="7"/>
      <c r="V275" s="7"/>
      <c r="W275" s="7"/>
      <c r="X275" s="7"/>
      <c r="Y275" s="11" t="str">
        <f>IFERROR(VLOOKUP(A275,Sheet3!B:H,6,false),VLOOKUP(J275,Sheet2!A:C,2,false))</f>
        <v>#N/A</v>
      </c>
      <c r="Z275" s="11" t="str">
        <f>IFERROR(VLOOKUP(A275,Sheet3!B:H,7,false),VLOOKUP(J275,Sheet2!A:C,3,false))</f>
        <v>#N/A</v>
      </c>
    </row>
    <row r="276">
      <c r="A276" s="4">
        <v>5.1008831E7</v>
      </c>
      <c r="B276" s="9">
        <v>12.0</v>
      </c>
      <c r="C276" s="9">
        <v>3.33</v>
      </c>
      <c r="D276" s="2" t="s">
        <v>652</v>
      </c>
      <c r="E276" s="2" t="s">
        <v>642</v>
      </c>
      <c r="F276" s="2" t="s">
        <v>553</v>
      </c>
      <c r="G276" s="9">
        <v>12.0</v>
      </c>
      <c r="H276" s="9">
        <v>3.33</v>
      </c>
      <c r="I276" s="9">
        <v>0.0</v>
      </c>
      <c r="J276" s="1" t="s">
        <v>554</v>
      </c>
      <c r="K276" s="1" t="s">
        <v>653</v>
      </c>
      <c r="L276" s="6">
        <v>799.0</v>
      </c>
      <c r="M276" s="6">
        <v>799.0</v>
      </c>
      <c r="N276" s="1" t="s">
        <v>556</v>
      </c>
      <c r="O276" s="1" t="s">
        <v>54</v>
      </c>
      <c r="P276" s="1" t="s">
        <v>633</v>
      </c>
      <c r="Q276" s="1" t="s">
        <v>31</v>
      </c>
      <c r="R276" s="1" t="s">
        <v>568</v>
      </c>
      <c r="S276" s="7"/>
      <c r="T276" s="7"/>
      <c r="U276" s="7"/>
      <c r="V276" s="7"/>
      <c r="W276" s="7"/>
      <c r="X276" s="7"/>
      <c r="Y276" s="11" t="str">
        <f>IFERROR(VLOOKUP(A276,Sheet3!B:H,6,false),VLOOKUP(J276,Sheet2!A:C,2,false))</f>
        <v>#N/A</v>
      </c>
      <c r="Z276" s="11" t="str">
        <f>IFERROR(VLOOKUP(A276,Sheet3!B:H,7,false),VLOOKUP(J276,Sheet2!A:C,3,false))</f>
        <v>#N/A</v>
      </c>
    </row>
    <row r="277">
      <c r="A277" s="4">
        <v>5.1008893E7</v>
      </c>
      <c r="B277" s="9">
        <v>17.0</v>
      </c>
      <c r="C277" s="9">
        <v>4.47</v>
      </c>
      <c r="D277" s="2" t="s">
        <v>654</v>
      </c>
      <c r="E277" s="2" t="s">
        <v>642</v>
      </c>
      <c r="F277" s="2" t="s">
        <v>559</v>
      </c>
      <c r="G277" s="9">
        <v>17.0</v>
      </c>
      <c r="H277" s="9">
        <v>4.47</v>
      </c>
      <c r="I277" s="9">
        <v>0.0</v>
      </c>
      <c r="J277" s="1" t="s">
        <v>560</v>
      </c>
      <c r="K277" s="1" t="s">
        <v>655</v>
      </c>
      <c r="L277" s="6">
        <v>1299.0</v>
      </c>
      <c r="M277" s="6">
        <v>1499.0</v>
      </c>
      <c r="N277" s="1" t="s">
        <v>556</v>
      </c>
      <c r="O277" s="1" t="s">
        <v>54</v>
      </c>
      <c r="P277" s="7"/>
      <c r="Q277" s="1" t="s">
        <v>31</v>
      </c>
      <c r="R277" s="1" t="s">
        <v>568</v>
      </c>
      <c r="S277" s="7"/>
      <c r="T277" s="7"/>
      <c r="U277" s="7"/>
      <c r="V277" s="7"/>
      <c r="W277" s="7"/>
      <c r="X277" s="7"/>
      <c r="Y277" s="11" t="str">
        <f>IFERROR(VLOOKUP(A277,Sheet3!B:H,6,false),VLOOKUP(J277,Sheet2!A:C,2,false))</f>
        <v>#N/A</v>
      </c>
      <c r="Z277" s="11" t="str">
        <f>IFERROR(VLOOKUP(A277,Sheet3!B:H,7,false),VLOOKUP(J277,Sheet2!A:C,3,false))</f>
        <v>#N/A</v>
      </c>
    </row>
    <row r="278">
      <c r="A278" s="4">
        <v>5.1008956E7</v>
      </c>
      <c r="B278" s="9">
        <v>1.0</v>
      </c>
      <c r="C278" s="9">
        <v>5.0</v>
      </c>
      <c r="D278" s="2" t="s">
        <v>656</v>
      </c>
      <c r="E278" s="2" t="s">
        <v>642</v>
      </c>
      <c r="F278" s="2" t="s">
        <v>637</v>
      </c>
      <c r="G278" s="9">
        <v>1.0</v>
      </c>
      <c r="H278" s="9">
        <v>5.0</v>
      </c>
      <c r="I278" s="9">
        <v>0.0</v>
      </c>
      <c r="J278" s="1" t="s">
        <v>562</v>
      </c>
      <c r="K278" s="1" t="s">
        <v>657</v>
      </c>
      <c r="L278" s="6">
        <v>2099.0</v>
      </c>
      <c r="M278" s="6">
        <v>2299.0</v>
      </c>
      <c r="N278" s="1" t="s">
        <v>564</v>
      </c>
      <c r="O278" s="1" t="s">
        <v>54</v>
      </c>
      <c r="P278" s="7"/>
      <c r="Q278" s="7"/>
      <c r="R278" s="1" t="s">
        <v>568</v>
      </c>
      <c r="S278" s="7"/>
      <c r="T278" s="7"/>
      <c r="U278" s="7"/>
      <c r="V278" s="7"/>
      <c r="W278" s="7"/>
      <c r="X278" s="7"/>
      <c r="Y278" s="11" t="str">
        <f>IFERROR(VLOOKUP(A278,Sheet3!B:H,6,false),VLOOKUP(J278,Sheet2!A:C,2,false))</f>
        <v>#N/A</v>
      </c>
      <c r="Z278" s="11" t="str">
        <f>IFERROR(VLOOKUP(A278,Sheet3!B:H,7,false),VLOOKUP(J278,Sheet2!A:C,3,false))</f>
        <v>#N/A</v>
      </c>
    </row>
    <row r="279">
      <c r="A279" s="4">
        <v>5.1010216E7</v>
      </c>
      <c r="B279" s="5"/>
      <c r="C279" s="5"/>
      <c r="D279" s="2" t="s">
        <v>658</v>
      </c>
      <c r="E279" s="2" t="s">
        <v>659</v>
      </c>
      <c r="F279" s="2" t="s">
        <v>660</v>
      </c>
      <c r="G279" s="9">
        <v>4.0</v>
      </c>
      <c r="H279" s="9">
        <v>4.5</v>
      </c>
      <c r="I279" s="5"/>
      <c r="J279" s="1" t="s">
        <v>661</v>
      </c>
      <c r="K279" s="1" t="s">
        <v>662</v>
      </c>
      <c r="L279" s="6">
        <v>59.99</v>
      </c>
      <c r="M279" s="6">
        <v>59.99</v>
      </c>
      <c r="N279" s="1" t="s">
        <v>663</v>
      </c>
      <c r="O279" s="7"/>
      <c r="P279" s="1" t="s">
        <v>664</v>
      </c>
      <c r="Q279" s="1" t="s">
        <v>31</v>
      </c>
      <c r="R279" s="1" t="s">
        <v>32</v>
      </c>
      <c r="S279" s="7"/>
      <c r="T279" s="7"/>
      <c r="U279" s="7"/>
      <c r="V279" s="7"/>
      <c r="W279" s="7"/>
      <c r="X279" s="7"/>
      <c r="Y279" s="8" t="str">
        <f>IFERROR(VLOOKUP(A279,Sheet3!B:H,6,false),VLOOKUP(J279,Sheet2!A:C,2,false))</f>
        <v>https://bedgear.com/cdn/shop/files/01-IPROTECT-Main.jpg</v>
      </c>
      <c r="Z279" s="8" t="str">
        <f>IFERROR(VLOOKUP(A279,Sheet3!B:H,7,false),VLOOKUP(J279,Sheet2!A:C,3,false))</f>
        <v>https://bedgear.com/products/iprotect-mattress-protector</v>
      </c>
    </row>
    <row r="280">
      <c r="A280" s="4">
        <v>5.1010228E7</v>
      </c>
      <c r="B280" s="5"/>
      <c r="C280" s="5"/>
      <c r="D280" s="2" t="s">
        <v>658</v>
      </c>
      <c r="E280" s="2" t="s">
        <v>659</v>
      </c>
      <c r="F280" s="2" t="s">
        <v>660</v>
      </c>
      <c r="G280" s="9">
        <v>4.0</v>
      </c>
      <c r="H280" s="9">
        <v>4.5</v>
      </c>
      <c r="I280" s="5"/>
      <c r="J280" s="1" t="s">
        <v>661</v>
      </c>
      <c r="K280" s="1" t="s">
        <v>665</v>
      </c>
      <c r="L280" s="6">
        <v>49.99</v>
      </c>
      <c r="M280" s="6">
        <v>49.99</v>
      </c>
      <c r="N280" s="1" t="s">
        <v>663</v>
      </c>
      <c r="O280" s="7"/>
      <c r="P280" s="1" t="s">
        <v>664</v>
      </c>
      <c r="Q280" s="1" t="s">
        <v>31</v>
      </c>
      <c r="R280" s="1" t="s">
        <v>242</v>
      </c>
      <c r="S280" s="7"/>
      <c r="T280" s="7"/>
      <c r="U280" s="7"/>
      <c r="V280" s="7"/>
      <c r="W280" s="7"/>
      <c r="X280" s="7"/>
      <c r="Y280" s="8" t="str">
        <f>IFERROR(VLOOKUP(A280,Sheet3!B:H,6,false),VLOOKUP(J280,Sheet2!A:C,2,false))</f>
        <v>https://bedgear.com/cdn/shop/files/01-IPROTECT-Main.jpg</v>
      </c>
      <c r="Z280" s="8" t="str">
        <f>IFERROR(VLOOKUP(A280,Sheet3!B:H,7,false),VLOOKUP(J280,Sheet2!A:C,3,false))</f>
        <v>https://bedgear.com/products/iprotect-mattress-protector</v>
      </c>
    </row>
    <row r="281">
      <c r="A281" s="4">
        <v>5.101023E7</v>
      </c>
      <c r="B281" s="5"/>
      <c r="C281" s="5"/>
      <c r="D281" s="2" t="s">
        <v>658</v>
      </c>
      <c r="E281" s="2" t="s">
        <v>659</v>
      </c>
      <c r="F281" s="2" t="s">
        <v>660</v>
      </c>
      <c r="G281" s="9">
        <v>4.0</v>
      </c>
      <c r="H281" s="9">
        <v>4.5</v>
      </c>
      <c r="I281" s="5"/>
      <c r="J281" s="1" t="s">
        <v>661</v>
      </c>
      <c r="K281" s="1" t="s">
        <v>666</v>
      </c>
      <c r="L281" s="6">
        <v>69.99</v>
      </c>
      <c r="M281" s="6">
        <v>69.99</v>
      </c>
      <c r="N281" s="1" t="s">
        <v>663</v>
      </c>
      <c r="O281" s="7"/>
      <c r="P281" s="1" t="s">
        <v>664</v>
      </c>
      <c r="Q281" s="1" t="s">
        <v>31</v>
      </c>
      <c r="R281" s="1" t="s">
        <v>373</v>
      </c>
      <c r="S281" s="7"/>
      <c r="T281" s="7"/>
      <c r="U281" s="7"/>
      <c r="V281" s="7"/>
      <c r="W281" s="7"/>
      <c r="X281" s="7"/>
      <c r="Y281" s="8" t="str">
        <f>IFERROR(VLOOKUP(A281,Sheet3!B:H,6,false),VLOOKUP(J281,Sheet2!A:C,2,false))</f>
        <v>https://bedgear.com/cdn/shop/files/01-IPROTECT-Main.jpg</v>
      </c>
      <c r="Z281" s="8" t="str">
        <f>IFERROR(VLOOKUP(A281,Sheet3!B:H,7,false),VLOOKUP(J281,Sheet2!A:C,3,false))</f>
        <v>https://bedgear.com/products/iprotect-mattress-protector</v>
      </c>
    </row>
    <row r="282">
      <c r="A282" s="4">
        <v>5.1010242E7</v>
      </c>
      <c r="B282" s="9">
        <v>3.0</v>
      </c>
      <c r="C282" s="9">
        <v>4.33</v>
      </c>
      <c r="D282" s="2" t="s">
        <v>658</v>
      </c>
      <c r="E282" s="2" t="s">
        <v>659</v>
      </c>
      <c r="F282" s="2" t="s">
        <v>660</v>
      </c>
      <c r="G282" s="9">
        <v>4.0</v>
      </c>
      <c r="H282" s="9">
        <v>4.5</v>
      </c>
      <c r="I282" s="9">
        <v>1.0</v>
      </c>
      <c r="J282" s="1" t="s">
        <v>661</v>
      </c>
      <c r="K282" s="1" t="s">
        <v>667</v>
      </c>
      <c r="L282" s="6">
        <v>79.99</v>
      </c>
      <c r="M282" s="6">
        <v>79.99</v>
      </c>
      <c r="N282" s="1" t="s">
        <v>663</v>
      </c>
      <c r="O282" s="7"/>
      <c r="P282" s="1" t="s">
        <v>664</v>
      </c>
      <c r="Q282" s="1" t="s">
        <v>31</v>
      </c>
      <c r="R282" s="1" t="s">
        <v>470</v>
      </c>
      <c r="S282" s="7"/>
      <c r="T282" s="7"/>
      <c r="U282" s="7"/>
      <c r="V282" s="7"/>
      <c r="W282" s="7"/>
      <c r="X282" s="7"/>
      <c r="Y282" s="8" t="str">
        <f>IFERROR(VLOOKUP(A282,Sheet3!B:H,6,false),VLOOKUP(J282,Sheet2!A:C,2,false))</f>
        <v>https://bedgear.com/cdn/shop/files/01-IPROTECT-Main.jpg</v>
      </c>
      <c r="Z282" s="8" t="str">
        <f>IFERROR(VLOOKUP(A282,Sheet3!B:H,7,false),VLOOKUP(J282,Sheet2!A:C,3,false))</f>
        <v>https://bedgear.com/products/iprotect-mattress-protector</v>
      </c>
    </row>
    <row r="283">
      <c r="A283" s="4">
        <v>5.1010254E7</v>
      </c>
      <c r="B283" s="9">
        <v>1.0</v>
      </c>
      <c r="C283" s="9">
        <v>5.0</v>
      </c>
      <c r="D283" s="2" t="s">
        <v>658</v>
      </c>
      <c r="E283" s="2" t="s">
        <v>659</v>
      </c>
      <c r="F283" s="2" t="s">
        <v>660</v>
      </c>
      <c r="G283" s="9">
        <v>4.0</v>
      </c>
      <c r="H283" s="9">
        <v>4.5</v>
      </c>
      <c r="I283" s="9">
        <v>3.0</v>
      </c>
      <c r="J283" s="1" t="s">
        <v>661</v>
      </c>
      <c r="K283" s="1" t="s">
        <v>668</v>
      </c>
      <c r="L283" s="6">
        <v>89.99</v>
      </c>
      <c r="M283" s="6">
        <v>89.99</v>
      </c>
      <c r="N283" s="1" t="s">
        <v>663</v>
      </c>
      <c r="O283" s="7"/>
      <c r="P283" s="1" t="s">
        <v>664</v>
      </c>
      <c r="Q283" s="1" t="s">
        <v>31</v>
      </c>
      <c r="R283" s="1" t="s">
        <v>568</v>
      </c>
      <c r="S283" s="7"/>
      <c r="T283" s="7"/>
      <c r="U283" s="7"/>
      <c r="V283" s="7"/>
      <c r="W283" s="7"/>
      <c r="X283" s="7"/>
      <c r="Y283" s="8" t="str">
        <f>IFERROR(VLOOKUP(A283,Sheet3!B:H,6,false),VLOOKUP(J283,Sheet2!A:C,2,false))</f>
        <v>https://bedgear.com/cdn/shop/files/01-IPROTECT-Main.jpg</v>
      </c>
      <c r="Z283" s="8" t="str">
        <f>IFERROR(VLOOKUP(A283,Sheet3!B:H,7,false),VLOOKUP(J283,Sheet2!A:C,3,false))</f>
        <v>https://bedgear.com/products/iprotect-mattress-protector</v>
      </c>
    </row>
    <row r="284">
      <c r="A284" s="4">
        <v>5.1010266E7</v>
      </c>
      <c r="B284" s="5"/>
      <c r="C284" s="5"/>
      <c r="D284" s="5"/>
      <c r="E284" s="5"/>
      <c r="F284" s="5"/>
      <c r="G284" s="5"/>
      <c r="H284" s="5"/>
      <c r="I284" s="5"/>
      <c r="J284" s="1" t="s">
        <v>661</v>
      </c>
      <c r="K284" s="1" t="s">
        <v>669</v>
      </c>
      <c r="L284" s="6">
        <v>89.99</v>
      </c>
      <c r="M284" s="6">
        <v>89.99</v>
      </c>
      <c r="N284" s="1" t="s">
        <v>663</v>
      </c>
      <c r="O284" s="7"/>
      <c r="P284" s="1" t="s">
        <v>664</v>
      </c>
      <c r="Q284" s="1" t="s">
        <v>31</v>
      </c>
      <c r="R284" s="1" t="s">
        <v>670</v>
      </c>
      <c r="S284" s="7"/>
      <c r="T284" s="7"/>
      <c r="U284" s="7"/>
      <c r="V284" s="7"/>
      <c r="W284" s="7"/>
      <c r="X284" s="7"/>
      <c r="Y284" s="8" t="str">
        <f>IFERROR(VLOOKUP(A284,Sheet3!B:H,6,false),VLOOKUP(J284,Sheet2!A:C,2,false))</f>
        <v>https://bedgear.com/cdn/shop/files/01-IPROTECT-Main.jpg</v>
      </c>
      <c r="Z284" s="8" t="str">
        <f>IFERROR(VLOOKUP(A284,Sheet3!B:H,7,false),VLOOKUP(J284,Sheet2!A:C,3,false))</f>
        <v>https://bedgear.com/products/iprotect-mattress-protector</v>
      </c>
    </row>
    <row r="285">
      <c r="A285" s="4">
        <v>5.1010393E7</v>
      </c>
      <c r="B285" s="5"/>
      <c r="C285" s="5"/>
      <c r="D285" s="5"/>
      <c r="E285" s="5"/>
      <c r="F285" s="5"/>
      <c r="G285" s="5"/>
      <c r="H285" s="5"/>
      <c r="I285" s="5"/>
      <c r="J285" s="1" t="s">
        <v>671</v>
      </c>
      <c r="K285" s="1" t="s">
        <v>671</v>
      </c>
      <c r="L285" s="6">
        <v>19.99</v>
      </c>
      <c r="M285" s="6">
        <v>19.99</v>
      </c>
      <c r="N285" s="1" t="s">
        <v>663</v>
      </c>
      <c r="O285" s="7"/>
      <c r="P285" s="1" t="s">
        <v>672</v>
      </c>
      <c r="Q285" s="1" t="s">
        <v>134</v>
      </c>
      <c r="R285" s="7"/>
      <c r="S285" s="7"/>
      <c r="T285" s="7"/>
      <c r="U285" s="7"/>
      <c r="V285" s="7"/>
      <c r="W285" s="7"/>
      <c r="X285" s="7"/>
      <c r="Y285" s="8" t="str">
        <f>IFERROR(VLOOKUP(A285,Sheet3!B:H,6,false),VLOOKUP(J285,Sheet2!A:C,2,false))</f>
        <v>https://bedgear.com/cdn/shop/collections/BG-WEB-NAV-IMG-302x160-BabyKids-CribProtector.jpg</v>
      </c>
      <c r="Z285" s="8" t="str">
        <f>IFERROR(VLOOKUP(A285,Sheet3!B:H,7,false),VLOOKUP(J285,Sheet2!A:C,3,false))</f>
        <v>https://bedgear.com/collections/crib-protectors</v>
      </c>
    </row>
    <row r="286">
      <c r="A286" s="4">
        <v>5.1010406E7</v>
      </c>
      <c r="B286" s="5"/>
      <c r="C286" s="5"/>
      <c r="D286" s="5"/>
      <c r="E286" s="5"/>
      <c r="F286" s="5"/>
      <c r="G286" s="5"/>
      <c r="H286" s="5"/>
      <c r="I286" s="5"/>
      <c r="J286" s="1" t="s">
        <v>673</v>
      </c>
      <c r="K286" s="1" t="s">
        <v>673</v>
      </c>
      <c r="L286" s="6">
        <v>29.99</v>
      </c>
      <c r="M286" s="6">
        <v>29.99</v>
      </c>
      <c r="N286" s="1" t="s">
        <v>663</v>
      </c>
      <c r="O286" s="7"/>
      <c r="P286" s="1" t="s">
        <v>674</v>
      </c>
      <c r="Q286" s="1" t="s">
        <v>134</v>
      </c>
      <c r="R286" s="1" t="s">
        <v>675</v>
      </c>
      <c r="S286" s="7"/>
      <c r="T286" s="7"/>
      <c r="U286" s="7"/>
      <c r="V286" s="7"/>
      <c r="W286" s="7"/>
      <c r="X286" s="7"/>
      <c r="Y286" s="8" t="str">
        <f>IFERROR(VLOOKUP(A286,Sheet3!B:H,6,false),VLOOKUP(J286,Sheet2!A:C,2,false))</f>
        <v>https://bedgear.com/cdn/shop/files/01-DT-Main.jpg</v>
      </c>
      <c r="Z286" s="8" t="str">
        <f>IFERROR(VLOOKUP(A286,Sheet3!B:H,7,false),VLOOKUP(J286,Sheet2!A:C,3,false))</f>
        <v>https://bedgear.com/collections/crib-protectors</v>
      </c>
    </row>
    <row r="287">
      <c r="A287" s="4">
        <v>5.1010418E7</v>
      </c>
      <c r="B287" s="5"/>
      <c r="C287" s="5"/>
      <c r="D287" s="5"/>
      <c r="E287" s="5"/>
      <c r="F287" s="5"/>
      <c r="G287" s="5"/>
      <c r="H287" s="5"/>
      <c r="I287" s="5"/>
      <c r="J287" s="1" t="s">
        <v>676</v>
      </c>
      <c r="K287" s="1" t="s">
        <v>676</v>
      </c>
      <c r="L287" s="6">
        <v>39.99</v>
      </c>
      <c r="M287" s="6">
        <v>39.99</v>
      </c>
      <c r="N287" s="1" t="s">
        <v>663</v>
      </c>
      <c r="O287" s="7"/>
      <c r="P287" s="1" t="s">
        <v>677</v>
      </c>
      <c r="Q287" s="1" t="s">
        <v>134</v>
      </c>
      <c r="R287" s="1" t="s">
        <v>675</v>
      </c>
      <c r="S287" s="7"/>
      <c r="T287" s="7"/>
      <c r="U287" s="7"/>
      <c r="V287" s="7"/>
      <c r="W287" s="7"/>
      <c r="X287" s="7"/>
      <c r="Y287" s="8" t="str">
        <f>IFERROR(VLOOKUP(A287,Sheet3!B:H,6,false),VLOOKUP(J287,Sheet2!A:C,2,false))</f>
        <v>https://bedgear.com/cdn/shop/files/01-VT-Main_ba2fd5b4-a14e-47c0-942b-e9c2aea9a2f6.jpg</v>
      </c>
      <c r="Z287" s="8" t="str">
        <f>IFERROR(VLOOKUP(A287,Sheet3!B:H,7,false),VLOOKUP(J287,Sheet2!A:C,3,false))</f>
        <v>https://bedgear.com/collections/crib-protectors</v>
      </c>
    </row>
    <row r="288">
      <c r="A288" s="4">
        <v>5.1010507E7</v>
      </c>
      <c r="B288" s="5"/>
      <c r="C288" s="5"/>
      <c r="D288" s="2" t="s">
        <v>678</v>
      </c>
      <c r="E288" s="2" t="s">
        <v>659</v>
      </c>
      <c r="F288" s="2" t="s">
        <v>679</v>
      </c>
      <c r="G288" s="9">
        <v>5.0</v>
      </c>
      <c r="H288" s="9">
        <v>4.0</v>
      </c>
      <c r="I288" s="5"/>
      <c r="J288" s="1" t="s">
        <v>680</v>
      </c>
      <c r="K288" s="1" t="s">
        <v>681</v>
      </c>
      <c r="L288" s="6">
        <v>109.99</v>
      </c>
      <c r="M288" s="6">
        <v>109.99</v>
      </c>
      <c r="N288" s="1" t="s">
        <v>663</v>
      </c>
      <c r="O288" s="7"/>
      <c r="P288" s="1" t="s">
        <v>682</v>
      </c>
      <c r="Q288" s="1" t="s">
        <v>31</v>
      </c>
      <c r="R288" s="1" t="s">
        <v>242</v>
      </c>
      <c r="S288" s="7"/>
      <c r="T288" s="7"/>
      <c r="U288" s="7"/>
      <c r="V288" s="7"/>
      <c r="W288" s="7"/>
      <c r="X288" s="7"/>
      <c r="Y288" s="8" t="str">
        <f>IFERROR(VLOOKUP(A288,Sheet3!B:H,6,false),VLOOKUP(J288,Sheet2!A:C,2,false))</f>
        <v>https://bedgear.com/cdn/shop/files/01-DT-Main.jpg</v>
      </c>
      <c r="Z288" s="8" t="str">
        <f>IFERROR(VLOOKUP(A288,Sheet3!B:H,7,false),VLOOKUP(J288,Sheet2!A:C,3,false))</f>
        <v>https://bedgear.com/products/dri-tec-mattress-protector</v>
      </c>
    </row>
    <row r="289">
      <c r="A289" s="4">
        <v>5.1010519E7</v>
      </c>
      <c r="B289" s="5"/>
      <c r="C289" s="5"/>
      <c r="D289" s="2" t="s">
        <v>678</v>
      </c>
      <c r="E289" s="2" t="s">
        <v>659</v>
      </c>
      <c r="F289" s="2" t="s">
        <v>679</v>
      </c>
      <c r="G289" s="9">
        <v>5.0</v>
      </c>
      <c r="H289" s="9">
        <v>4.0</v>
      </c>
      <c r="I289" s="5"/>
      <c r="J289" s="1" t="s">
        <v>680</v>
      </c>
      <c r="K289" s="1" t="s">
        <v>683</v>
      </c>
      <c r="L289" s="6">
        <v>119.99</v>
      </c>
      <c r="M289" s="6">
        <v>119.99</v>
      </c>
      <c r="N289" s="1" t="s">
        <v>663</v>
      </c>
      <c r="O289" s="7"/>
      <c r="P289" s="1" t="s">
        <v>682</v>
      </c>
      <c r="Q289" s="1" t="s">
        <v>31</v>
      </c>
      <c r="R289" s="1" t="s">
        <v>32</v>
      </c>
      <c r="S289" s="7"/>
      <c r="T289" s="7"/>
      <c r="U289" s="7"/>
      <c r="V289" s="7"/>
      <c r="W289" s="7"/>
      <c r="X289" s="7"/>
      <c r="Y289" s="8" t="str">
        <f>IFERROR(VLOOKUP(A289,Sheet3!B:H,6,false),VLOOKUP(J289,Sheet2!A:C,2,false))</f>
        <v>https://bedgear.com/cdn/shop/files/01-DT-Main.jpg</v>
      </c>
      <c r="Z289" s="8" t="str">
        <f>IFERROR(VLOOKUP(A289,Sheet3!B:H,7,false),VLOOKUP(J289,Sheet2!A:C,3,false))</f>
        <v>https://bedgear.com/products/dri-tec-mattress-protector</v>
      </c>
    </row>
    <row r="290">
      <c r="A290" s="4">
        <v>5.1010521E7</v>
      </c>
      <c r="B290" s="5"/>
      <c r="C290" s="5"/>
      <c r="D290" s="2" t="s">
        <v>678</v>
      </c>
      <c r="E290" s="2" t="s">
        <v>659</v>
      </c>
      <c r="F290" s="2" t="s">
        <v>679</v>
      </c>
      <c r="G290" s="9">
        <v>5.0</v>
      </c>
      <c r="H290" s="9">
        <v>4.0</v>
      </c>
      <c r="I290" s="5"/>
      <c r="J290" s="1" t="s">
        <v>680</v>
      </c>
      <c r="K290" s="1" t="s">
        <v>684</v>
      </c>
      <c r="L290" s="6">
        <v>119.99</v>
      </c>
      <c r="M290" s="6">
        <v>119.99</v>
      </c>
      <c r="N290" s="1" t="s">
        <v>663</v>
      </c>
      <c r="O290" s="7"/>
      <c r="P290" s="1" t="s">
        <v>682</v>
      </c>
      <c r="Q290" s="1" t="s">
        <v>31</v>
      </c>
      <c r="R290" s="1" t="s">
        <v>373</v>
      </c>
      <c r="S290" s="7"/>
      <c r="T290" s="7"/>
      <c r="U290" s="7"/>
      <c r="V290" s="7"/>
      <c r="W290" s="7"/>
      <c r="X290" s="7"/>
      <c r="Y290" s="8" t="str">
        <f>IFERROR(VLOOKUP(A290,Sheet3!B:H,6,false),VLOOKUP(J290,Sheet2!A:C,2,false))</f>
        <v>https://bedgear.com/cdn/shop/files/01-DT-Main.jpg</v>
      </c>
      <c r="Z290" s="8" t="str">
        <f>IFERROR(VLOOKUP(A290,Sheet3!B:H,7,false),VLOOKUP(J290,Sheet2!A:C,3,false))</f>
        <v>https://bedgear.com/products/dri-tec-mattress-protector</v>
      </c>
    </row>
    <row r="291">
      <c r="A291" s="4">
        <v>5.1010533E7</v>
      </c>
      <c r="B291" s="5"/>
      <c r="C291" s="5"/>
      <c r="D291" s="2" t="s">
        <v>678</v>
      </c>
      <c r="E291" s="2" t="s">
        <v>659</v>
      </c>
      <c r="F291" s="2" t="s">
        <v>679</v>
      </c>
      <c r="G291" s="9">
        <v>5.0</v>
      </c>
      <c r="H291" s="9">
        <v>4.0</v>
      </c>
      <c r="I291" s="5"/>
      <c r="J291" s="1" t="s">
        <v>680</v>
      </c>
      <c r="K291" s="1" t="s">
        <v>685</v>
      </c>
      <c r="L291" s="6">
        <v>159.99</v>
      </c>
      <c r="M291" s="6">
        <v>159.99</v>
      </c>
      <c r="N291" s="1" t="s">
        <v>663</v>
      </c>
      <c r="O291" s="7"/>
      <c r="P291" s="1" t="s">
        <v>686</v>
      </c>
      <c r="Q291" s="1" t="s">
        <v>31</v>
      </c>
      <c r="R291" s="1" t="s">
        <v>470</v>
      </c>
      <c r="S291" s="7"/>
      <c r="T291" s="7"/>
      <c r="U291" s="7"/>
      <c r="V291" s="7"/>
      <c r="W291" s="7"/>
      <c r="X291" s="7"/>
      <c r="Y291" s="8" t="str">
        <f>IFERROR(VLOOKUP(A291,Sheet3!B:H,6,false),VLOOKUP(J291,Sheet2!A:C,2,false))</f>
        <v>https://bedgear.com/cdn/shop/files/01-DT-Main.jpg</v>
      </c>
      <c r="Z291" s="8" t="str">
        <f>IFERROR(VLOOKUP(A291,Sheet3!B:H,7,false),VLOOKUP(J291,Sheet2!A:C,3,false))</f>
        <v>https://bedgear.com/products/dri-tec-mattress-protector</v>
      </c>
    </row>
    <row r="292">
      <c r="A292" s="4">
        <v>5.1010545E7</v>
      </c>
      <c r="B292" s="9">
        <v>2.0</v>
      </c>
      <c r="C292" s="9">
        <v>4.5</v>
      </c>
      <c r="D292" s="2" t="s">
        <v>678</v>
      </c>
      <c r="E292" s="2" t="s">
        <v>659</v>
      </c>
      <c r="F292" s="2" t="s">
        <v>679</v>
      </c>
      <c r="G292" s="9">
        <v>5.0</v>
      </c>
      <c r="H292" s="9">
        <v>4.0</v>
      </c>
      <c r="I292" s="9">
        <v>3.0</v>
      </c>
      <c r="J292" s="1" t="s">
        <v>680</v>
      </c>
      <c r="K292" s="1" t="s">
        <v>687</v>
      </c>
      <c r="L292" s="6">
        <v>189.99</v>
      </c>
      <c r="M292" s="6">
        <v>189.99</v>
      </c>
      <c r="N292" s="1" t="s">
        <v>663</v>
      </c>
      <c r="O292" s="7"/>
      <c r="P292" s="1" t="s">
        <v>686</v>
      </c>
      <c r="Q292" s="1" t="s">
        <v>31</v>
      </c>
      <c r="R292" s="1" t="s">
        <v>568</v>
      </c>
      <c r="S292" s="7"/>
      <c r="T292" s="7"/>
      <c r="U292" s="7"/>
      <c r="V292" s="7"/>
      <c r="W292" s="7"/>
      <c r="X292" s="7"/>
      <c r="Y292" s="8" t="str">
        <f>IFERROR(VLOOKUP(A292,Sheet3!B:H,6,false),VLOOKUP(J292,Sheet2!A:C,2,false))</f>
        <v>https://bedgear.com/cdn/shop/files/01-DT-Main.jpg</v>
      </c>
      <c r="Z292" s="8" t="str">
        <f>IFERROR(VLOOKUP(A292,Sheet3!B:H,7,false),VLOOKUP(J292,Sheet2!A:C,3,false))</f>
        <v>https://bedgear.com/products/dri-tec-mattress-protector</v>
      </c>
    </row>
    <row r="293">
      <c r="A293" s="4">
        <v>5.1010557E7</v>
      </c>
      <c r="B293" s="5"/>
      <c r="C293" s="5"/>
      <c r="D293" s="2" t="s">
        <v>678</v>
      </c>
      <c r="E293" s="2" t="s">
        <v>659</v>
      </c>
      <c r="F293" s="2" t="s">
        <v>679</v>
      </c>
      <c r="G293" s="9">
        <v>5.0</v>
      </c>
      <c r="H293" s="9">
        <v>4.0</v>
      </c>
      <c r="I293" s="5"/>
      <c r="J293" s="1" t="s">
        <v>680</v>
      </c>
      <c r="K293" s="1" t="s">
        <v>688</v>
      </c>
      <c r="L293" s="6">
        <v>189.99</v>
      </c>
      <c r="M293" s="6">
        <v>189.99</v>
      </c>
      <c r="N293" s="1" t="s">
        <v>663</v>
      </c>
      <c r="O293" s="7"/>
      <c r="P293" s="1" t="s">
        <v>682</v>
      </c>
      <c r="Q293" s="1" t="s">
        <v>31</v>
      </c>
      <c r="R293" s="1" t="s">
        <v>670</v>
      </c>
      <c r="S293" s="7"/>
      <c r="T293" s="7"/>
      <c r="U293" s="7"/>
      <c r="V293" s="7"/>
      <c r="W293" s="7"/>
      <c r="X293" s="7"/>
      <c r="Y293" s="8" t="str">
        <f>IFERROR(VLOOKUP(A293,Sheet3!B:H,6,false),VLOOKUP(J293,Sheet2!A:C,2,false))</f>
        <v>https://bedgear.com/cdn/shop/files/01-DT-Main.jpg</v>
      </c>
      <c r="Z293" s="8" t="str">
        <f>IFERROR(VLOOKUP(A293,Sheet3!B:H,7,false),VLOOKUP(J293,Sheet2!A:C,3,false))</f>
        <v>https://bedgear.com/products/dri-tec-mattress-protector</v>
      </c>
    </row>
    <row r="294">
      <c r="A294" s="4">
        <v>5.1010569E7</v>
      </c>
      <c r="B294" s="9">
        <v>1.0</v>
      </c>
      <c r="C294" s="9">
        <v>5.0</v>
      </c>
      <c r="D294" s="2" t="s">
        <v>678</v>
      </c>
      <c r="E294" s="2" t="s">
        <v>659</v>
      </c>
      <c r="F294" s="2" t="s">
        <v>679</v>
      </c>
      <c r="G294" s="9">
        <v>5.0</v>
      </c>
      <c r="H294" s="9">
        <v>4.0</v>
      </c>
      <c r="I294" s="9">
        <v>4.0</v>
      </c>
      <c r="J294" s="1" t="s">
        <v>680</v>
      </c>
      <c r="K294" s="1" t="s">
        <v>689</v>
      </c>
      <c r="L294" s="6">
        <v>209.99</v>
      </c>
      <c r="M294" s="6">
        <v>209.99</v>
      </c>
      <c r="N294" s="1" t="s">
        <v>663</v>
      </c>
      <c r="O294" s="7"/>
      <c r="P294" s="1" t="s">
        <v>682</v>
      </c>
      <c r="Q294" s="1" t="s">
        <v>31</v>
      </c>
      <c r="R294" s="1" t="s">
        <v>32</v>
      </c>
      <c r="S294" s="7"/>
      <c r="T294" s="7"/>
      <c r="U294" s="7"/>
      <c r="V294" s="7"/>
      <c r="W294" s="7"/>
      <c r="X294" s="7"/>
      <c r="Y294" s="8" t="str">
        <f>IFERROR(VLOOKUP(A294,Sheet3!B:H,6,false),VLOOKUP(J294,Sheet2!A:C,2,false))</f>
        <v>https://bedgear.com/cdn/shop/files/01-DT-Main.jpg</v>
      </c>
      <c r="Z294" s="8" t="str">
        <f>IFERROR(VLOOKUP(A294,Sheet3!B:H,7,false),VLOOKUP(J294,Sheet2!A:C,3,false))</f>
        <v>https://bedgear.com/products/dri-tec-mattress-protector</v>
      </c>
    </row>
    <row r="295">
      <c r="A295" s="4">
        <v>5.1010571E7</v>
      </c>
      <c r="B295" s="5"/>
      <c r="C295" s="5"/>
      <c r="D295" s="5"/>
      <c r="E295" s="5"/>
      <c r="F295" s="5"/>
      <c r="G295" s="5"/>
      <c r="H295" s="5"/>
      <c r="I295" s="5"/>
      <c r="J295" s="1" t="s">
        <v>680</v>
      </c>
      <c r="K295" s="1" t="s">
        <v>690</v>
      </c>
      <c r="L295" s="6">
        <v>209.99</v>
      </c>
      <c r="M295" s="6">
        <v>209.99</v>
      </c>
      <c r="N295" s="1" t="s">
        <v>663</v>
      </c>
      <c r="O295" s="7"/>
      <c r="P295" s="1" t="s">
        <v>691</v>
      </c>
      <c r="Q295" s="1" t="s">
        <v>31</v>
      </c>
      <c r="R295" s="1" t="s">
        <v>692</v>
      </c>
      <c r="S295" s="7"/>
      <c r="T295" s="7"/>
      <c r="U295" s="7"/>
      <c r="V295" s="7"/>
      <c r="W295" s="7"/>
      <c r="X295" s="7"/>
      <c r="Y295" s="8" t="str">
        <f>IFERROR(VLOOKUP(A295,Sheet3!B:H,6,false),VLOOKUP(J295,Sheet2!A:C,2,false))</f>
        <v>https://bedgear.com/cdn/shop/files/01-DT-Main.jpg</v>
      </c>
      <c r="Z295" s="8" t="str">
        <f>IFERROR(VLOOKUP(A295,Sheet3!B:H,7,false),VLOOKUP(J295,Sheet2!A:C,3,false))</f>
        <v>https://bedgear.com/products/dri-tec-mattress-protector</v>
      </c>
    </row>
    <row r="296">
      <c r="A296" s="4">
        <v>5.1010583E7</v>
      </c>
      <c r="B296" s="9">
        <v>2.0</v>
      </c>
      <c r="C296" s="9">
        <v>3.0</v>
      </c>
      <c r="D296" s="2" t="s">
        <v>678</v>
      </c>
      <c r="E296" s="2" t="s">
        <v>659</v>
      </c>
      <c r="F296" s="2" t="s">
        <v>679</v>
      </c>
      <c r="G296" s="9">
        <v>5.0</v>
      </c>
      <c r="H296" s="9">
        <v>4.0</v>
      </c>
      <c r="I296" s="9">
        <v>3.0</v>
      </c>
      <c r="J296" s="1" t="s">
        <v>680</v>
      </c>
      <c r="K296" s="1" t="s">
        <v>693</v>
      </c>
      <c r="L296" s="6">
        <v>179.99</v>
      </c>
      <c r="M296" s="6">
        <v>179.99</v>
      </c>
      <c r="N296" s="1" t="s">
        <v>663</v>
      </c>
      <c r="O296" s="7"/>
      <c r="P296" s="1" t="s">
        <v>694</v>
      </c>
      <c r="Q296" s="1" t="s">
        <v>31</v>
      </c>
      <c r="R296" s="1" t="s">
        <v>695</v>
      </c>
      <c r="S296" s="7"/>
      <c r="T296" s="7"/>
      <c r="U296" s="7"/>
      <c r="V296" s="7"/>
      <c r="W296" s="7"/>
      <c r="X296" s="7"/>
      <c r="Y296" s="8" t="str">
        <f>IFERROR(VLOOKUP(A296,Sheet3!B:H,6,false),VLOOKUP(J296,Sheet2!A:C,2,false))</f>
        <v>https://bedgear.com/cdn/shop/files/01-DT-Main.jpg</v>
      </c>
      <c r="Z296" s="8" t="str">
        <f>IFERROR(VLOOKUP(A296,Sheet3!B:H,7,false),VLOOKUP(J296,Sheet2!A:C,3,false))</f>
        <v>https://bedgear.com/products/dri-tec-mattress-protector</v>
      </c>
    </row>
    <row r="297">
      <c r="A297" s="4">
        <v>5.1010595E7</v>
      </c>
      <c r="B297" s="5"/>
      <c r="C297" s="5"/>
      <c r="D297" s="5"/>
      <c r="E297" s="5"/>
      <c r="F297" s="5"/>
      <c r="G297" s="5"/>
      <c r="H297" s="5"/>
      <c r="I297" s="5"/>
      <c r="J297" s="1" t="s">
        <v>680</v>
      </c>
      <c r="K297" s="1" t="s">
        <v>696</v>
      </c>
      <c r="L297" s="6">
        <v>209.99</v>
      </c>
      <c r="M297" s="6">
        <v>209.99</v>
      </c>
      <c r="N297" s="1" t="s">
        <v>663</v>
      </c>
      <c r="O297" s="7"/>
      <c r="P297" s="1" t="s">
        <v>694</v>
      </c>
      <c r="Q297" s="1" t="s">
        <v>31</v>
      </c>
      <c r="R297" s="1" t="s">
        <v>697</v>
      </c>
      <c r="S297" s="7"/>
      <c r="T297" s="7"/>
      <c r="U297" s="7"/>
      <c r="V297" s="7"/>
      <c r="W297" s="7"/>
      <c r="X297" s="7"/>
      <c r="Y297" s="8" t="str">
        <f>IFERROR(VLOOKUP(A297,Sheet3!B:H,6,false),VLOOKUP(J297,Sheet2!A:C,2,false))</f>
        <v>https://bedgear.com/cdn/shop/files/01-DT-Main.jpg</v>
      </c>
      <c r="Z297" s="8" t="str">
        <f>IFERROR(VLOOKUP(A297,Sheet3!B:H,7,false),VLOOKUP(J297,Sheet2!A:C,3,false))</f>
        <v>https://bedgear.com/products/dri-tec-mattress-protector</v>
      </c>
    </row>
    <row r="298">
      <c r="A298" s="4">
        <v>5.1010608E7</v>
      </c>
      <c r="B298" s="5"/>
      <c r="C298" s="5"/>
      <c r="D298" s="2" t="s">
        <v>698</v>
      </c>
      <c r="E298" s="2" t="s">
        <v>659</v>
      </c>
      <c r="F298" s="2" t="s">
        <v>699</v>
      </c>
      <c r="G298" s="9">
        <v>4.0</v>
      </c>
      <c r="H298" s="9">
        <v>3.5</v>
      </c>
      <c r="I298" s="5"/>
      <c r="J298" s="1" t="s">
        <v>700</v>
      </c>
      <c r="K298" s="1" t="s">
        <v>701</v>
      </c>
      <c r="L298" s="6">
        <v>249.99</v>
      </c>
      <c r="M298" s="6">
        <v>249.99</v>
      </c>
      <c r="N298" s="1" t="s">
        <v>663</v>
      </c>
      <c r="O298" s="7"/>
      <c r="P298" s="1" t="s">
        <v>702</v>
      </c>
      <c r="Q298" s="1" t="s">
        <v>31</v>
      </c>
      <c r="R298" s="1" t="s">
        <v>242</v>
      </c>
      <c r="S298" s="7"/>
      <c r="T298" s="7"/>
      <c r="U298" s="7"/>
      <c r="V298" s="7"/>
      <c r="W298" s="7"/>
      <c r="X298" s="7"/>
      <c r="Y298" s="8" t="str">
        <f>IFERROR(VLOOKUP(A298,Sheet3!B:H,6,false),VLOOKUP(J298,Sheet2!A:C,2,false))</f>
        <v>https://bedgear.com/cdn/shop/files/01-VT-Main_ba2fd5b4-a14e-47c0-942b-e9c2aea9a2f6.jpg</v>
      </c>
      <c r="Z298" s="8" t="str">
        <f>IFERROR(VLOOKUP(A298,Sheet3!B:H,7,false),VLOOKUP(J298,Sheet2!A:C,3,false))</f>
        <v>https://bedgear.com/products/ver-tex-mattress-protector</v>
      </c>
    </row>
    <row r="299">
      <c r="A299" s="4">
        <v>5.101061E7</v>
      </c>
      <c r="B299" s="5"/>
      <c r="C299" s="5"/>
      <c r="D299" s="2" t="s">
        <v>698</v>
      </c>
      <c r="E299" s="2" t="s">
        <v>659</v>
      </c>
      <c r="F299" s="2" t="s">
        <v>699</v>
      </c>
      <c r="G299" s="9">
        <v>4.0</v>
      </c>
      <c r="H299" s="9">
        <v>3.5</v>
      </c>
      <c r="I299" s="5"/>
      <c r="J299" s="1" t="s">
        <v>700</v>
      </c>
      <c r="K299" s="1" t="s">
        <v>703</v>
      </c>
      <c r="L299" s="6">
        <v>259.99</v>
      </c>
      <c r="M299" s="6">
        <v>259.99</v>
      </c>
      <c r="N299" s="1" t="s">
        <v>663</v>
      </c>
      <c r="O299" s="7"/>
      <c r="P299" s="1" t="s">
        <v>704</v>
      </c>
      <c r="Q299" s="1" t="s">
        <v>31</v>
      </c>
      <c r="R299" s="1" t="s">
        <v>32</v>
      </c>
      <c r="S299" s="7"/>
      <c r="T299" s="7"/>
      <c r="U299" s="7"/>
      <c r="V299" s="7"/>
      <c r="W299" s="7"/>
      <c r="X299" s="7"/>
      <c r="Y299" s="8" t="str">
        <f>IFERROR(VLOOKUP(A299,Sheet3!B:H,6,false),VLOOKUP(J299,Sheet2!A:C,2,false))</f>
        <v>https://bedgear.com/cdn/shop/files/01-VT-Main_ba2fd5b4-a14e-47c0-942b-e9c2aea9a2f6.jpg</v>
      </c>
      <c r="Z299" s="8" t="str">
        <f>IFERROR(VLOOKUP(A299,Sheet3!B:H,7,false),VLOOKUP(J299,Sheet2!A:C,3,false))</f>
        <v>https://bedgear.com/products/ver-tex-mattress-protector</v>
      </c>
    </row>
    <row r="300">
      <c r="A300" s="4">
        <v>5.1010622E7</v>
      </c>
      <c r="B300" s="5"/>
      <c r="C300" s="5"/>
      <c r="D300" s="2" t="s">
        <v>698</v>
      </c>
      <c r="E300" s="2" t="s">
        <v>659</v>
      </c>
      <c r="F300" s="2" t="s">
        <v>699</v>
      </c>
      <c r="G300" s="9">
        <v>4.0</v>
      </c>
      <c r="H300" s="9">
        <v>3.5</v>
      </c>
      <c r="I300" s="5"/>
      <c r="J300" s="1" t="s">
        <v>700</v>
      </c>
      <c r="K300" s="1" t="s">
        <v>705</v>
      </c>
      <c r="L300" s="6">
        <v>259.99</v>
      </c>
      <c r="M300" s="6">
        <v>259.99</v>
      </c>
      <c r="N300" s="1" t="s">
        <v>663</v>
      </c>
      <c r="O300" s="7"/>
      <c r="P300" s="1" t="s">
        <v>702</v>
      </c>
      <c r="Q300" s="1" t="s">
        <v>31</v>
      </c>
      <c r="R300" s="1" t="s">
        <v>373</v>
      </c>
      <c r="S300" s="7"/>
      <c r="T300" s="7"/>
      <c r="U300" s="7"/>
      <c r="V300" s="7"/>
      <c r="W300" s="7"/>
      <c r="X300" s="7"/>
      <c r="Y300" s="8" t="str">
        <f>IFERROR(VLOOKUP(A300,Sheet3!B:H,6,false),VLOOKUP(J300,Sheet2!A:C,2,false))</f>
        <v>https://bedgear.com/cdn/shop/files/01-VT-Main_ba2fd5b4-a14e-47c0-942b-e9c2aea9a2f6.jpg</v>
      </c>
      <c r="Z300" s="8" t="str">
        <f>IFERROR(VLOOKUP(A300,Sheet3!B:H,7,false),VLOOKUP(J300,Sheet2!A:C,3,false))</f>
        <v>https://bedgear.com/products/ver-tex-mattress-protector</v>
      </c>
    </row>
    <row r="301">
      <c r="A301" s="4">
        <v>5.1010634E7</v>
      </c>
      <c r="B301" s="9">
        <v>2.0</v>
      </c>
      <c r="C301" s="9">
        <v>3.0</v>
      </c>
      <c r="D301" s="2" t="s">
        <v>698</v>
      </c>
      <c r="E301" s="2" t="s">
        <v>659</v>
      </c>
      <c r="F301" s="2" t="s">
        <v>699</v>
      </c>
      <c r="G301" s="9">
        <v>4.0</v>
      </c>
      <c r="H301" s="9">
        <v>3.5</v>
      </c>
      <c r="I301" s="9">
        <v>2.0</v>
      </c>
      <c r="J301" s="1" t="s">
        <v>700</v>
      </c>
      <c r="K301" s="1" t="s">
        <v>706</v>
      </c>
      <c r="L301" s="6">
        <v>279.99</v>
      </c>
      <c r="M301" s="6">
        <v>279.99</v>
      </c>
      <c r="N301" s="1" t="s">
        <v>663</v>
      </c>
      <c r="O301" s="7"/>
      <c r="P301" s="1" t="s">
        <v>702</v>
      </c>
      <c r="Q301" s="1" t="s">
        <v>31</v>
      </c>
      <c r="R301" s="1" t="s">
        <v>470</v>
      </c>
      <c r="S301" s="7"/>
      <c r="T301" s="7"/>
      <c r="U301" s="7"/>
      <c r="V301" s="7"/>
      <c r="W301" s="7"/>
      <c r="X301" s="7"/>
      <c r="Y301" s="8" t="str">
        <f>IFERROR(VLOOKUP(A301,Sheet3!B:H,6,false),VLOOKUP(J301,Sheet2!A:C,2,false))</f>
        <v>https://bedgear.com/cdn/shop/files/01-VT-Main_ba2fd5b4-a14e-47c0-942b-e9c2aea9a2f6.jpg</v>
      </c>
      <c r="Z301" s="8" t="str">
        <f>IFERROR(VLOOKUP(A301,Sheet3!B:H,7,false),VLOOKUP(J301,Sheet2!A:C,3,false))</f>
        <v>https://bedgear.com/products/ver-tex-mattress-protector</v>
      </c>
    </row>
    <row r="302">
      <c r="A302" s="4">
        <v>5.1010646E7</v>
      </c>
      <c r="B302" s="9">
        <v>1.0</v>
      </c>
      <c r="C302" s="9">
        <v>3.0</v>
      </c>
      <c r="D302" s="2" t="s">
        <v>698</v>
      </c>
      <c r="E302" s="2" t="s">
        <v>659</v>
      </c>
      <c r="F302" s="2" t="s">
        <v>699</v>
      </c>
      <c r="G302" s="9">
        <v>4.0</v>
      </c>
      <c r="H302" s="9">
        <v>3.5</v>
      </c>
      <c r="I302" s="9">
        <v>3.0</v>
      </c>
      <c r="J302" s="1" t="s">
        <v>700</v>
      </c>
      <c r="K302" s="1" t="s">
        <v>707</v>
      </c>
      <c r="L302" s="6">
        <v>299.99</v>
      </c>
      <c r="M302" s="6">
        <v>299.99</v>
      </c>
      <c r="N302" s="1" t="s">
        <v>663</v>
      </c>
      <c r="O302" s="7"/>
      <c r="P302" s="1" t="s">
        <v>702</v>
      </c>
      <c r="Q302" s="1" t="s">
        <v>31</v>
      </c>
      <c r="R302" s="1" t="s">
        <v>568</v>
      </c>
      <c r="S302" s="7"/>
      <c r="T302" s="7"/>
      <c r="U302" s="7"/>
      <c r="V302" s="7"/>
      <c r="W302" s="7"/>
      <c r="X302" s="7"/>
      <c r="Y302" s="8" t="str">
        <f>IFERROR(VLOOKUP(A302,Sheet3!B:H,6,false),VLOOKUP(J302,Sheet2!A:C,2,false))</f>
        <v>https://bedgear.com/cdn/shop/files/01-VT-Main_ba2fd5b4-a14e-47c0-942b-e9c2aea9a2f6.jpg</v>
      </c>
      <c r="Z302" s="8" t="str">
        <f>IFERROR(VLOOKUP(A302,Sheet3!B:H,7,false),VLOOKUP(J302,Sheet2!A:C,3,false))</f>
        <v>https://bedgear.com/products/ver-tex-mattress-protector</v>
      </c>
    </row>
    <row r="303">
      <c r="A303" s="4">
        <v>5.1010658E7</v>
      </c>
      <c r="B303" s="5"/>
      <c r="C303" s="5"/>
      <c r="D303" s="5"/>
      <c r="E303" s="5"/>
      <c r="F303" s="5"/>
      <c r="G303" s="5"/>
      <c r="H303" s="5"/>
      <c r="I303" s="5"/>
      <c r="J303" s="1" t="s">
        <v>700</v>
      </c>
      <c r="K303" s="1" t="s">
        <v>708</v>
      </c>
      <c r="L303" s="6">
        <v>299.99</v>
      </c>
      <c r="M303" s="6">
        <v>299.99</v>
      </c>
      <c r="N303" s="1" t="s">
        <v>663</v>
      </c>
      <c r="O303" s="7"/>
      <c r="P303" s="1" t="s">
        <v>702</v>
      </c>
      <c r="Q303" s="1" t="s">
        <v>31</v>
      </c>
      <c r="R303" s="1" t="s">
        <v>670</v>
      </c>
      <c r="S303" s="7"/>
      <c r="T303" s="7"/>
      <c r="U303" s="7"/>
      <c r="V303" s="7"/>
      <c r="W303" s="7"/>
      <c r="X303" s="7"/>
      <c r="Y303" s="8" t="str">
        <f>IFERROR(VLOOKUP(A303,Sheet3!B:H,6,false),VLOOKUP(J303,Sheet2!A:C,2,false))</f>
        <v>https://bedgear.com/cdn/shop/files/01-VT-Main_ba2fd5b4-a14e-47c0-942b-e9c2aea9a2f6.jpg</v>
      </c>
      <c r="Z303" s="8" t="str">
        <f>IFERROR(VLOOKUP(A303,Sheet3!B:H,7,false),VLOOKUP(J303,Sheet2!A:C,3,false))</f>
        <v>https://bedgear.com/products/ver-tex-mattress-protector</v>
      </c>
    </row>
    <row r="304">
      <c r="A304" s="4">
        <v>5.101066E7</v>
      </c>
      <c r="B304" s="5"/>
      <c r="C304" s="5"/>
      <c r="D304" s="5"/>
      <c r="E304" s="5"/>
      <c r="F304" s="5"/>
      <c r="G304" s="5"/>
      <c r="H304" s="5"/>
      <c r="I304" s="5"/>
      <c r="J304" s="1" t="s">
        <v>700</v>
      </c>
      <c r="K304" s="1" t="s">
        <v>709</v>
      </c>
      <c r="L304" s="6">
        <v>359.99</v>
      </c>
      <c r="M304" s="6">
        <v>359.99</v>
      </c>
      <c r="N304" s="1" t="s">
        <v>663</v>
      </c>
      <c r="O304" s="7"/>
      <c r="P304" s="1" t="s">
        <v>702</v>
      </c>
      <c r="Q304" s="1" t="s">
        <v>31</v>
      </c>
      <c r="R304" s="1" t="s">
        <v>710</v>
      </c>
      <c r="S304" s="7"/>
      <c r="T304" s="7"/>
      <c r="U304" s="7"/>
      <c r="V304" s="7"/>
      <c r="W304" s="7"/>
      <c r="X304" s="7"/>
      <c r="Y304" s="8" t="str">
        <f>IFERROR(VLOOKUP(A304,Sheet3!B:H,6,false),VLOOKUP(J304,Sheet2!A:C,2,false))</f>
        <v>https://bedgear.com/cdn/shop/files/01-VT-Main_ba2fd5b4-a14e-47c0-942b-e9c2aea9a2f6.jpg</v>
      </c>
      <c r="Z304" s="8" t="str">
        <f>IFERROR(VLOOKUP(A304,Sheet3!B:H,7,false),VLOOKUP(J304,Sheet2!A:C,3,false))</f>
        <v>https://bedgear.com/products/ver-tex-mattress-protector</v>
      </c>
    </row>
    <row r="305">
      <c r="A305" s="4">
        <v>5.1010672E7</v>
      </c>
      <c r="B305" s="9">
        <v>1.0</v>
      </c>
      <c r="C305" s="9">
        <v>5.0</v>
      </c>
      <c r="D305" s="2" t="s">
        <v>698</v>
      </c>
      <c r="E305" s="2" t="s">
        <v>659</v>
      </c>
      <c r="F305" s="2" t="s">
        <v>699</v>
      </c>
      <c r="G305" s="9">
        <v>4.0</v>
      </c>
      <c r="H305" s="9">
        <v>3.5</v>
      </c>
      <c r="I305" s="9">
        <v>3.0</v>
      </c>
      <c r="J305" s="1" t="s">
        <v>700</v>
      </c>
      <c r="K305" s="1" t="s">
        <v>711</v>
      </c>
      <c r="L305" s="6">
        <v>359.99</v>
      </c>
      <c r="M305" s="6">
        <v>359.99</v>
      </c>
      <c r="N305" s="1" t="s">
        <v>663</v>
      </c>
      <c r="O305" s="7"/>
      <c r="P305" s="1" t="s">
        <v>712</v>
      </c>
      <c r="Q305" s="1" t="s">
        <v>31</v>
      </c>
      <c r="R305" s="1" t="s">
        <v>692</v>
      </c>
      <c r="S305" s="7"/>
      <c r="T305" s="7"/>
      <c r="U305" s="7"/>
      <c r="V305" s="7"/>
      <c r="W305" s="7"/>
      <c r="X305" s="7"/>
      <c r="Y305" s="8" t="str">
        <f>IFERROR(VLOOKUP(A305,Sheet3!B:H,6,false),VLOOKUP(J305,Sheet2!A:C,2,false))</f>
        <v>https://bedgear.com/cdn/shop/files/01-VT-Main_ba2fd5b4-a14e-47c0-942b-e9c2aea9a2f6.jpg</v>
      </c>
      <c r="Z305" s="8" t="str">
        <f>IFERROR(VLOOKUP(A305,Sheet3!B:H,7,false),VLOOKUP(J305,Sheet2!A:C,3,false))</f>
        <v>https://bedgear.com/products/ver-tex-mattress-protector</v>
      </c>
    </row>
    <row r="306">
      <c r="A306" s="4">
        <v>5.1011004E7</v>
      </c>
      <c r="B306" s="5"/>
      <c r="C306" s="5"/>
      <c r="D306" s="2" t="s">
        <v>713</v>
      </c>
      <c r="E306" s="2" t="s">
        <v>659</v>
      </c>
      <c r="F306" s="2" t="s">
        <v>714</v>
      </c>
      <c r="G306" s="12" t="e">
        <v>#N/A</v>
      </c>
      <c r="H306" s="12" t="e">
        <v>#N/A</v>
      </c>
      <c r="I306" s="5"/>
      <c r="J306" s="1" t="s">
        <v>715</v>
      </c>
      <c r="K306" s="1" t="s">
        <v>716</v>
      </c>
      <c r="L306" s="6">
        <v>29.99</v>
      </c>
      <c r="M306" s="6">
        <v>29.99</v>
      </c>
      <c r="N306" s="1" t="s">
        <v>663</v>
      </c>
      <c r="O306" s="7"/>
      <c r="P306" s="1" t="s">
        <v>717</v>
      </c>
      <c r="Q306" s="1" t="s">
        <v>31</v>
      </c>
      <c r="R306" s="1" t="s">
        <v>242</v>
      </c>
      <c r="S306" s="7"/>
      <c r="T306" s="7"/>
      <c r="U306" s="7"/>
      <c r="V306" s="7"/>
      <c r="W306" s="7"/>
      <c r="X306" s="7"/>
      <c r="Y306" s="8" t="str">
        <f>IFERROR(VLOOKUP(A306,Sheet3!B:H,6,false),VLOOKUP(J306,Sheet2!A:C,2,false))</f>
        <v>https://bedgear.com/cdn/shop/collections/BG-WEB-NAV-IMG-302x160-Protectors-SofaBedProtect.jpg</v>
      </c>
      <c r="Z306" s="8" t="str">
        <f>IFERROR(VLOOKUP(A306,Sheet3!B:H,7,false),VLOOKUP(J306,Sheet2!A:C,3,false))</f>
        <v>https://bedgear.com/collections/sofa-bed-protectors</v>
      </c>
    </row>
    <row r="307">
      <c r="A307" s="4">
        <v>5.1011028E7</v>
      </c>
      <c r="B307" s="5"/>
      <c r="C307" s="5"/>
      <c r="D307" s="2" t="s">
        <v>713</v>
      </c>
      <c r="E307" s="2" t="s">
        <v>659</v>
      </c>
      <c r="F307" s="2" t="s">
        <v>714</v>
      </c>
      <c r="G307" s="12" t="e">
        <v>#N/A</v>
      </c>
      <c r="H307" s="12" t="e">
        <v>#N/A</v>
      </c>
      <c r="I307" s="5"/>
      <c r="J307" s="1" t="s">
        <v>715</v>
      </c>
      <c r="K307" s="1" t="s">
        <v>718</v>
      </c>
      <c r="L307" s="6">
        <v>37.99</v>
      </c>
      <c r="M307" s="6">
        <v>37.99</v>
      </c>
      <c r="N307" s="1" t="s">
        <v>663</v>
      </c>
      <c r="O307" s="7"/>
      <c r="P307" s="1" t="s">
        <v>717</v>
      </c>
      <c r="Q307" s="1" t="s">
        <v>31</v>
      </c>
      <c r="R307" s="1" t="s">
        <v>373</v>
      </c>
      <c r="S307" s="7"/>
      <c r="T307" s="7"/>
      <c r="U307" s="7"/>
      <c r="V307" s="7"/>
      <c r="W307" s="7"/>
      <c r="X307" s="7"/>
      <c r="Y307" s="8" t="str">
        <f>IFERROR(VLOOKUP(A307,Sheet3!B:H,6,false),VLOOKUP(J307,Sheet2!A:C,2,false))</f>
        <v>https://bedgear.com/cdn/shop/collections/BG-WEB-NAV-IMG-302x160-Protectors-SofaBedProtect.jpg</v>
      </c>
      <c r="Z307" s="8" t="str">
        <f>IFERROR(VLOOKUP(A307,Sheet3!B:H,7,false),VLOOKUP(J307,Sheet2!A:C,3,false))</f>
        <v>https://bedgear.com/collections/sofa-bed-protectors</v>
      </c>
    </row>
    <row r="308">
      <c r="A308" s="4">
        <v>5.101103E7</v>
      </c>
      <c r="B308" s="5"/>
      <c r="C308" s="5"/>
      <c r="D308" s="2" t="s">
        <v>713</v>
      </c>
      <c r="E308" s="2" t="s">
        <v>659</v>
      </c>
      <c r="F308" s="2" t="s">
        <v>714</v>
      </c>
      <c r="G308" s="12" t="e">
        <v>#N/A</v>
      </c>
      <c r="H308" s="12" t="e">
        <v>#N/A</v>
      </c>
      <c r="I308" s="5"/>
      <c r="J308" s="1" t="s">
        <v>715</v>
      </c>
      <c r="K308" s="1" t="s">
        <v>719</v>
      </c>
      <c r="L308" s="6">
        <v>39.99</v>
      </c>
      <c r="M308" s="6">
        <v>39.99</v>
      </c>
      <c r="N308" s="1" t="s">
        <v>663</v>
      </c>
      <c r="O308" s="7"/>
      <c r="P308" s="1" t="s">
        <v>717</v>
      </c>
      <c r="Q308" s="1" t="s">
        <v>31</v>
      </c>
      <c r="R308" s="1" t="s">
        <v>470</v>
      </c>
      <c r="S308" s="7"/>
      <c r="T308" s="7"/>
      <c r="U308" s="7"/>
      <c r="V308" s="7"/>
      <c r="W308" s="7"/>
      <c r="X308" s="7"/>
      <c r="Y308" s="8" t="str">
        <f>IFERROR(VLOOKUP(A308,Sheet3!B:H,6,false),VLOOKUP(J308,Sheet2!A:C,2,false))</f>
        <v>https://bedgear.com/cdn/shop/collections/BG-WEB-NAV-IMG-302x160-Protectors-SofaBedProtect.jpg</v>
      </c>
      <c r="Z308" s="8" t="str">
        <f>IFERROR(VLOOKUP(A308,Sheet3!B:H,7,false),VLOOKUP(J308,Sheet2!A:C,3,false))</f>
        <v>https://bedgear.com/collections/sofa-bed-protectors</v>
      </c>
    </row>
    <row r="309">
      <c r="A309" s="4">
        <v>5.1011042E7</v>
      </c>
      <c r="B309" s="5"/>
      <c r="C309" s="5"/>
      <c r="D309" s="2" t="s">
        <v>713</v>
      </c>
      <c r="E309" s="2" t="s">
        <v>659</v>
      </c>
      <c r="F309" s="2" t="s">
        <v>714</v>
      </c>
      <c r="G309" s="12" t="e">
        <v>#N/A</v>
      </c>
      <c r="H309" s="12" t="e">
        <v>#N/A</v>
      </c>
      <c r="I309" s="5"/>
      <c r="J309" s="1" t="s">
        <v>715</v>
      </c>
      <c r="K309" s="1" t="s">
        <v>720</v>
      </c>
      <c r="L309" s="6">
        <v>39.99</v>
      </c>
      <c r="M309" s="6">
        <v>39.99</v>
      </c>
      <c r="N309" s="1" t="s">
        <v>663</v>
      </c>
      <c r="O309" s="7"/>
      <c r="P309" s="1" t="s">
        <v>717</v>
      </c>
      <c r="Q309" s="1" t="s">
        <v>31</v>
      </c>
      <c r="R309" s="1" t="s">
        <v>470</v>
      </c>
      <c r="S309" s="7"/>
      <c r="T309" s="7"/>
      <c r="U309" s="7"/>
      <c r="V309" s="7"/>
      <c r="W309" s="7"/>
      <c r="X309" s="7"/>
      <c r="Y309" s="8" t="str">
        <f>IFERROR(VLOOKUP(A309,Sheet3!B:H,6,false),VLOOKUP(J309,Sheet2!A:C,2,false))</f>
        <v>https://bedgear.com/cdn/shop/collections/BG-WEB-NAV-IMG-302x160-Protectors-SofaBedProtect.jpg</v>
      </c>
      <c r="Z309" s="8" t="str">
        <f>IFERROR(VLOOKUP(A309,Sheet3!B:H,7,false),VLOOKUP(J309,Sheet2!A:C,3,false))</f>
        <v>https://bedgear.com/collections/sofa-bed-protectors</v>
      </c>
    </row>
    <row r="310">
      <c r="A310" s="4">
        <v>5.1018604E7</v>
      </c>
      <c r="B310" s="9">
        <v>11.0</v>
      </c>
      <c r="C310" s="9">
        <v>4.55</v>
      </c>
      <c r="D310" s="2" t="s">
        <v>721</v>
      </c>
      <c r="E310" s="2" t="s">
        <v>642</v>
      </c>
      <c r="F310" s="2" t="s">
        <v>368</v>
      </c>
      <c r="G310" s="9">
        <v>11.0</v>
      </c>
      <c r="H310" s="9">
        <v>4.45</v>
      </c>
      <c r="I310" s="9">
        <v>0.0</v>
      </c>
      <c r="J310" s="1" t="s">
        <v>369</v>
      </c>
      <c r="K310" s="1" t="s">
        <v>722</v>
      </c>
      <c r="L310" s="6">
        <v>1499.0</v>
      </c>
      <c r="M310" s="6">
        <v>1499.0</v>
      </c>
      <c r="N310" s="1" t="s">
        <v>468</v>
      </c>
      <c r="O310" s="7"/>
      <c r="P310" s="1" t="s">
        <v>371</v>
      </c>
      <c r="Q310" s="1" t="s">
        <v>31</v>
      </c>
      <c r="R310" s="1" t="s">
        <v>568</v>
      </c>
      <c r="S310" s="7"/>
      <c r="T310" s="7"/>
      <c r="U310" s="7"/>
      <c r="V310" s="7"/>
      <c r="W310" s="7"/>
      <c r="X310" s="7"/>
      <c r="Y310" s="11" t="str">
        <f>IFERROR(VLOOKUP(A310,Sheet3!B:H,6,false),VLOOKUP(J310,Sheet2!A:C,2,false))</f>
        <v>#N/A</v>
      </c>
      <c r="Z310" s="11" t="str">
        <f>IFERROR(VLOOKUP(A310,Sheet3!B:H,7,false),VLOOKUP(J310,Sheet2!A:C,3,false))</f>
        <v>#N/A</v>
      </c>
    </row>
    <row r="311">
      <c r="A311" s="4">
        <v>5.1020003E7</v>
      </c>
      <c r="B311" s="5"/>
      <c r="C311" s="5"/>
      <c r="D311" s="5"/>
      <c r="E311" s="5"/>
      <c r="F311" s="5"/>
      <c r="G311" s="5"/>
      <c r="H311" s="5"/>
      <c r="I311" s="5"/>
      <c r="J311" s="1" t="s">
        <v>723</v>
      </c>
      <c r="K311" s="1" t="s">
        <v>724</v>
      </c>
      <c r="L311" s="6">
        <v>9.99</v>
      </c>
      <c r="M311" s="6">
        <v>9.99</v>
      </c>
      <c r="N311" s="1" t="s">
        <v>663</v>
      </c>
      <c r="O311" s="7"/>
      <c r="P311" s="1" t="s">
        <v>725</v>
      </c>
      <c r="Q311" s="1" t="s">
        <v>31</v>
      </c>
      <c r="R311" s="1" t="s">
        <v>470</v>
      </c>
      <c r="S311" s="7"/>
      <c r="T311" s="7"/>
      <c r="U311" s="7"/>
      <c r="V311" s="7"/>
      <c r="W311" s="7"/>
      <c r="X311" s="7"/>
      <c r="Y311" s="8" t="str">
        <f>IFERROR(VLOOKUP(A311,Sheet3!B:H,6,false),VLOOKUP(J311,Sheet2!A:C,2,false))</f>
        <v>https://bedgear.com/cdn/shop/files/iPROTECT-PP-01-ProductShot-Main_07a57982-54a7-462b-a090-cb92f6110793.jpg</v>
      </c>
      <c r="Z311" s="8" t="str">
        <f>IFERROR(VLOOKUP(A311,Sheet3!B:H,7,false),VLOOKUP(J311,Sheet2!A:C,3,false))</f>
        <v>https://bedgear.com/products/iprotect-pillow-protector</v>
      </c>
    </row>
    <row r="312">
      <c r="A312" s="4">
        <v>5.1020015E7</v>
      </c>
      <c r="B312" s="5"/>
      <c r="C312" s="5"/>
      <c r="D312" s="5"/>
      <c r="E312" s="5"/>
      <c r="F312" s="5"/>
      <c r="G312" s="5"/>
      <c r="H312" s="5"/>
      <c r="I312" s="5"/>
      <c r="J312" s="1" t="s">
        <v>723</v>
      </c>
      <c r="K312" s="1" t="s">
        <v>726</v>
      </c>
      <c r="L312" s="6">
        <v>14.99</v>
      </c>
      <c r="M312" s="6">
        <v>14.99</v>
      </c>
      <c r="N312" s="1" t="s">
        <v>663</v>
      </c>
      <c r="O312" s="7"/>
      <c r="P312" s="1" t="s">
        <v>725</v>
      </c>
      <c r="Q312" s="1" t="s">
        <v>31</v>
      </c>
      <c r="R312" s="1" t="s">
        <v>568</v>
      </c>
      <c r="S312" s="7"/>
      <c r="T312" s="7"/>
      <c r="U312" s="7"/>
      <c r="V312" s="7"/>
      <c r="W312" s="7"/>
      <c r="X312" s="7"/>
      <c r="Y312" s="8" t="str">
        <f>IFERROR(VLOOKUP(A312,Sheet3!B:H,6,false),VLOOKUP(J312,Sheet2!A:C,2,false))</f>
        <v>https://bedgear.com/cdn/shop/files/iPROTECT-PP-01-ProductShot-Main_07a57982-54a7-462b-a090-cb92f6110793.jpg</v>
      </c>
      <c r="Z312" s="8" t="str">
        <f>IFERROR(VLOOKUP(A312,Sheet3!B:H,7,false),VLOOKUP(J312,Sheet2!A:C,3,false))</f>
        <v>https://bedgear.com/products/iprotect-pillow-protector</v>
      </c>
    </row>
    <row r="313">
      <c r="A313" s="4">
        <v>5.1100546E7</v>
      </c>
      <c r="B313" s="5"/>
      <c r="C313" s="5"/>
      <c r="D313" s="5"/>
      <c r="E313" s="5"/>
      <c r="F313" s="5"/>
      <c r="G313" s="5"/>
      <c r="H313" s="5"/>
      <c r="I313" s="5"/>
      <c r="J313" s="1" t="s">
        <v>28</v>
      </c>
      <c r="K313" s="1" t="s">
        <v>727</v>
      </c>
      <c r="L313" s="6">
        <v>1319.0</v>
      </c>
      <c r="M313" s="6">
        <v>1649.0</v>
      </c>
      <c r="N313" s="1" t="s">
        <v>30</v>
      </c>
      <c r="O313" s="7"/>
      <c r="P313" s="7"/>
      <c r="Q313" s="1" t="s">
        <v>31</v>
      </c>
      <c r="R313" s="1" t="s">
        <v>728</v>
      </c>
      <c r="S313" s="1" t="s">
        <v>33</v>
      </c>
      <c r="T313" s="1" t="s">
        <v>34</v>
      </c>
      <c r="U313" s="1" t="s">
        <v>35</v>
      </c>
      <c r="V313" s="1" t="s">
        <v>34</v>
      </c>
      <c r="W313" s="1" t="s">
        <v>36</v>
      </c>
      <c r="X313" s="1" t="s">
        <v>37</v>
      </c>
      <c r="Y313" s="8" t="str">
        <f>IFERROR(VLOOKUP(A313,Sheet3!B:H,6,false),VLOOKUP(J313,Sheet2!A:C,2,false))</f>
        <v>https://assets.roomstogo.com/product/casper-cloud-one-twin-xl-mattress_50000543_image-item</v>
      </c>
      <c r="Z313" s="8" t="str">
        <f>IFERROR(VLOOKUP(A313,Sheet3!B:H,7,false),VLOOKUP(J313,Sheet2!A:C,3,false))</f>
        <v>https://assets.roomstogo.com/product/casper-cloud-one-twin-xl-mattress_50000543_alt-image-1</v>
      </c>
    </row>
    <row r="314">
      <c r="A314" s="4">
        <v>5.1100572E7</v>
      </c>
      <c r="B314" s="5"/>
      <c r="C314" s="5"/>
      <c r="D314" s="5"/>
      <c r="E314" s="5"/>
      <c r="F314" s="5"/>
      <c r="G314" s="5"/>
      <c r="H314" s="5"/>
      <c r="I314" s="5"/>
      <c r="J314" s="1" t="s">
        <v>38</v>
      </c>
      <c r="K314" s="1" t="s">
        <v>729</v>
      </c>
      <c r="L314" s="6">
        <v>2595.0</v>
      </c>
      <c r="M314" s="6">
        <v>3295.0</v>
      </c>
      <c r="N314" s="1" t="s">
        <v>30</v>
      </c>
      <c r="O314" s="7"/>
      <c r="P314" s="1" t="s">
        <v>40</v>
      </c>
      <c r="Q314" s="1" t="s">
        <v>31</v>
      </c>
      <c r="R314" s="1" t="s">
        <v>670</v>
      </c>
      <c r="S314" s="1" t="s">
        <v>41</v>
      </c>
      <c r="T314" s="1" t="s">
        <v>34</v>
      </c>
      <c r="U314" s="1" t="s">
        <v>35</v>
      </c>
      <c r="V314" s="1" t="s">
        <v>34</v>
      </c>
      <c r="W314" s="1" t="s">
        <v>42</v>
      </c>
      <c r="X314" s="1" t="s">
        <v>37</v>
      </c>
      <c r="Y314" s="8" t="str">
        <f>IFERROR(VLOOKUP(A314,Sheet3!B:H,6,false),VLOOKUP(J314,Sheet2!A:C,2,false))</f>
        <v>https://assets.roomstogo.com/product/casper-snow-20-twin-xl-mattress_50000579_image-item</v>
      </c>
      <c r="Z314" s="8" t="str">
        <f>IFERROR(VLOOKUP(A314,Sheet3!B:H,7,false),VLOOKUP(J314,Sheet2!A:C,3,false))</f>
        <v>https://assets.roomstogo.com/product/casper-snow-20-twin-xl-mattress_50000579_alt-image-1</v>
      </c>
    </row>
    <row r="315">
      <c r="A315" s="4">
        <v>5.1100584E7</v>
      </c>
      <c r="B315" s="5"/>
      <c r="C315" s="5"/>
      <c r="D315" s="5"/>
      <c r="E315" s="5"/>
      <c r="F315" s="5"/>
      <c r="G315" s="5"/>
      <c r="H315" s="5"/>
      <c r="I315" s="5"/>
      <c r="J315" s="1" t="s">
        <v>46</v>
      </c>
      <c r="K315" s="1" t="s">
        <v>730</v>
      </c>
      <c r="L315" s="6">
        <v>3895.0</v>
      </c>
      <c r="M315" s="6">
        <v>4895.0</v>
      </c>
      <c r="N315" s="1" t="s">
        <v>30</v>
      </c>
      <c r="O315" s="7"/>
      <c r="P315" s="1" t="s">
        <v>48</v>
      </c>
      <c r="Q315" s="1" t="s">
        <v>31</v>
      </c>
      <c r="R315" s="1" t="s">
        <v>670</v>
      </c>
      <c r="S315" s="1" t="s">
        <v>41</v>
      </c>
      <c r="T315" s="1" t="s">
        <v>42</v>
      </c>
      <c r="U315" s="1" t="s">
        <v>49</v>
      </c>
      <c r="V315" s="1" t="s">
        <v>34</v>
      </c>
      <c r="W315" s="1" t="s">
        <v>50</v>
      </c>
      <c r="X315" s="1" t="s">
        <v>51</v>
      </c>
      <c r="Y315" s="8" t="str">
        <f>IFERROR(VLOOKUP(A315,Sheet3!B:H,6,false),VLOOKUP(J315,Sheet2!A:C,2,false))</f>
        <v>https://assets.roomstogo.com/product/casper-snow-max-twin-xl-mattress_50000581_image-item</v>
      </c>
      <c r="Z315" s="8" t="str">
        <f>IFERROR(VLOOKUP(A315,Sheet3!B:H,7,false),VLOOKUP(J315,Sheet2!A:C,3,false))</f>
        <v>https://assets.roomstogo.com/product/casper-snow-max-twin-xl-mattress_50000581_alt-image-1</v>
      </c>
    </row>
    <row r="316">
      <c r="A316" s="4">
        <v>5.1100685E7</v>
      </c>
      <c r="B316" s="5"/>
      <c r="C316" s="5"/>
      <c r="D316" s="5"/>
      <c r="E316" s="5"/>
      <c r="F316" s="5"/>
      <c r="G316" s="5"/>
      <c r="H316" s="5"/>
      <c r="I316" s="5"/>
      <c r="J316" s="1" t="s">
        <v>52</v>
      </c>
      <c r="K316" s="1" t="s">
        <v>731</v>
      </c>
      <c r="L316" s="6">
        <v>1199.0</v>
      </c>
      <c r="M316" s="6">
        <v>1299.0</v>
      </c>
      <c r="N316" s="1" t="s">
        <v>30</v>
      </c>
      <c r="O316" s="1" t="s">
        <v>54</v>
      </c>
      <c r="P316" s="1" t="s">
        <v>244</v>
      </c>
      <c r="Q316" s="1" t="s">
        <v>31</v>
      </c>
      <c r="R316" s="1" t="s">
        <v>670</v>
      </c>
      <c r="S316" s="1" t="s">
        <v>33</v>
      </c>
      <c r="T316" s="1" t="s">
        <v>36</v>
      </c>
      <c r="U316" s="1" t="s">
        <v>35</v>
      </c>
      <c r="V316" s="1" t="s">
        <v>36</v>
      </c>
      <c r="W316" s="1" t="s">
        <v>36</v>
      </c>
      <c r="X316" s="1" t="s">
        <v>37</v>
      </c>
      <c r="Y316" s="8" t="str">
        <f>IFERROR(VLOOKUP(A316,Sheet3!B:H,6,false),VLOOKUP(J316,Sheet2!A:C,2,false))</f>
        <v>https://assets.roomstogo.com/product/casper-onyx-20-twin-xl-mattress_50000682_image-item</v>
      </c>
      <c r="Z316" s="8" t="str">
        <f>IFERROR(VLOOKUP(A316,Sheet3!B:H,7,false),VLOOKUP(J316,Sheet2!A:C,3,false))</f>
        <v>https://assets.roomstogo.com/product/casper-onyx-20-twin-xl-mattress_50000682_alt-image-1</v>
      </c>
    </row>
    <row r="317">
      <c r="A317" s="4">
        <v>5.1101776E7</v>
      </c>
      <c r="B317" s="5"/>
      <c r="C317" s="5"/>
      <c r="D317" s="5"/>
      <c r="E317" s="5"/>
      <c r="F317" s="5"/>
      <c r="G317" s="5"/>
      <c r="H317" s="5"/>
      <c r="I317" s="5"/>
      <c r="J317" s="1" t="s">
        <v>56</v>
      </c>
      <c r="K317" s="1" t="s">
        <v>732</v>
      </c>
      <c r="L317" s="6">
        <v>1777.0</v>
      </c>
      <c r="M317" s="6">
        <v>4899.0</v>
      </c>
      <c r="N317" s="1" t="s">
        <v>58</v>
      </c>
      <c r="O317" s="7"/>
      <c r="P317" s="7"/>
      <c r="Q317" s="7"/>
      <c r="R317" s="1" t="s">
        <v>670</v>
      </c>
      <c r="S317" s="1" t="s">
        <v>59</v>
      </c>
      <c r="T317" s="1" t="s">
        <v>42</v>
      </c>
      <c r="U317" s="1" t="s">
        <v>35</v>
      </c>
      <c r="V317" s="1" t="s">
        <v>42</v>
      </c>
      <c r="W317" s="1" t="s">
        <v>34</v>
      </c>
      <c r="X317" s="1" t="s">
        <v>37</v>
      </c>
      <c r="Y317" s="8" t="str">
        <f>IFERROR(VLOOKUP(A317,Sheet3!B:H,6,false),VLOOKUP(J317,Sheet2!A:C,2,false))</f>
        <v>https://assets.roomstogo.com/product/kingsdown-smart-match-20-twin-xl-mattress_50001773_image-item</v>
      </c>
      <c r="Z317" s="8" t="str">
        <f>IFERROR(VLOOKUP(A317,Sheet3!B:H,7,false),VLOOKUP(J317,Sheet2!A:C,3,false))</f>
        <v>https://assets.roomstogo.com/product/kingsdown-smart-match-20-twin-xl-mattress_50001773_alt-image-1</v>
      </c>
    </row>
    <row r="318">
      <c r="A318" s="4">
        <v>5.1107463E7</v>
      </c>
      <c r="B318" s="5"/>
      <c r="C318" s="5"/>
      <c r="D318" s="5"/>
      <c r="E318" s="5"/>
      <c r="F318" s="5"/>
      <c r="G318" s="5"/>
      <c r="H318" s="5"/>
      <c r="I318" s="5"/>
      <c r="J318" s="1" t="s">
        <v>62</v>
      </c>
      <c r="K318" s="1" t="s">
        <v>733</v>
      </c>
      <c r="L318" s="6">
        <v>2899.0</v>
      </c>
      <c r="M318" s="6">
        <v>2899.0</v>
      </c>
      <c r="N318" s="1" t="s">
        <v>64</v>
      </c>
      <c r="O318" s="7"/>
      <c r="P318" s="1" t="s">
        <v>65</v>
      </c>
      <c r="Q318" s="1" t="s">
        <v>31</v>
      </c>
      <c r="R318" s="1" t="s">
        <v>670</v>
      </c>
      <c r="S318" s="1" t="s">
        <v>33</v>
      </c>
      <c r="T318" s="1" t="s">
        <v>42</v>
      </c>
      <c r="U318" s="1" t="s">
        <v>35</v>
      </c>
      <c r="V318" s="1" t="s">
        <v>42</v>
      </c>
      <c r="W318" s="1" t="s">
        <v>42</v>
      </c>
      <c r="X318" s="1" t="s">
        <v>37</v>
      </c>
      <c r="Y318" s="8" t="str">
        <f>IFERROR(VLOOKUP(A318,Sheet3!B:H,6,false),VLOOKUP(J318,Sheet2!A:C,2,false))</f>
        <v>https://assets.roomstogo.com/product/tempur-pedic-adapt-20-medium-twin-xl-mattress_50007460_image-item</v>
      </c>
      <c r="Z318" s="8" t="str">
        <f>IFERROR(VLOOKUP(A318,Sheet3!B:H,7,false),VLOOKUP(J318,Sheet2!A:C,3,false))</f>
        <v>https://assets.roomstogo.com/product/tempur-pedic-adapt-20-medium-twin-xl-mattress_50007460_alt-image-1</v>
      </c>
    </row>
    <row r="319">
      <c r="A319" s="4">
        <v>5.1107475E7</v>
      </c>
      <c r="B319" s="5"/>
      <c r="C319" s="5"/>
      <c r="D319" s="5"/>
      <c r="E319" s="5"/>
      <c r="F319" s="5"/>
      <c r="G319" s="5"/>
      <c r="H319" s="5"/>
      <c r="I319" s="5"/>
      <c r="J319" s="1" t="s">
        <v>68</v>
      </c>
      <c r="K319" s="1" t="s">
        <v>734</v>
      </c>
      <c r="L319" s="6">
        <v>3199.0</v>
      </c>
      <c r="M319" s="6">
        <v>3199.0</v>
      </c>
      <c r="N319" s="1" t="s">
        <v>64</v>
      </c>
      <c r="O319" s="7"/>
      <c r="P319" s="1" t="s">
        <v>70</v>
      </c>
      <c r="Q319" s="1" t="s">
        <v>31</v>
      </c>
      <c r="R319" s="1" t="s">
        <v>670</v>
      </c>
      <c r="S319" s="1" t="s">
        <v>41</v>
      </c>
      <c r="T319" s="1" t="s">
        <v>42</v>
      </c>
      <c r="U319" s="1" t="s">
        <v>35</v>
      </c>
      <c r="V319" s="1" t="s">
        <v>42</v>
      </c>
      <c r="W319" s="1" t="s">
        <v>42</v>
      </c>
      <c r="X319" s="1" t="s">
        <v>37</v>
      </c>
      <c r="Y319" s="8" t="str">
        <f>IFERROR(VLOOKUP(A319,Sheet3!B:H,6,false),VLOOKUP(J319,Sheet2!A:C,2,false))</f>
        <v>https://assets.roomstogo.com/product/tempur-pedic-adapt-20-medium-hybrid-twin-xl-mattress_50007472_image-item</v>
      </c>
      <c r="Z319" s="8" t="str">
        <f>IFERROR(VLOOKUP(A319,Sheet3!B:H,7,false),VLOOKUP(J319,Sheet2!A:C,3,false))</f>
        <v>https://assets.roomstogo.com/product/tempur-pedic-adapt-20-medium-hybrid-twin-xl-mattress_50007472_alt-image-1</v>
      </c>
    </row>
    <row r="320">
      <c r="A320" s="4">
        <v>5.1107487E7</v>
      </c>
      <c r="B320" s="5"/>
      <c r="C320" s="5"/>
      <c r="D320" s="5"/>
      <c r="E320" s="5"/>
      <c r="F320" s="5"/>
      <c r="G320" s="5"/>
      <c r="H320" s="5"/>
      <c r="I320" s="5"/>
      <c r="J320" s="1" t="s">
        <v>73</v>
      </c>
      <c r="K320" s="1" t="s">
        <v>735</v>
      </c>
      <c r="L320" s="6">
        <v>4099.0</v>
      </c>
      <c r="M320" s="6">
        <v>4099.0</v>
      </c>
      <c r="N320" s="1" t="s">
        <v>64</v>
      </c>
      <c r="O320" s="7"/>
      <c r="P320" s="1" t="s">
        <v>75</v>
      </c>
      <c r="Q320" s="1" t="s">
        <v>31</v>
      </c>
      <c r="R320" s="1" t="s">
        <v>670</v>
      </c>
      <c r="S320" s="1" t="s">
        <v>33</v>
      </c>
      <c r="T320" s="1" t="s">
        <v>42</v>
      </c>
      <c r="U320" s="1" t="s">
        <v>76</v>
      </c>
      <c r="V320" s="1" t="s">
        <v>50</v>
      </c>
      <c r="W320" s="1" t="s">
        <v>42</v>
      </c>
      <c r="X320" s="1" t="s">
        <v>77</v>
      </c>
      <c r="Y320" s="8" t="str">
        <f>IFERROR(VLOOKUP(A320,Sheet3!B:H,6,false),VLOOKUP(J320,Sheet2!A:C,2,false))</f>
        <v>https://assets.roomstogo.com/product/tempur-pedic-proadapt-20-firm-twin-xl-mattress_50007484_image-item</v>
      </c>
      <c r="Z320" s="8" t="str">
        <f>IFERROR(VLOOKUP(A320,Sheet3!B:H,7,false),VLOOKUP(J320,Sheet2!A:C,3,false))</f>
        <v>https://assets.roomstogo.com/product/tempur-pedic-proadapt-20-firm-twin-xl-mattress_50007484_alt-image-1</v>
      </c>
    </row>
    <row r="321">
      <c r="A321" s="4">
        <v>5.1107514E7</v>
      </c>
      <c r="B321" s="5"/>
      <c r="C321" s="5"/>
      <c r="D321" s="5"/>
      <c r="E321" s="5"/>
      <c r="F321" s="5"/>
      <c r="G321" s="5"/>
      <c r="H321" s="5"/>
      <c r="I321" s="5"/>
      <c r="J321" s="1" t="s">
        <v>80</v>
      </c>
      <c r="K321" s="1" t="s">
        <v>736</v>
      </c>
      <c r="L321" s="6">
        <v>5099.0</v>
      </c>
      <c r="M321" s="6">
        <v>5099.0</v>
      </c>
      <c r="N321" s="1" t="s">
        <v>64</v>
      </c>
      <c r="O321" s="7"/>
      <c r="P321" s="1" t="s">
        <v>82</v>
      </c>
      <c r="Q321" s="1" t="s">
        <v>31</v>
      </c>
      <c r="R321" s="1" t="s">
        <v>670</v>
      </c>
      <c r="S321" s="1" t="s">
        <v>41</v>
      </c>
      <c r="T321" s="1" t="s">
        <v>42</v>
      </c>
      <c r="U321" s="1" t="s">
        <v>35</v>
      </c>
      <c r="V321" s="1" t="s">
        <v>50</v>
      </c>
      <c r="W321" s="1" t="s">
        <v>50</v>
      </c>
      <c r="X321" s="1" t="s">
        <v>37</v>
      </c>
      <c r="Y321" s="8" t="str">
        <f>IFERROR(VLOOKUP(A321,Sheet3!B:H,6,false),VLOOKUP(J321,Sheet2!A:C,2,false))</f>
        <v>https://assets.roomstogo.com/product/tempur-pedic-probreeze-20-medium-hybrid-twin-xl-mattress_50007511_image-item</v>
      </c>
      <c r="Z321" s="8" t="str">
        <f>IFERROR(VLOOKUP(A321,Sheet3!B:H,7,false),VLOOKUP(J321,Sheet2!A:C,3,false))</f>
        <v>https://assets.roomstogo.com/product/tempur-pedic-probreeze-20-medium-hybrid-twin-xl-mattress_50007511_image-item</v>
      </c>
    </row>
    <row r="322">
      <c r="A322" s="4">
        <v>5.1107526E7</v>
      </c>
      <c r="B322" s="9">
        <v>1.0</v>
      </c>
      <c r="C322" s="9">
        <v>5.0</v>
      </c>
      <c r="D322" s="2" t="s">
        <v>83</v>
      </c>
      <c r="E322" s="2" t="s">
        <v>44</v>
      </c>
      <c r="F322" s="2" t="s">
        <v>84</v>
      </c>
      <c r="G322" s="9">
        <v>5219.0</v>
      </c>
      <c r="H322" s="9">
        <v>4.27</v>
      </c>
      <c r="I322" s="9">
        <v>5218.0</v>
      </c>
      <c r="J322" s="1" t="s">
        <v>85</v>
      </c>
      <c r="K322" s="1" t="s">
        <v>737</v>
      </c>
      <c r="L322" s="6">
        <v>4099.0</v>
      </c>
      <c r="M322" s="6">
        <v>4099.0</v>
      </c>
      <c r="N322" s="1" t="s">
        <v>64</v>
      </c>
      <c r="O322" s="7"/>
      <c r="P322" s="1" t="s">
        <v>75</v>
      </c>
      <c r="Q322" s="1" t="s">
        <v>31</v>
      </c>
      <c r="R322" s="1" t="s">
        <v>670</v>
      </c>
      <c r="S322" s="1" t="s">
        <v>33</v>
      </c>
      <c r="T322" s="1" t="s">
        <v>42</v>
      </c>
      <c r="U322" s="1" t="s">
        <v>35</v>
      </c>
      <c r="V322" s="1" t="s">
        <v>50</v>
      </c>
      <c r="W322" s="1" t="s">
        <v>42</v>
      </c>
      <c r="X322" s="1" t="s">
        <v>37</v>
      </c>
      <c r="Y322" s="8" t="str">
        <f>IFERROR(VLOOKUP(A322,Sheet3!B:H,6,false),VLOOKUP(J322,Sheet2!A:C,2,false))</f>
        <v>https://assets.roomstogo.com/product/tempur-pedic-proadapt-20-medium-twin-xl-mattress_50007523_image-item</v>
      </c>
      <c r="Z322" s="8" t="str">
        <f>IFERROR(VLOOKUP(A322,Sheet3!B:H,7,false),VLOOKUP(J322,Sheet2!A:C,3,false))</f>
        <v>https://assets.roomstogo.com/product/tempur-pedic-proadapt-20-medium-twin-xl-mattress_50007523_alt-image-1</v>
      </c>
    </row>
    <row r="323">
      <c r="A323" s="4">
        <v>5.1107538E7</v>
      </c>
      <c r="B323" s="5"/>
      <c r="C323" s="5"/>
      <c r="D323" s="5"/>
      <c r="E323" s="5"/>
      <c r="F323" s="5"/>
      <c r="G323" s="5"/>
      <c r="H323" s="5"/>
      <c r="I323" s="5"/>
      <c r="J323" s="1" t="s">
        <v>89</v>
      </c>
      <c r="K323" s="1" t="s">
        <v>738</v>
      </c>
      <c r="L323" s="6">
        <v>4099.0</v>
      </c>
      <c r="M323" s="6">
        <v>4099.0</v>
      </c>
      <c r="N323" s="1" t="s">
        <v>64</v>
      </c>
      <c r="O323" s="7"/>
      <c r="P323" s="1" t="s">
        <v>91</v>
      </c>
      <c r="Q323" s="1" t="s">
        <v>31</v>
      </c>
      <c r="R323" s="1" t="s">
        <v>670</v>
      </c>
      <c r="S323" s="1" t="s">
        <v>33</v>
      </c>
      <c r="T323" s="1" t="s">
        <v>50</v>
      </c>
      <c r="U323" s="1" t="s">
        <v>49</v>
      </c>
      <c r="V323" s="1" t="s">
        <v>50</v>
      </c>
      <c r="W323" s="1" t="s">
        <v>42</v>
      </c>
      <c r="X323" s="1" t="s">
        <v>51</v>
      </c>
      <c r="Y323" s="8" t="str">
        <f>IFERROR(VLOOKUP(A323,Sheet3!B:H,6,false),VLOOKUP(J323,Sheet2!A:C,2,false))</f>
        <v>https://assets.roomstogo.com/product/tempur-pedic-proadapt-20-soft-twin-xl-mattress_50007535_image-item</v>
      </c>
      <c r="Z323" s="8" t="str">
        <f>IFERROR(VLOOKUP(A323,Sheet3!B:H,7,false),VLOOKUP(J323,Sheet2!A:C,3,false))</f>
        <v>https://assets.roomstogo.com/product/tempur-pedic-proadapt-20-soft-twin-xl-mattress_50007535_alt-image-1</v>
      </c>
    </row>
    <row r="324">
      <c r="A324" s="4">
        <v>5.1107552E7</v>
      </c>
      <c r="B324" s="5"/>
      <c r="C324" s="5"/>
      <c r="D324" s="5"/>
      <c r="E324" s="5"/>
      <c r="F324" s="5"/>
      <c r="G324" s="5"/>
      <c r="H324" s="5"/>
      <c r="I324" s="5"/>
      <c r="J324" s="1" t="s">
        <v>94</v>
      </c>
      <c r="K324" s="1" t="s">
        <v>739</v>
      </c>
      <c r="L324" s="6">
        <v>4099.0</v>
      </c>
      <c r="M324" s="6">
        <v>4099.0</v>
      </c>
      <c r="N324" s="1" t="s">
        <v>64</v>
      </c>
      <c r="O324" s="7"/>
      <c r="P324" s="1" t="s">
        <v>390</v>
      </c>
      <c r="Q324" s="1" t="s">
        <v>31</v>
      </c>
      <c r="R324" s="1" t="s">
        <v>670</v>
      </c>
      <c r="S324" s="1" t="s">
        <v>41</v>
      </c>
      <c r="T324" s="1" t="s">
        <v>42</v>
      </c>
      <c r="U324" s="1" t="s">
        <v>35</v>
      </c>
      <c r="V324" s="1" t="s">
        <v>50</v>
      </c>
      <c r="W324" s="1" t="s">
        <v>42</v>
      </c>
      <c r="X324" s="1" t="s">
        <v>37</v>
      </c>
      <c r="Y324" s="8" t="str">
        <f>IFERROR(VLOOKUP(A324,Sheet3!B:H,6,false),VLOOKUP(J324,Sheet2!A:C,2,false))</f>
        <v>https://assets.roomstogo.com/product/tempur-pedic-proadapt-20-medium-hybrid-twin-xl-mattress_50007559_image-item</v>
      </c>
      <c r="Z324" s="8" t="str">
        <f>IFERROR(VLOOKUP(A324,Sheet3!B:H,7,false),VLOOKUP(J324,Sheet2!A:C,3,false))</f>
        <v>https://assets.roomstogo.com/product/tempur-pedic-proadapt-20-medium-hybrid-twin-xl-mattress_50007559_alt-image-1</v>
      </c>
    </row>
    <row r="325">
      <c r="A325" s="4">
        <v>5.1107564E7</v>
      </c>
      <c r="B325" s="5"/>
      <c r="C325" s="5"/>
      <c r="D325" s="5"/>
      <c r="E325" s="5"/>
      <c r="F325" s="5"/>
      <c r="G325" s="5"/>
      <c r="H325" s="5"/>
      <c r="I325" s="5"/>
      <c r="J325" s="1" t="s">
        <v>99</v>
      </c>
      <c r="K325" s="1" t="s">
        <v>740</v>
      </c>
      <c r="L325" s="6">
        <v>5399.0</v>
      </c>
      <c r="M325" s="6">
        <v>5399.0</v>
      </c>
      <c r="N325" s="1" t="s">
        <v>64</v>
      </c>
      <c r="O325" s="7"/>
      <c r="P325" s="1" t="s">
        <v>101</v>
      </c>
      <c r="Q325" s="1" t="s">
        <v>31</v>
      </c>
      <c r="R325" s="1" t="s">
        <v>670</v>
      </c>
      <c r="S325" s="1" t="s">
        <v>33</v>
      </c>
      <c r="T325" s="1" t="s">
        <v>50</v>
      </c>
      <c r="U325" s="1" t="s">
        <v>49</v>
      </c>
      <c r="V325" s="1" t="s">
        <v>50</v>
      </c>
      <c r="W325" s="1" t="s">
        <v>42</v>
      </c>
      <c r="X325" s="1" t="s">
        <v>51</v>
      </c>
      <c r="Y325" s="8" t="str">
        <f>IFERROR(VLOOKUP(A325,Sheet3!B:H,6,false),VLOOKUP(J325,Sheet2!A:C,2,false))</f>
        <v>https://assets.roomstogo.com/product/tempur-pedic-luxeadapt-20-soft-twin-xl-mattress_50007561_image-item</v>
      </c>
      <c r="Z325" s="8" t="str">
        <f>IFERROR(VLOOKUP(A325,Sheet3!B:H,7,false),VLOOKUP(J325,Sheet2!A:C,3,false))</f>
        <v>https://assets.roomstogo.com/product/tempur-pedic-luxeadapt-20-soft-twin-xl-mattress_50007561_alt-image-1</v>
      </c>
    </row>
    <row r="326">
      <c r="A326" s="4">
        <v>5.1107588E7</v>
      </c>
      <c r="B326" s="5"/>
      <c r="C326" s="5"/>
      <c r="D326" s="5"/>
      <c r="E326" s="5"/>
      <c r="F326" s="5"/>
      <c r="G326" s="5"/>
      <c r="H326" s="5"/>
      <c r="I326" s="5"/>
      <c r="J326" s="1" t="s">
        <v>104</v>
      </c>
      <c r="K326" s="1" t="s">
        <v>741</v>
      </c>
      <c r="L326" s="6">
        <v>5399.0</v>
      </c>
      <c r="M326" s="6">
        <v>5399.0</v>
      </c>
      <c r="N326" s="1" t="s">
        <v>64</v>
      </c>
      <c r="O326" s="7"/>
      <c r="P326" s="1" t="s">
        <v>106</v>
      </c>
      <c r="Q326" s="1" t="s">
        <v>31</v>
      </c>
      <c r="R326" s="1" t="s">
        <v>670</v>
      </c>
      <c r="S326" s="1" t="s">
        <v>41</v>
      </c>
      <c r="T326" s="1" t="s">
        <v>50</v>
      </c>
      <c r="U326" s="1" t="s">
        <v>35</v>
      </c>
      <c r="V326" s="1" t="s">
        <v>50</v>
      </c>
      <c r="W326" s="1" t="s">
        <v>42</v>
      </c>
      <c r="X326" s="1" t="s">
        <v>37</v>
      </c>
      <c r="Y326" s="8" t="str">
        <f>IFERROR(VLOOKUP(A326,Sheet3!B:H,6,false),VLOOKUP(J326,Sheet2!A:C,2,false))</f>
        <v>https://assets.roomstogo.com/product/tempur-pedic-luxeadapt-20-medium-hybrid-twin-xl-mattress_50007585_image-item</v>
      </c>
      <c r="Z326" s="8" t="str">
        <f>IFERROR(VLOOKUP(A326,Sheet3!B:H,7,false),VLOOKUP(J326,Sheet2!A:C,3,false))</f>
        <v>https://assets.roomstogo.com/product/tempur-pedic-luxeadapt-20-medium-hybrid-twin-xl-mattress_50007585_alt-image-1</v>
      </c>
    </row>
    <row r="327">
      <c r="A327" s="4">
        <v>5.1107627E7</v>
      </c>
      <c r="B327" s="5"/>
      <c r="C327" s="5"/>
      <c r="D327" s="5"/>
      <c r="E327" s="5"/>
      <c r="F327" s="5"/>
      <c r="G327" s="5"/>
      <c r="H327" s="5"/>
      <c r="I327" s="5"/>
      <c r="J327" s="1" t="s">
        <v>109</v>
      </c>
      <c r="K327" s="1" t="s">
        <v>742</v>
      </c>
      <c r="L327" s="6">
        <v>6399.0</v>
      </c>
      <c r="M327" s="6">
        <v>6399.0</v>
      </c>
      <c r="N327" s="1" t="s">
        <v>64</v>
      </c>
      <c r="O327" s="7"/>
      <c r="P327" s="1" t="s">
        <v>111</v>
      </c>
      <c r="Q327" s="1" t="s">
        <v>31</v>
      </c>
      <c r="R327" s="1" t="s">
        <v>670</v>
      </c>
      <c r="S327" s="1" t="s">
        <v>33</v>
      </c>
      <c r="T327" s="1" t="s">
        <v>50</v>
      </c>
      <c r="U327" s="1" t="s">
        <v>76</v>
      </c>
      <c r="V327" s="1" t="s">
        <v>50</v>
      </c>
      <c r="W327" s="1" t="s">
        <v>50</v>
      </c>
      <c r="X327" s="1" t="s">
        <v>77</v>
      </c>
      <c r="Y327" s="8" t="str">
        <f>IFERROR(VLOOKUP(A327,Sheet3!B:H,6,false),VLOOKUP(J327,Sheet2!A:C,2,false))</f>
        <v>https://assets.roomstogo.com/product/tempur-pedic-luxebreeze-20-firm-twin-xl-mattress_50007624_image-item</v>
      </c>
      <c r="Z327" s="8" t="str">
        <f>IFERROR(VLOOKUP(A327,Sheet3!B:H,7,false),VLOOKUP(J327,Sheet2!A:C,3,false))</f>
        <v>https://assets.roomstogo.com/product/tempur-pedic-luxebreeze-20-firm-twin-xl-mattress_50007624_image-item</v>
      </c>
    </row>
    <row r="328">
      <c r="A328" s="4">
        <v>5.1109873E7</v>
      </c>
      <c r="B328" s="5"/>
      <c r="C328" s="5"/>
      <c r="D328" s="5"/>
      <c r="E328" s="5"/>
      <c r="F328" s="5"/>
      <c r="G328" s="5"/>
      <c r="H328" s="5"/>
      <c r="I328" s="5"/>
      <c r="J328" s="1" t="s">
        <v>112</v>
      </c>
      <c r="K328" s="1" t="s">
        <v>743</v>
      </c>
      <c r="L328" s="6">
        <v>1397.0</v>
      </c>
      <c r="M328" s="6">
        <v>1699.0</v>
      </c>
      <c r="N328" s="1" t="s">
        <v>114</v>
      </c>
      <c r="O328" s="1" t="s">
        <v>54</v>
      </c>
      <c r="P328" s="7"/>
      <c r="Q328" s="1" t="s">
        <v>31</v>
      </c>
      <c r="R328" s="1" t="s">
        <v>728</v>
      </c>
      <c r="S328" s="1" t="s">
        <v>41</v>
      </c>
      <c r="T328" s="1" t="s">
        <v>34</v>
      </c>
      <c r="U328" s="1" t="s">
        <v>35</v>
      </c>
      <c r="V328" s="1" t="s">
        <v>34</v>
      </c>
      <c r="W328" s="1" t="s">
        <v>34</v>
      </c>
      <c r="X328" s="1" t="s">
        <v>37</v>
      </c>
      <c r="Y328" s="8" t="str">
        <f>IFERROR(VLOOKUP(A328,Sheet3!B:H,6,false),VLOOKUP(J328,Sheet2!A:C,2,false))</f>
        <v>https://assets.roomstogo.com/product/tuft-needle-stitch-tn31-twin-xl-mattress_50009870_image-item</v>
      </c>
      <c r="Z328" s="8" t="str">
        <f>IFERROR(VLOOKUP(A328,Sheet3!B:H,7,false),VLOOKUP(J328,Sheet2!A:C,3,false))</f>
        <v>https://assets.roomstogo.com/product/tuft-needle-stitch-tn31-twin-xl-mattress_50009870_alt-image-1</v>
      </c>
    </row>
    <row r="329">
      <c r="A329" s="4">
        <v>5.1109885E7</v>
      </c>
      <c r="B329" s="5"/>
      <c r="C329" s="5"/>
      <c r="D329" s="5"/>
      <c r="E329" s="5"/>
      <c r="F329" s="5"/>
      <c r="G329" s="5"/>
      <c r="H329" s="5"/>
      <c r="I329" s="5"/>
      <c r="J329" s="1" t="s">
        <v>115</v>
      </c>
      <c r="K329" s="1" t="s">
        <v>744</v>
      </c>
      <c r="L329" s="6">
        <v>1495.0</v>
      </c>
      <c r="M329" s="6">
        <v>2199.0</v>
      </c>
      <c r="N329" s="1" t="s">
        <v>114</v>
      </c>
      <c r="O329" s="1" t="s">
        <v>54</v>
      </c>
      <c r="P329" s="7"/>
      <c r="Q329" s="1" t="s">
        <v>31</v>
      </c>
      <c r="R329" s="1" t="s">
        <v>728</v>
      </c>
      <c r="S329" s="1" t="s">
        <v>41</v>
      </c>
      <c r="T329" s="1" t="s">
        <v>42</v>
      </c>
      <c r="U329" s="1" t="s">
        <v>76</v>
      </c>
      <c r="V329" s="1" t="s">
        <v>42</v>
      </c>
      <c r="W329" s="1" t="s">
        <v>42</v>
      </c>
      <c r="X329" s="1" t="s">
        <v>77</v>
      </c>
      <c r="Y329" s="8" t="str">
        <f>IFERROR(VLOOKUP(A329,Sheet3!B:H,6,false),VLOOKUP(J329,Sheet2!A:C,2,false))</f>
        <v>https://assets.roomstogo.com/product/tuft-needle-stitch-tn51-twin-xl-mattress_50009882_image-item</v>
      </c>
      <c r="Z329" s="8" t="str">
        <f>IFERROR(VLOOKUP(A329,Sheet3!B:H,7,false),VLOOKUP(J329,Sheet2!A:C,3,false))</f>
        <v>https://assets.roomstogo.com/product/tuft-needle-stitch-tn51-twin-xl-mattress_50009882_alt-image-1</v>
      </c>
    </row>
    <row r="330">
      <c r="A330" s="4">
        <v>5.11099E7</v>
      </c>
      <c r="B330" s="5"/>
      <c r="C330" s="5"/>
      <c r="D330" s="5"/>
      <c r="E330" s="5"/>
      <c r="F330" s="5"/>
      <c r="G330" s="5"/>
      <c r="H330" s="5"/>
      <c r="I330" s="5"/>
      <c r="J330" s="1" t="s">
        <v>117</v>
      </c>
      <c r="K330" s="1" t="s">
        <v>745</v>
      </c>
      <c r="L330" s="6">
        <v>2497.0</v>
      </c>
      <c r="M330" s="6">
        <v>2999.0</v>
      </c>
      <c r="N330" s="1" t="s">
        <v>114</v>
      </c>
      <c r="O330" s="1" t="s">
        <v>54</v>
      </c>
      <c r="P330" s="7"/>
      <c r="Q330" s="1" t="s">
        <v>31</v>
      </c>
      <c r="R330" s="1" t="s">
        <v>670</v>
      </c>
      <c r="S330" s="1" t="s">
        <v>41</v>
      </c>
      <c r="T330" s="1" t="s">
        <v>50</v>
      </c>
      <c r="U330" s="1" t="s">
        <v>49</v>
      </c>
      <c r="V330" s="1" t="s">
        <v>42</v>
      </c>
      <c r="W330" s="1" t="s">
        <v>42</v>
      </c>
      <c r="X330" s="1" t="s">
        <v>51</v>
      </c>
      <c r="Y330" s="8" t="str">
        <f>IFERROR(VLOOKUP(A330,Sheet3!B:H,6,false),VLOOKUP(J330,Sheet2!A:C,2,false))</f>
        <v>https://assets.roomstogo.com/product/tuft-needle-stitch-tn91-twin-xl-mattress_50009907_image-item</v>
      </c>
      <c r="Z330" s="8" t="str">
        <f>IFERROR(VLOOKUP(A330,Sheet3!B:H,7,false),VLOOKUP(J330,Sheet2!A:C,3,false))</f>
        <v>https://assets.roomstogo.com/product/tuft-needle-stitch-tn91-twin-xl-mattress_50009907_alt-image-1</v>
      </c>
    </row>
    <row r="331">
      <c r="A331" s="4">
        <v>5.1109936E7</v>
      </c>
      <c r="B331" s="5"/>
      <c r="C331" s="5"/>
      <c r="D331" s="5"/>
      <c r="E331" s="5"/>
      <c r="F331" s="5"/>
      <c r="G331" s="5"/>
      <c r="H331" s="5"/>
      <c r="I331" s="5"/>
      <c r="J331" s="1" t="s">
        <v>119</v>
      </c>
      <c r="K331" s="1" t="s">
        <v>746</v>
      </c>
      <c r="L331" s="6">
        <v>1177.0</v>
      </c>
      <c r="M331" s="6">
        <v>1299.0</v>
      </c>
      <c r="N331" s="1" t="s">
        <v>114</v>
      </c>
      <c r="O331" s="1" t="s">
        <v>54</v>
      </c>
      <c r="P331" s="1" t="s">
        <v>121</v>
      </c>
      <c r="Q331" s="1" t="s">
        <v>31</v>
      </c>
      <c r="R331" s="1" t="s">
        <v>670</v>
      </c>
      <c r="S331" s="1" t="s">
        <v>33</v>
      </c>
      <c r="T331" s="1" t="s">
        <v>36</v>
      </c>
      <c r="U331" s="1" t="s">
        <v>76</v>
      </c>
      <c r="V331" s="1" t="s">
        <v>36</v>
      </c>
      <c r="W331" s="1" t="s">
        <v>36</v>
      </c>
      <c r="X331" s="1" t="s">
        <v>77</v>
      </c>
      <c r="Y331" s="8" t="str">
        <f>IFERROR(VLOOKUP(A331,Sheet3!B:H,6,false),VLOOKUP(J331,Sheet2!A:C,2,false))</f>
        <v>https://assets.roomstogo.com/product/tuft-needle-tn1-twin-xl-mattress_50009933_image-item</v>
      </c>
      <c r="Z331" s="8" t="str">
        <f>IFERROR(VLOOKUP(A331,Sheet3!B:H,7,false),VLOOKUP(J331,Sheet2!A:C,3,false))</f>
        <v>https://assets.roomstogo.com/product/tuft-needle-tn1-twin-xl-mattress_50009933_alt-image-1</v>
      </c>
    </row>
    <row r="332">
      <c r="A332" s="4">
        <v>5.1110674E7</v>
      </c>
      <c r="B332" s="9">
        <v>3.0</v>
      </c>
      <c r="C332" s="9">
        <v>3.67</v>
      </c>
      <c r="D332" s="2" t="s">
        <v>125</v>
      </c>
      <c r="E332" s="2" t="s">
        <v>44</v>
      </c>
      <c r="F332" s="2" t="s">
        <v>126</v>
      </c>
      <c r="G332" s="9">
        <v>192.0</v>
      </c>
      <c r="H332" s="9">
        <v>4.4</v>
      </c>
      <c r="I332" s="9">
        <v>189.0</v>
      </c>
      <c r="J332" s="1" t="s">
        <v>127</v>
      </c>
      <c r="K332" s="1" t="s">
        <v>747</v>
      </c>
      <c r="L332" s="6">
        <v>1195.0</v>
      </c>
      <c r="M332" s="6">
        <v>1499.99</v>
      </c>
      <c r="N332" s="1" t="s">
        <v>129</v>
      </c>
      <c r="O332" s="1" t="s">
        <v>54</v>
      </c>
      <c r="P332" s="1" t="s">
        <v>130</v>
      </c>
      <c r="Q332" s="1" t="s">
        <v>31</v>
      </c>
      <c r="R332" s="1" t="s">
        <v>670</v>
      </c>
      <c r="S332" s="1" t="s">
        <v>41</v>
      </c>
      <c r="T332" s="1" t="s">
        <v>34</v>
      </c>
      <c r="U332" s="1" t="s">
        <v>35</v>
      </c>
      <c r="V332" s="1" t="s">
        <v>34</v>
      </c>
      <c r="W332" s="1" t="s">
        <v>34</v>
      </c>
      <c r="X332" s="1" t="s">
        <v>37</v>
      </c>
      <c r="Y332" s="8" t="str">
        <f>IFERROR(VLOOKUP(A332,Sheet3!B:H,6,false),VLOOKUP(J332,Sheet2!A:C,2,false))</f>
        <v>https://assets.roomstogo.com/product/beautyrest-select-broad-peak-medium-hybrid-twin-xl-mattress_50010671_image-item</v>
      </c>
      <c r="Z332" s="8" t="str">
        <f>IFERROR(VLOOKUP(A332,Sheet3!B:H,7,false),VLOOKUP(J332,Sheet2!A:C,3,false))</f>
        <v>https://assets.roomstogo.com/product/beautyrest-select-broad-peak-medium-hybrid-twin-xl-mattress_50010671_alt-image-1</v>
      </c>
    </row>
    <row r="333">
      <c r="A333" s="4">
        <v>5.1122213E7</v>
      </c>
      <c r="B333" s="5"/>
      <c r="C333" s="5"/>
      <c r="D333" s="5"/>
      <c r="E333" s="5"/>
      <c r="F333" s="5"/>
      <c r="G333" s="5"/>
      <c r="H333" s="5"/>
      <c r="I333" s="5"/>
      <c r="J333" s="1" t="s">
        <v>163</v>
      </c>
      <c r="K333" s="1" t="s">
        <v>748</v>
      </c>
      <c r="L333" s="6">
        <v>697.0</v>
      </c>
      <c r="M333" s="6">
        <v>999.99</v>
      </c>
      <c r="N333" s="1" t="s">
        <v>165</v>
      </c>
      <c r="O333" s="1" t="s">
        <v>54</v>
      </c>
      <c r="P333" s="1" t="s">
        <v>166</v>
      </c>
      <c r="Q333" s="1" t="s">
        <v>31</v>
      </c>
      <c r="R333" s="1" t="s">
        <v>670</v>
      </c>
      <c r="S333" s="1" t="s">
        <v>41</v>
      </c>
      <c r="T333" s="1" t="s">
        <v>36</v>
      </c>
      <c r="U333" s="1" t="s">
        <v>35</v>
      </c>
      <c r="V333" s="1" t="s">
        <v>34</v>
      </c>
      <c r="W333" s="1" t="s">
        <v>36</v>
      </c>
      <c r="X333" s="1" t="s">
        <v>37</v>
      </c>
      <c r="Y333" s="8" t="str">
        <f>IFERROR(VLOOKUP(A333,Sheet3!B:H,6,false),VLOOKUP(J333,Sheet2!A:C,2,false))</f>
        <v>https://assets.roomstogo.com/product/beauty-sleep-oceana-mist-medium-hybrid-twin-xl-mattress_50022210_image-item</v>
      </c>
      <c r="Z333" s="8" t="str">
        <f>IFERROR(VLOOKUP(A333,Sheet3!B:H,7,false),VLOOKUP(J333,Sheet2!A:C,3,false))</f>
        <v>https://assets.roomstogo.com/product/beauty-sleep-oceana-mist-medium-hybrid-twin-xl-mattress_50022210_alt-image-8</v>
      </c>
    </row>
    <row r="334">
      <c r="A334" s="4">
        <v>5.112574E7</v>
      </c>
      <c r="B334" s="5"/>
      <c r="C334" s="5"/>
      <c r="D334" s="5"/>
      <c r="E334" s="5"/>
      <c r="F334" s="5"/>
      <c r="G334" s="5"/>
      <c r="H334" s="5"/>
      <c r="I334" s="5"/>
      <c r="J334" s="1" t="s">
        <v>169</v>
      </c>
      <c r="K334" s="1" t="s">
        <v>749</v>
      </c>
      <c r="L334" s="6">
        <v>1749.0</v>
      </c>
      <c r="M334" s="6">
        <v>1749.0</v>
      </c>
      <c r="N334" s="1" t="s">
        <v>171</v>
      </c>
      <c r="O334" s="7"/>
      <c r="P334" s="1" t="s">
        <v>172</v>
      </c>
      <c r="Q334" s="1" t="s">
        <v>31</v>
      </c>
      <c r="R334" s="1" t="s">
        <v>670</v>
      </c>
      <c r="S334" s="1" t="s">
        <v>59</v>
      </c>
      <c r="T334" s="1" t="s">
        <v>42</v>
      </c>
      <c r="U334" s="1" t="s">
        <v>49</v>
      </c>
      <c r="V334" s="1" t="s">
        <v>42</v>
      </c>
      <c r="W334" s="1" t="s">
        <v>42</v>
      </c>
      <c r="X334" s="1" t="s">
        <v>51</v>
      </c>
      <c r="Y334" s="8" t="str">
        <f>IFERROR(VLOOKUP(A334,Sheet3!B:H,6,false),VLOOKUP(J334,Sheet2!A:C,2,false))</f>
        <v>https://assets.roomstogo.com/product/beautyrest-world-class-level-three-plush-twin-xl-mattress_50025747_image-item</v>
      </c>
      <c r="Z334" s="8" t="str">
        <f>IFERROR(VLOOKUP(A334,Sheet3!B:H,7,false),VLOOKUP(J334,Sheet2!A:C,3,false))</f>
        <v>https://assets.roomstogo.com/product/beautyrest-world-class-level-three-plush-twin-xl-mattress_50025747_alt-image-13</v>
      </c>
    </row>
    <row r="335">
      <c r="A335" s="4">
        <v>5.1125752E7</v>
      </c>
      <c r="B335" s="5"/>
      <c r="C335" s="5"/>
      <c r="D335" s="5"/>
      <c r="E335" s="5"/>
      <c r="F335" s="5"/>
      <c r="G335" s="5"/>
      <c r="H335" s="5"/>
      <c r="I335" s="5"/>
      <c r="J335" s="1" t="s">
        <v>173</v>
      </c>
      <c r="K335" s="1" t="s">
        <v>750</v>
      </c>
      <c r="L335" s="6">
        <v>1949.0</v>
      </c>
      <c r="M335" s="6">
        <v>1949.0</v>
      </c>
      <c r="N335" s="1" t="s">
        <v>171</v>
      </c>
      <c r="O335" s="7"/>
      <c r="P335" s="1" t="s">
        <v>175</v>
      </c>
      <c r="Q335" s="1" t="s">
        <v>31</v>
      </c>
      <c r="R335" s="1" t="s">
        <v>670</v>
      </c>
      <c r="S335" s="1" t="s">
        <v>59</v>
      </c>
      <c r="T335" s="1" t="s">
        <v>42</v>
      </c>
      <c r="U335" s="1" t="s">
        <v>35</v>
      </c>
      <c r="V335" s="1" t="s">
        <v>42</v>
      </c>
      <c r="W335" s="1" t="s">
        <v>42</v>
      </c>
      <c r="X335" s="1" t="s">
        <v>37</v>
      </c>
      <c r="Y335" s="8" t="str">
        <f>IFERROR(VLOOKUP(A335,Sheet3!B:H,6,false),VLOOKUP(J335,Sheet2!A:C,2,false))</f>
        <v>https://assets.roomstogo.com/product/beautyrest-world-class-level-three-medium-pillow-top-twin-xl-mattress_50025759_image-item</v>
      </c>
      <c r="Z335" s="8" t="str">
        <f>IFERROR(VLOOKUP(A335,Sheet3!B:H,7,false),VLOOKUP(J335,Sheet2!A:C,3,false))</f>
        <v>https://assets.roomstogo.com/product/beautyrest-world-class-level-three-medium-pillow-top-twin-xl-mattress_50025759_alt-image-13</v>
      </c>
    </row>
    <row r="336">
      <c r="A336" s="4">
        <v>5.1125803E7</v>
      </c>
      <c r="B336" s="5"/>
      <c r="C336" s="5"/>
      <c r="D336" s="5"/>
      <c r="E336" s="5"/>
      <c r="F336" s="5"/>
      <c r="G336" s="5"/>
      <c r="H336" s="5"/>
      <c r="I336" s="5"/>
      <c r="J336" s="1" t="s">
        <v>176</v>
      </c>
      <c r="K336" s="1" t="s">
        <v>751</v>
      </c>
      <c r="L336" s="6">
        <v>2299.0</v>
      </c>
      <c r="M336" s="6">
        <v>2299.0</v>
      </c>
      <c r="N336" s="1" t="s">
        <v>171</v>
      </c>
      <c r="O336" s="7"/>
      <c r="P336" s="1" t="s">
        <v>178</v>
      </c>
      <c r="Q336" s="1" t="s">
        <v>31</v>
      </c>
      <c r="R336" s="1" t="s">
        <v>670</v>
      </c>
      <c r="S336" s="1" t="s">
        <v>59</v>
      </c>
      <c r="T336" s="1" t="s">
        <v>50</v>
      </c>
      <c r="U336" s="1" t="s">
        <v>49</v>
      </c>
      <c r="V336" s="1" t="s">
        <v>42</v>
      </c>
      <c r="W336" s="1" t="s">
        <v>42</v>
      </c>
      <c r="X336" s="1" t="s">
        <v>51</v>
      </c>
      <c r="Y336" s="8" t="str">
        <f>IFERROR(VLOOKUP(A336,Sheet3!B:H,6,false),VLOOKUP(J336,Sheet2!A:C,2,false))</f>
        <v>https://assets.roomstogo.com/product/beautyrest-world-class-level-four-plush-pillow-top-twin-xl-mattress_50025800_image-item</v>
      </c>
      <c r="Z336" s="8" t="str">
        <f>IFERROR(VLOOKUP(A336,Sheet3!B:H,7,false),VLOOKUP(J336,Sheet2!A:C,3,false))</f>
        <v>https://assets.roomstogo.com/product/beautyrest-world-class-level-four-plush-pillow-top-twin-xl-mattress_50025800_alt-image-13</v>
      </c>
    </row>
    <row r="337">
      <c r="A337" s="4">
        <v>5.112895E7</v>
      </c>
      <c r="B337" s="5"/>
      <c r="C337" s="5"/>
      <c r="D337" s="5"/>
      <c r="E337" s="5"/>
      <c r="F337" s="5"/>
      <c r="G337" s="5"/>
      <c r="H337" s="5"/>
      <c r="I337" s="5"/>
      <c r="J337" s="1" t="s">
        <v>179</v>
      </c>
      <c r="K337" s="1" t="s">
        <v>752</v>
      </c>
      <c r="L337" s="6">
        <v>1397.0</v>
      </c>
      <c r="M337" s="6">
        <v>1999.0</v>
      </c>
      <c r="N337" s="1" t="s">
        <v>181</v>
      </c>
      <c r="O337" s="1" t="s">
        <v>54</v>
      </c>
      <c r="P337" s="7"/>
      <c r="Q337" s="1" t="s">
        <v>31</v>
      </c>
      <c r="R337" s="1" t="s">
        <v>670</v>
      </c>
      <c r="S337" s="1" t="s">
        <v>59</v>
      </c>
      <c r="T337" s="1" t="s">
        <v>42</v>
      </c>
      <c r="U337" s="1" t="s">
        <v>49</v>
      </c>
      <c r="V337" s="1" t="s">
        <v>34</v>
      </c>
      <c r="W337" s="1" t="s">
        <v>34</v>
      </c>
      <c r="X337" s="1" t="s">
        <v>182</v>
      </c>
      <c r="Y337" s="8" t="str">
        <f>IFERROR(VLOOKUP(A337,Sheet3!B:H,6,false),VLOOKUP(J337,Sheet2!A:C,2,false))</f>
        <v>https://assets.roomstogo.com/product/sealy-correct-comfort-kerry-park-twin-xl-mattress_50028957_image-item</v>
      </c>
      <c r="Z337" s="8" t="str">
        <f>IFERROR(VLOOKUP(A337,Sheet3!B:H,7,false),VLOOKUP(J337,Sheet2!A:C,3,false))</f>
        <v>https://assets.roomstogo.com/product/sealy-correct-comfort-kerry-park-twin-xl-mattress_50028957_alt-image-1</v>
      </c>
    </row>
    <row r="338">
      <c r="A338" s="4">
        <v>5.1128974E7</v>
      </c>
      <c r="B338" s="5"/>
      <c r="C338" s="5"/>
      <c r="D338" s="5"/>
      <c r="E338" s="5"/>
      <c r="F338" s="5"/>
      <c r="G338" s="5"/>
      <c r="H338" s="5"/>
      <c r="I338" s="5"/>
      <c r="J338" s="1" t="s">
        <v>187</v>
      </c>
      <c r="K338" s="1" t="s">
        <v>753</v>
      </c>
      <c r="L338" s="6">
        <v>1497.0</v>
      </c>
      <c r="M338" s="6">
        <v>2299.0</v>
      </c>
      <c r="N338" s="1" t="s">
        <v>181</v>
      </c>
      <c r="O338" s="1" t="s">
        <v>54</v>
      </c>
      <c r="P338" s="7"/>
      <c r="Q338" s="7"/>
      <c r="R338" s="1" t="s">
        <v>670</v>
      </c>
      <c r="S338" s="1" t="s">
        <v>33</v>
      </c>
      <c r="T338" s="1" t="s">
        <v>42</v>
      </c>
      <c r="U338" s="1" t="s">
        <v>35</v>
      </c>
      <c r="V338" s="1" t="s">
        <v>34</v>
      </c>
      <c r="W338" s="1" t="s">
        <v>34</v>
      </c>
      <c r="X338" s="1" t="s">
        <v>37</v>
      </c>
      <c r="Y338" s="8" t="str">
        <f>IFERROR(VLOOKUP(A338,Sheet3!B:H,6,false),VLOOKUP(J338,Sheet2!A:C,2,false))</f>
        <v>https://assets.roomstogo.com/product/posturepedic-northgate-twin-xl-mattress_50028971_image-item</v>
      </c>
      <c r="Z338" s="8" t="str">
        <f>IFERROR(VLOOKUP(A338,Sheet3!B:H,7,false),VLOOKUP(J338,Sheet2!A:C,3,false))</f>
        <v>https://assets.roomstogo.com/product/posturepedic-northgate-twin-xl-mattress_50028971_alt-image-1</v>
      </c>
    </row>
    <row r="339">
      <c r="A339" s="4">
        <v>5.1129178E7</v>
      </c>
      <c r="B339" s="5"/>
      <c r="C339" s="5"/>
      <c r="D339" s="5"/>
      <c r="E339" s="5"/>
      <c r="F339" s="5"/>
      <c r="G339" s="5"/>
      <c r="H339" s="5"/>
      <c r="I339" s="5"/>
      <c r="J339" s="1" t="s">
        <v>189</v>
      </c>
      <c r="K339" s="1" t="s">
        <v>754</v>
      </c>
      <c r="L339" s="6">
        <v>1077.0</v>
      </c>
      <c r="M339" s="6">
        <v>1199.0</v>
      </c>
      <c r="N339" s="1" t="s">
        <v>191</v>
      </c>
      <c r="O339" s="1" t="s">
        <v>54</v>
      </c>
      <c r="P339" s="1" t="s">
        <v>192</v>
      </c>
      <c r="Q339" s="1" t="s">
        <v>31</v>
      </c>
      <c r="R339" s="1" t="s">
        <v>670</v>
      </c>
      <c r="S339" s="1" t="s">
        <v>59</v>
      </c>
      <c r="T339" s="1" t="s">
        <v>36</v>
      </c>
      <c r="U339" s="1" t="s">
        <v>35</v>
      </c>
      <c r="V339" s="1" t="s">
        <v>36</v>
      </c>
      <c r="W339" s="1" t="s">
        <v>36</v>
      </c>
      <c r="X339" s="1" t="s">
        <v>37</v>
      </c>
      <c r="Y339" s="8" t="str">
        <f>IFERROR(VLOOKUP(A339,Sheet3!B:H,6,false),VLOOKUP(J339,Sheet2!A:C,2,false))</f>
        <v>https://assets.roomstogo.com/product/sealy-posturepedic-brierwood-twin-xl-mattress_50029175_image-item</v>
      </c>
      <c r="Z339" s="8" t="str">
        <f>IFERROR(VLOOKUP(A339,Sheet3!B:H,7,false),VLOOKUP(J339,Sheet2!A:C,3,false))</f>
        <v>https://assets.roomstogo.com/product/sealy-posturepedic-brierwood-twin-xl-mattress_50029175_alt-image-1</v>
      </c>
    </row>
    <row r="340">
      <c r="A340" s="4">
        <v>5.1129205E7</v>
      </c>
      <c r="B340" s="5"/>
      <c r="C340" s="5"/>
      <c r="D340" s="5"/>
      <c r="E340" s="5"/>
      <c r="F340" s="5"/>
      <c r="G340" s="5"/>
      <c r="H340" s="5"/>
      <c r="I340" s="5"/>
      <c r="J340" s="1" t="s">
        <v>193</v>
      </c>
      <c r="K340" s="1" t="s">
        <v>755</v>
      </c>
      <c r="L340" s="6">
        <v>1397.0</v>
      </c>
      <c r="M340" s="6">
        <v>1599.0</v>
      </c>
      <c r="N340" s="1" t="s">
        <v>195</v>
      </c>
      <c r="O340" s="1" t="s">
        <v>54</v>
      </c>
      <c r="P340" s="1" t="s">
        <v>196</v>
      </c>
      <c r="Q340" s="1" t="s">
        <v>31</v>
      </c>
      <c r="R340" s="1" t="s">
        <v>670</v>
      </c>
      <c r="S340" s="7"/>
      <c r="T340" s="1" t="s">
        <v>34</v>
      </c>
      <c r="U340" s="1" t="s">
        <v>35</v>
      </c>
      <c r="V340" s="1" t="s">
        <v>34</v>
      </c>
      <c r="W340" s="1" t="s">
        <v>36</v>
      </c>
      <c r="X340" s="1" t="s">
        <v>37</v>
      </c>
      <c r="Y340" s="8" t="str">
        <f>IFERROR(VLOOKUP(A340,Sheet3!B:H,6,false),VLOOKUP(J340,Sheet2!A:C,2,false))</f>
        <v>https://assets.roomstogo.com/product/sealy-posturepedic-castle-rock-twin-xl-mattress_50029202_image-item</v>
      </c>
      <c r="Z340" s="8" t="str">
        <f>IFERROR(VLOOKUP(A340,Sheet3!B:H,7,false),VLOOKUP(J340,Sheet2!A:C,3,false))</f>
        <v>https://assets.roomstogo.com/product/sealy-posturepedic-castle-rock-twin-xl-mattress_50029202_alt-image-1</v>
      </c>
    </row>
    <row r="341">
      <c r="A341" s="4">
        <v>5.1129217E7</v>
      </c>
      <c r="B341" s="9">
        <v>1.0</v>
      </c>
      <c r="C341" s="9">
        <v>2.0</v>
      </c>
      <c r="D341" s="2" t="s">
        <v>609</v>
      </c>
      <c r="E341" s="2" t="s">
        <v>44</v>
      </c>
      <c r="F341" s="2" t="s">
        <v>610</v>
      </c>
      <c r="G341" s="9">
        <v>2.0</v>
      </c>
      <c r="H341" s="9">
        <v>3.5</v>
      </c>
      <c r="I341" s="9">
        <v>1.0</v>
      </c>
      <c r="J341" s="1" t="s">
        <v>197</v>
      </c>
      <c r="K341" s="1" t="s">
        <v>756</v>
      </c>
      <c r="L341" s="6">
        <v>1577.0</v>
      </c>
      <c r="M341" s="6">
        <v>1799.0</v>
      </c>
      <c r="N341" s="1" t="s">
        <v>199</v>
      </c>
      <c r="O341" s="7"/>
      <c r="P341" s="1" t="s">
        <v>200</v>
      </c>
      <c r="Q341" s="1" t="s">
        <v>31</v>
      </c>
      <c r="R341" s="1" t="s">
        <v>670</v>
      </c>
      <c r="S341" s="1" t="s">
        <v>59</v>
      </c>
      <c r="T341" s="1" t="s">
        <v>34</v>
      </c>
      <c r="U341" s="1" t="s">
        <v>35</v>
      </c>
      <c r="V341" s="1" t="s">
        <v>42</v>
      </c>
      <c r="W341" s="1" t="s">
        <v>34</v>
      </c>
      <c r="X341" s="1" t="s">
        <v>37</v>
      </c>
      <c r="Y341" s="8" t="str">
        <f>IFERROR(VLOOKUP(A341,Sheet3!B:H,6,false),VLOOKUP(J341,Sheet2!A:C,2,false))</f>
        <v>https://assets.roomstogo.com/product/sealy-posturepedic-pebblebrook-twin-xl-mattress_50029214_image-item</v>
      </c>
      <c r="Z341" s="8" t="str">
        <f>IFERROR(VLOOKUP(A341,Sheet3!B:H,7,false),VLOOKUP(J341,Sheet2!A:C,3,false))</f>
        <v>https://assets.roomstogo.com/product/sealy-posturepedic-pebblebrook-twin-xl-mattress_50029214_alt-image-1</v>
      </c>
    </row>
    <row r="342">
      <c r="A342" s="4">
        <v>5.113705E7</v>
      </c>
      <c r="B342" s="5"/>
      <c r="C342" s="5"/>
      <c r="D342" s="5"/>
      <c r="E342" s="5"/>
      <c r="F342" s="5"/>
      <c r="G342" s="5"/>
      <c r="H342" s="5"/>
      <c r="I342" s="5"/>
      <c r="J342" s="1" t="s">
        <v>203</v>
      </c>
      <c r="K342" s="1" t="s">
        <v>757</v>
      </c>
      <c r="L342" s="6">
        <v>2599.0</v>
      </c>
      <c r="M342" s="6">
        <v>2599.0</v>
      </c>
      <c r="N342" s="1" t="s">
        <v>205</v>
      </c>
      <c r="O342" s="7"/>
      <c r="P342" s="1" t="s">
        <v>206</v>
      </c>
      <c r="Q342" s="1" t="s">
        <v>31</v>
      </c>
      <c r="R342" s="1" t="s">
        <v>670</v>
      </c>
      <c r="S342" s="1" t="s">
        <v>59</v>
      </c>
      <c r="T342" s="1" t="s">
        <v>34</v>
      </c>
      <c r="U342" s="1" t="s">
        <v>76</v>
      </c>
      <c r="V342" s="1" t="s">
        <v>50</v>
      </c>
      <c r="W342" s="1" t="s">
        <v>42</v>
      </c>
      <c r="X342" s="1" t="s">
        <v>144</v>
      </c>
      <c r="Y342" s="8" t="str">
        <f>IFERROR(VLOOKUP(A342,Sheet3!B:H,6,false),VLOOKUP(J342,Sheet2!A:C,2,false))</f>
        <v>https://assets.roomstogo.com/product/beautyrest-black-series-one-extra-firm-twin-xl-mattress_50037057_image-item</v>
      </c>
      <c r="Z342" s="8" t="str">
        <f>IFERROR(VLOOKUP(A342,Sheet3!B:H,7,false),VLOOKUP(J342,Sheet2!A:C,3,false))</f>
        <v>https://assets.roomstogo.com/product/beautyrest-black-series-one-extra-firm-twin-xl-mattress_50037057_alt-image-1</v>
      </c>
    </row>
    <row r="343">
      <c r="A343" s="4">
        <v>5.1137137E7</v>
      </c>
      <c r="B343" s="5"/>
      <c r="C343" s="5"/>
      <c r="D343" s="5"/>
      <c r="E343" s="5"/>
      <c r="F343" s="5"/>
      <c r="G343" s="5"/>
      <c r="H343" s="5"/>
      <c r="I343" s="5"/>
      <c r="J343" s="1" t="s">
        <v>209</v>
      </c>
      <c r="K343" s="1" t="s">
        <v>758</v>
      </c>
      <c r="L343" s="6">
        <v>3599.0</v>
      </c>
      <c r="M343" s="6">
        <v>3599.0</v>
      </c>
      <c r="N343" s="1" t="s">
        <v>205</v>
      </c>
      <c r="O343" s="7"/>
      <c r="P343" s="1" t="s">
        <v>211</v>
      </c>
      <c r="Q343" s="1" t="s">
        <v>31</v>
      </c>
      <c r="R343" s="1" t="s">
        <v>670</v>
      </c>
      <c r="S343" s="1" t="s">
        <v>59</v>
      </c>
      <c r="T343" s="1" t="s">
        <v>42</v>
      </c>
      <c r="U343" s="1" t="s">
        <v>35</v>
      </c>
      <c r="V343" s="1" t="s">
        <v>50</v>
      </c>
      <c r="W343" s="1" t="s">
        <v>42</v>
      </c>
      <c r="X343" s="1" t="s">
        <v>37</v>
      </c>
      <c r="Y343" s="8" t="str">
        <f>IFERROR(VLOOKUP(A343,Sheet3!B:H,6,false),VLOOKUP(J343,Sheet2!A:C,2,false))</f>
        <v>https://assets.roomstogo.com/product/beautyrest-black-series-two-medium-twin-xl-mattress_50037134_image-item</v>
      </c>
      <c r="Z343" s="8" t="str">
        <f>IFERROR(VLOOKUP(A343,Sheet3!B:H,7,false),VLOOKUP(J343,Sheet2!A:C,3,false))</f>
        <v>https://assets.roomstogo.com/product/beautyrest-black-series-two-medium-twin-xl-mattress_50037134_alt-image-1</v>
      </c>
    </row>
    <row r="344">
      <c r="A344" s="4">
        <v>5.1137226E7</v>
      </c>
      <c r="B344" s="5"/>
      <c r="C344" s="5"/>
      <c r="D344" s="5"/>
      <c r="E344" s="5"/>
      <c r="F344" s="5"/>
      <c r="G344" s="5"/>
      <c r="H344" s="5"/>
      <c r="I344" s="5"/>
      <c r="J344" s="1" t="s">
        <v>214</v>
      </c>
      <c r="K344" s="1" t="s">
        <v>759</v>
      </c>
      <c r="L344" s="6">
        <v>4899.0</v>
      </c>
      <c r="M344" s="6">
        <v>4899.0</v>
      </c>
      <c r="N344" s="1" t="s">
        <v>205</v>
      </c>
      <c r="O344" s="7"/>
      <c r="P344" s="1" t="s">
        <v>216</v>
      </c>
      <c r="Q344" s="1" t="s">
        <v>31</v>
      </c>
      <c r="R344" s="1" t="s">
        <v>670</v>
      </c>
      <c r="S344" s="1" t="s">
        <v>59</v>
      </c>
      <c r="T344" s="1" t="s">
        <v>50</v>
      </c>
      <c r="U344" s="1" t="s">
        <v>49</v>
      </c>
      <c r="V344" s="1" t="s">
        <v>50</v>
      </c>
      <c r="W344" s="1" t="s">
        <v>42</v>
      </c>
      <c r="X344" s="1" t="s">
        <v>51</v>
      </c>
      <c r="Y344" s="8" t="str">
        <f>IFERROR(VLOOKUP(A344,Sheet3!B:H,6,false),VLOOKUP(J344,Sheet2!A:C,2,false))</f>
        <v>https://assets.roomstogo.com/product/beautyrest-black-series-three-plush-pillow-top-twin-xl-mattress_50037223_image-item</v>
      </c>
      <c r="Z344" s="8" t="str">
        <f>IFERROR(VLOOKUP(A344,Sheet3!B:H,7,false),VLOOKUP(J344,Sheet2!A:C,3,false))</f>
        <v>https://assets.roomstogo.com/product/beautyrest-black-series-three-plush-pillow-top-twin-xl-mattress_50037223_alt-image-1</v>
      </c>
    </row>
    <row r="345">
      <c r="A345" s="4">
        <v>5.1148039E7</v>
      </c>
      <c r="B345" s="5"/>
      <c r="C345" s="5"/>
      <c r="D345" s="5"/>
      <c r="E345" s="5"/>
      <c r="F345" s="5"/>
      <c r="G345" s="5"/>
      <c r="H345" s="5"/>
      <c r="I345" s="5"/>
      <c r="J345" s="1" t="s">
        <v>219</v>
      </c>
      <c r="K345" s="1" t="s">
        <v>760</v>
      </c>
      <c r="L345" s="6">
        <v>2999.0</v>
      </c>
      <c r="M345" s="6">
        <v>2999.0</v>
      </c>
      <c r="N345" s="1" t="s">
        <v>221</v>
      </c>
      <c r="O345" s="7"/>
      <c r="P345" s="1" t="s">
        <v>222</v>
      </c>
      <c r="Q345" s="1" t="s">
        <v>31</v>
      </c>
      <c r="R345" s="1" t="s">
        <v>670</v>
      </c>
      <c r="S345" s="1" t="s">
        <v>59</v>
      </c>
      <c r="T345" s="1" t="s">
        <v>34</v>
      </c>
      <c r="U345" s="1" t="s">
        <v>76</v>
      </c>
      <c r="V345" s="1" t="s">
        <v>42</v>
      </c>
      <c r="W345" s="1" t="s">
        <v>34</v>
      </c>
      <c r="X345" s="1" t="s">
        <v>77</v>
      </c>
      <c r="Y345" s="8" t="str">
        <f>IFERROR(VLOOKUP(A345,Sheet3!B:H,6,false),VLOOKUP(J345,Sheet2!A:C,2,false))</f>
        <v>https://assets.roomstogo.com/product/stearns-and-foster-estate-firm-tight-top-twin-xl-mattress_50048036_image-item</v>
      </c>
      <c r="Z345" s="8" t="str">
        <f>IFERROR(VLOOKUP(A345,Sheet3!B:H,7,false),VLOOKUP(J345,Sheet2!A:C,3,false))</f>
        <v>https://assets.roomstogo.com/product/stearns-and-foster-estate-firm-tight-top-twin-xl-mattress_50048036_alt-image-1</v>
      </c>
    </row>
    <row r="346">
      <c r="A346" s="4">
        <v>5.1148104E7</v>
      </c>
      <c r="B346" s="5"/>
      <c r="C346" s="5"/>
      <c r="D346" s="5"/>
      <c r="E346" s="5"/>
      <c r="F346" s="5"/>
      <c r="G346" s="5"/>
      <c r="H346" s="5"/>
      <c r="I346" s="5"/>
      <c r="J346" s="1" t="s">
        <v>761</v>
      </c>
      <c r="K346" s="1" t="s">
        <v>762</v>
      </c>
      <c r="L346" s="6">
        <v>4099.0</v>
      </c>
      <c r="M346" s="6">
        <v>4099.0</v>
      </c>
      <c r="N346" s="1" t="s">
        <v>221</v>
      </c>
      <c r="O346" s="7"/>
      <c r="P346" s="1" t="s">
        <v>763</v>
      </c>
      <c r="Q346" s="1" t="s">
        <v>31</v>
      </c>
      <c r="R346" s="1" t="s">
        <v>670</v>
      </c>
      <c r="S346" s="1" t="s">
        <v>59</v>
      </c>
      <c r="T346" s="1" t="s">
        <v>42</v>
      </c>
      <c r="U346" s="1" t="s">
        <v>76</v>
      </c>
      <c r="V346" s="1" t="s">
        <v>50</v>
      </c>
      <c r="W346" s="1" t="s">
        <v>42</v>
      </c>
      <c r="X346" s="1" t="s">
        <v>77</v>
      </c>
      <c r="Y346" s="8" t="str">
        <f>IFERROR(VLOOKUP(A346,Sheet3!B:H,6,false),VLOOKUP(J346,Sheet2!A:C,2,false))</f>
        <v>https://assets.roomstogo.com/product/stearns-and-foster-lux-estate-firm-pillow-top-twin-xl-mattress_50048101_image-item</v>
      </c>
      <c r="Z346" s="8" t="str">
        <f>IFERROR(VLOOKUP(A346,Sheet3!B:H,7,false),VLOOKUP(J346,Sheet2!A:C,3,false))</f>
        <v>https://assets.roomstogo.com/product/stearns-and-foster-lux-estate-firm-pillow-top-twin-xl-mattress_50048101_alt-image-1</v>
      </c>
    </row>
    <row r="347">
      <c r="A347" s="4">
        <v>5.1148279E7</v>
      </c>
      <c r="B347" s="5"/>
      <c r="C347" s="5"/>
      <c r="D347" s="5"/>
      <c r="E347" s="5"/>
      <c r="F347" s="5"/>
      <c r="G347" s="5"/>
      <c r="H347" s="5"/>
      <c r="I347" s="5"/>
      <c r="J347" s="1" t="s">
        <v>227</v>
      </c>
      <c r="K347" s="1" t="s">
        <v>764</v>
      </c>
      <c r="L347" s="6">
        <v>4799.0</v>
      </c>
      <c r="M347" s="6">
        <v>4799.0</v>
      </c>
      <c r="N347" s="1" t="s">
        <v>221</v>
      </c>
      <c r="O347" s="7"/>
      <c r="P347" s="1" t="s">
        <v>229</v>
      </c>
      <c r="Q347" s="1" t="s">
        <v>31</v>
      </c>
      <c r="R347" s="1" t="s">
        <v>670</v>
      </c>
      <c r="S347" s="1" t="s">
        <v>59</v>
      </c>
      <c r="T347" s="1" t="s">
        <v>42</v>
      </c>
      <c r="U347" s="1" t="s">
        <v>35</v>
      </c>
      <c r="V347" s="1" t="s">
        <v>50</v>
      </c>
      <c r="W347" s="1" t="s">
        <v>42</v>
      </c>
      <c r="X347" s="1" t="s">
        <v>37</v>
      </c>
      <c r="Y347" s="8" t="str">
        <f>IFERROR(VLOOKUP(A347,Sheet3!B:H,6,false),VLOOKUP(J347,Sheet2!A:C,2,false))</f>
        <v>https://assets.roomstogo.com/product/stearns-and-foster-lux-estate-elite-medium-pillow-top-twin-xl-mattress_50048276_image-item</v>
      </c>
      <c r="Z347" s="8" t="str">
        <f>IFERROR(VLOOKUP(A347,Sheet3!B:H,7,false),VLOOKUP(J347,Sheet2!A:C,3,false))</f>
        <v>https://assets.roomstogo.com/product/stearns-and-foster-lux-estate-elite-medium-pillow-top-twin-xl-mattress_50048276_alt-image-1</v>
      </c>
    </row>
    <row r="348">
      <c r="A348" s="4">
        <v>5.1170113E7</v>
      </c>
      <c r="B348" s="10">
        <v>9000.0</v>
      </c>
      <c r="C348" s="9">
        <v>4.32</v>
      </c>
      <c r="D348" s="2" t="s">
        <v>230</v>
      </c>
      <c r="E348" s="2" t="s">
        <v>44</v>
      </c>
      <c r="F348" s="2" t="s">
        <v>231</v>
      </c>
      <c r="G348" s="9">
        <v>9006.0</v>
      </c>
      <c r="H348" s="9">
        <v>4.32</v>
      </c>
      <c r="I348" s="9">
        <v>6.0</v>
      </c>
      <c r="J348" s="1" t="s">
        <v>232</v>
      </c>
      <c r="K348" s="1" t="s">
        <v>765</v>
      </c>
      <c r="L348" s="6">
        <v>2538.0</v>
      </c>
      <c r="M348" s="6">
        <v>3172.5</v>
      </c>
      <c r="N348" s="1" t="s">
        <v>234</v>
      </c>
      <c r="O348" s="7"/>
      <c r="P348" s="7"/>
      <c r="Q348" s="1" t="s">
        <v>31</v>
      </c>
      <c r="R348" s="1" t="s">
        <v>670</v>
      </c>
      <c r="S348" s="1" t="s">
        <v>59</v>
      </c>
      <c r="T348" s="1" t="s">
        <v>42</v>
      </c>
      <c r="U348" s="1" t="s">
        <v>35</v>
      </c>
      <c r="V348" s="1" t="s">
        <v>42</v>
      </c>
      <c r="W348" s="1" t="s">
        <v>34</v>
      </c>
      <c r="X348" s="1" t="s">
        <v>37</v>
      </c>
      <c r="Y348" s="8" t="str">
        <f>IFERROR(VLOOKUP(A348,Sheet3!B:H,6,false),VLOOKUP(J348,Sheet2!A:C,2,false))</f>
        <v>https://assets.roomstogo.com/product/helix-midnight-luxe-twin-xl-mattress_50070110_image-item</v>
      </c>
      <c r="Z348" s="8" t="str">
        <f>IFERROR(VLOOKUP(A348,Sheet3!B:H,7,false),VLOOKUP(J348,Sheet2!A:C,3,false))</f>
        <v>https://assets.roomstogo.com/product/helix-midnight-luxe-twin-xl-mattress_50070110_alt-image-1</v>
      </c>
    </row>
    <row r="349">
      <c r="A349" s="4">
        <v>5.1170125E7</v>
      </c>
      <c r="B349" s="5"/>
      <c r="C349" s="5"/>
      <c r="D349" s="5"/>
      <c r="E349" s="5"/>
      <c r="F349" s="5"/>
      <c r="G349" s="5"/>
      <c r="H349" s="5"/>
      <c r="I349" s="5"/>
      <c r="J349" s="1" t="s">
        <v>237</v>
      </c>
      <c r="K349" s="1" t="s">
        <v>766</v>
      </c>
      <c r="L349" s="6">
        <v>3599.0</v>
      </c>
      <c r="M349" s="6">
        <v>4498.75</v>
      </c>
      <c r="N349" s="1" t="s">
        <v>234</v>
      </c>
      <c r="O349" s="7"/>
      <c r="P349" s="7"/>
      <c r="Q349" s="1" t="s">
        <v>31</v>
      </c>
      <c r="R349" s="1" t="s">
        <v>670</v>
      </c>
      <c r="S349" s="1" t="s">
        <v>59</v>
      </c>
      <c r="T349" s="1" t="s">
        <v>50</v>
      </c>
      <c r="U349" s="1" t="s">
        <v>35</v>
      </c>
      <c r="V349" s="1" t="s">
        <v>42</v>
      </c>
      <c r="W349" s="1" t="s">
        <v>42</v>
      </c>
      <c r="X349" s="1" t="s">
        <v>37</v>
      </c>
      <c r="Y349" s="8" t="str">
        <f>IFERROR(VLOOKUP(A349,Sheet3!B:H,6,false),VLOOKUP(J349,Sheet2!A:C,2,false))</f>
        <v>https://assets.roomstogo.com/product/helix-midnight-elite-twin-xl-mattress_50070122_image-item</v>
      </c>
      <c r="Z349" s="8" t="str">
        <f>IFERROR(VLOOKUP(A349,Sheet3!B:H,7,false),VLOOKUP(J349,Sheet2!A:C,3,false))</f>
        <v>https://assets.roomstogo.com/product/helix-midnight-elite-twin-xl-mattress_50070122_alt-image-1</v>
      </c>
    </row>
    <row r="350">
      <c r="A350" s="4">
        <v>5.1300487E7</v>
      </c>
      <c r="B350" s="5"/>
      <c r="C350" s="5"/>
      <c r="D350" s="5"/>
      <c r="E350" s="5"/>
      <c r="F350" s="5"/>
      <c r="G350" s="5"/>
      <c r="H350" s="5"/>
      <c r="I350" s="5"/>
      <c r="J350" s="1" t="s">
        <v>447</v>
      </c>
      <c r="K350" s="1" t="s">
        <v>767</v>
      </c>
      <c r="L350" s="6">
        <v>649.0</v>
      </c>
      <c r="M350" s="6">
        <v>749.0</v>
      </c>
      <c r="N350" s="1" t="s">
        <v>449</v>
      </c>
      <c r="O350" s="7"/>
      <c r="P350" s="1" t="s">
        <v>450</v>
      </c>
      <c r="Q350" s="1" t="s">
        <v>31</v>
      </c>
      <c r="R350" s="1" t="s">
        <v>710</v>
      </c>
      <c r="S350" s="7"/>
      <c r="T350" s="7"/>
      <c r="U350" s="7"/>
      <c r="V350" s="7"/>
      <c r="W350" s="7"/>
      <c r="X350" s="7"/>
      <c r="Y350" s="11" t="str">
        <f>IFERROR(VLOOKUP(A350,Sheet3!B:H,6,false),VLOOKUP(J350,Sheet2!A:C,2,false))</f>
        <v>#N/A</v>
      </c>
      <c r="Z350" s="11" t="str">
        <f>IFERROR(VLOOKUP(A350,Sheet3!B:H,7,false),VLOOKUP(J350,Sheet2!A:C,3,false))</f>
        <v>#N/A</v>
      </c>
    </row>
    <row r="351">
      <c r="A351" s="4">
        <v>5.1300514E7</v>
      </c>
      <c r="B351" s="5"/>
      <c r="C351" s="5"/>
      <c r="D351" s="5"/>
      <c r="E351" s="5"/>
      <c r="F351" s="5"/>
      <c r="G351" s="5"/>
      <c r="H351" s="5"/>
      <c r="I351" s="5"/>
      <c r="J351" s="1" t="s">
        <v>453</v>
      </c>
      <c r="K351" s="1" t="s">
        <v>768</v>
      </c>
      <c r="L351" s="6">
        <v>1399.0</v>
      </c>
      <c r="M351" s="6">
        <v>1599.0</v>
      </c>
      <c r="N351" s="1" t="s">
        <v>449</v>
      </c>
      <c r="O351" s="7"/>
      <c r="P351" s="1" t="s">
        <v>455</v>
      </c>
      <c r="Q351" s="1" t="s">
        <v>31</v>
      </c>
      <c r="R351" s="1" t="s">
        <v>710</v>
      </c>
      <c r="S351" s="7"/>
      <c r="T351" s="7"/>
      <c r="U351" s="7"/>
      <c r="V351" s="7"/>
      <c r="W351" s="7"/>
      <c r="X351" s="7"/>
      <c r="Y351" s="11" t="str">
        <f>IFERROR(VLOOKUP(A351,Sheet3!B:H,6,false),VLOOKUP(J351,Sheet2!A:C,2,false))</f>
        <v>#N/A</v>
      </c>
      <c r="Z351" s="11" t="str">
        <f>IFERROR(VLOOKUP(A351,Sheet3!B:H,7,false),VLOOKUP(J351,Sheet2!A:C,3,false))</f>
        <v>#N/A</v>
      </c>
    </row>
    <row r="352">
      <c r="A352" s="4">
        <v>5.1307467E7</v>
      </c>
      <c r="B352" s="5"/>
      <c r="C352" s="5"/>
      <c r="D352" s="5"/>
      <c r="E352" s="5"/>
      <c r="F352" s="5"/>
      <c r="G352" s="5"/>
      <c r="H352" s="5"/>
      <c r="I352" s="5"/>
      <c r="J352" s="1" t="s">
        <v>62</v>
      </c>
      <c r="K352" s="1" t="s">
        <v>769</v>
      </c>
      <c r="L352" s="6">
        <v>1699.0</v>
      </c>
      <c r="M352" s="6">
        <v>1699.0</v>
      </c>
      <c r="N352" s="1" t="s">
        <v>64</v>
      </c>
      <c r="O352" s="7"/>
      <c r="P352" s="1" t="s">
        <v>65</v>
      </c>
      <c r="Q352" s="1" t="s">
        <v>31</v>
      </c>
      <c r="R352" s="1" t="s">
        <v>710</v>
      </c>
      <c r="S352" s="1" t="s">
        <v>33</v>
      </c>
      <c r="T352" s="1" t="s">
        <v>42</v>
      </c>
      <c r="U352" s="1" t="s">
        <v>35</v>
      </c>
      <c r="V352" s="1" t="s">
        <v>42</v>
      </c>
      <c r="W352" s="1" t="s">
        <v>42</v>
      </c>
      <c r="X352" s="1" t="s">
        <v>37</v>
      </c>
      <c r="Y352" s="8" t="str">
        <f>IFERROR(VLOOKUP(A352,Sheet3!B:H,6,false),VLOOKUP(J352,Sheet2!A:C,2,false))</f>
        <v>https://assets.roomstogo.com/product/tempur-pedic-adapt-20-medium-twin-xl-mattress_50007460_image-item</v>
      </c>
      <c r="Z352" s="8" t="str">
        <f>IFERROR(VLOOKUP(A352,Sheet3!B:H,7,false),VLOOKUP(J352,Sheet2!A:C,3,false))</f>
        <v>https://assets.roomstogo.com/product/tempur-pedic-adapt-20-medium-twin-xl-mattress_50007460_alt-image-1</v>
      </c>
    </row>
    <row r="353">
      <c r="A353" s="4">
        <v>5.1307479E7</v>
      </c>
      <c r="B353" s="5"/>
      <c r="C353" s="5"/>
      <c r="D353" s="5"/>
      <c r="E353" s="5"/>
      <c r="F353" s="5"/>
      <c r="G353" s="5"/>
      <c r="H353" s="5"/>
      <c r="I353" s="5"/>
      <c r="J353" s="1" t="s">
        <v>68</v>
      </c>
      <c r="K353" s="1" t="s">
        <v>770</v>
      </c>
      <c r="L353" s="6">
        <v>1999.0</v>
      </c>
      <c r="M353" s="6">
        <v>1999.0</v>
      </c>
      <c r="N353" s="1" t="s">
        <v>64</v>
      </c>
      <c r="O353" s="7"/>
      <c r="P353" s="1" t="s">
        <v>70</v>
      </c>
      <c r="Q353" s="1" t="s">
        <v>31</v>
      </c>
      <c r="R353" s="1" t="s">
        <v>710</v>
      </c>
      <c r="S353" s="1" t="s">
        <v>41</v>
      </c>
      <c r="T353" s="1" t="s">
        <v>42</v>
      </c>
      <c r="U353" s="1" t="s">
        <v>35</v>
      </c>
      <c r="V353" s="1" t="s">
        <v>42</v>
      </c>
      <c r="W353" s="1" t="s">
        <v>42</v>
      </c>
      <c r="X353" s="1" t="s">
        <v>37</v>
      </c>
      <c r="Y353" s="8" t="str">
        <f>IFERROR(VLOOKUP(A353,Sheet3!B:H,6,false),VLOOKUP(J353,Sheet2!A:C,2,false))</f>
        <v>https://assets.roomstogo.com/product/tempur-pedic-adapt-20-medium-hybrid-twin-xl-mattress_50007472_image-item</v>
      </c>
      <c r="Z353" s="8" t="str">
        <f>IFERROR(VLOOKUP(A353,Sheet3!B:H,7,false),VLOOKUP(J353,Sheet2!A:C,3,false))</f>
        <v>https://assets.roomstogo.com/product/tempur-pedic-adapt-20-medium-hybrid-twin-xl-mattress_50007472_alt-image-1</v>
      </c>
    </row>
    <row r="354">
      <c r="A354" s="4">
        <v>5.1307481E7</v>
      </c>
      <c r="B354" s="9">
        <v>1.0</v>
      </c>
      <c r="C354" s="9">
        <v>5.0</v>
      </c>
      <c r="D354" s="2" t="s">
        <v>71</v>
      </c>
      <c r="E354" s="2" t="s">
        <v>44</v>
      </c>
      <c r="F354" s="2" t="s">
        <v>72</v>
      </c>
      <c r="G354" s="9">
        <v>245.0</v>
      </c>
      <c r="H354" s="9">
        <v>4.62</v>
      </c>
      <c r="I354" s="9">
        <v>244.0</v>
      </c>
      <c r="J354" s="1" t="s">
        <v>73</v>
      </c>
      <c r="K354" s="1" t="s">
        <v>771</v>
      </c>
      <c r="L354" s="6">
        <v>2899.0</v>
      </c>
      <c r="M354" s="6">
        <v>2899.0</v>
      </c>
      <c r="N354" s="1" t="s">
        <v>64</v>
      </c>
      <c r="O354" s="7"/>
      <c r="P354" s="1" t="s">
        <v>75</v>
      </c>
      <c r="Q354" s="1" t="s">
        <v>31</v>
      </c>
      <c r="R354" s="1" t="s">
        <v>710</v>
      </c>
      <c r="S354" s="1" t="s">
        <v>33</v>
      </c>
      <c r="T354" s="1" t="s">
        <v>42</v>
      </c>
      <c r="U354" s="1" t="s">
        <v>76</v>
      </c>
      <c r="V354" s="1" t="s">
        <v>50</v>
      </c>
      <c r="W354" s="1" t="s">
        <v>42</v>
      </c>
      <c r="X354" s="1" t="s">
        <v>77</v>
      </c>
      <c r="Y354" s="8" t="str">
        <f>IFERROR(VLOOKUP(A354,Sheet3!B:H,6,false),VLOOKUP(J354,Sheet2!A:C,2,false))</f>
        <v>https://assets.roomstogo.com/product/tempur-pedic-proadapt-20-firm-twin-xl-mattress_50007484_image-item</v>
      </c>
      <c r="Z354" s="8" t="str">
        <f>IFERROR(VLOOKUP(A354,Sheet3!B:H,7,false),VLOOKUP(J354,Sheet2!A:C,3,false))</f>
        <v>https://assets.roomstogo.com/product/tempur-pedic-proadapt-20-firm-twin-xl-mattress_50007484_alt-image-1</v>
      </c>
    </row>
    <row r="355">
      <c r="A355" s="4">
        <v>5.1307518E7</v>
      </c>
      <c r="B355" s="5"/>
      <c r="C355" s="5"/>
      <c r="D355" s="5"/>
      <c r="E355" s="5"/>
      <c r="F355" s="5"/>
      <c r="G355" s="5"/>
      <c r="H355" s="5"/>
      <c r="I355" s="5"/>
      <c r="J355" s="1" t="s">
        <v>80</v>
      </c>
      <c r="K355" s="1" t="s">
        <v>772</v>
      </c>
      <c r="L355" s="6">
        <v>3899.0</v>
      </c>
      <c r="M355" s="6">
        <v>3899.0</v>
      </c>
      <c r="N355" s="1" t="s">
        <v>64</v>
      </c>
      <c r="O355" s="7"/>
      <c r="P355" s="1" t="s">
        <v>82</v>
      </c>
      <c r="Q355" s="1" t="s">
        <v>31</v>
      </c>
      <c r="R355" s="1" t="s">
        <v>710</v>
      </c>
      <c r="S355" s="1" t="s">
        <v>41</v>
      </c>
      <c r="T355" s="1" t="s">
        <v>42</v>
      </c>
      <c r="U355" s="1" t="s">
        <v>35</v>
      </c>
      <c r="V355" s="1" t="s">
        <v>50</v>
      </c>
      <c r="W355" s="1" t="s">
        <v>50</v>
      </c>
      <c r="X355" s="1" t="s">
        <v>37</v>
      </c>
      <c r="Y355" s="8" t="str">
        <f>IFERROR(VLOOKUP(A355,Sheet3!B:H,6,false),VLOOKUP(J355,Sheet2!A:C,2,false))</f>
        <v>https://assets.roomstogo.com/product/tempur-pedic-probreeze-20-medium-hybrid-twin-xl-mattress_50007511_image-item</v>
      </c>
      <c r="Z355" s="8" t="str">
        <f>IFERROR(VLOOKUP(A355,Sheet3!B:H,7,false),VLOOKUP(J355,Sheet2!A:C,3,false))</f>
        <v>https://assets.roomstogo.com/product/tempur-pedic-probreeze-20-medium-hybrid-twin-xl-mattress_50007511_image-item</v>
      </c>
    </row>
    <row r="356">
      <c r="A356" s="4">
        <v>5.130752E7</v>
      </c>
      <c r="B356" s="5"/>
      <c r="C356" s="5"/>
      <c r="D356" s="5"/>
      <c r="E356" s="5"/>
      <c r="F356" s="5"/>
      <c r="G356" s="5"/>
      <c r="H356" s="5"/>
      <c r="I356" s="5"/>
      <c r="J356" s="1" t="s">
        <v>85</v>
      </c>
      <c r="K356" s="1" t="s">
        <v>773</v>
      </c>
      <c r="L356" s="6">
        <v>2899.0</v>
      </c>
      <c r="M356" s="6">
        <v>2899.0</v>
      </c>
      <c r="N356" s="1" t="s">
        <v>64</v>
      </c>
      <c r="O356" s="7"/>
      <c r="P356" s="1" t="s">
        <v>75</v>
      </c>
      <c r="Q356" s="1" t="s">
        <v>31</v>
      </c>
      <c r="R356" s="1" t="s">
        <v>710</v>
      </c>
      <c r="S356" s="1" t="s">
        <v>33</v>
      </c>
      <c r="T356" s="1" t="s">
        <v>42</v>
      </c>
      <c r="U356" s="1" t="s">
        <v>35</v>
      </c>
      <c r="V356" s="1" t="s">
        <v>50</v>
      </c>
      <c r="W356" s="1" t="s">
        <v>42</v>
      </c>
      <c r="X356" s="1" t="s">
        <v>37</v>
      </c>
      <c r="Y356" s="8" t="str">
        <f>IFERROR(VLOOKUP(A356,Sheet3!B:H,6,false),VLOOKUP(J356,Sheet2!A:C,2,false))</f>
        <v>https://assets.roomstogo.com/product/tempur-pedic-proadapt-20-medium-twin-xl-mattress_50007523_image-item</v>
      </c>
      <c r="Z356" s="8" t="str">
        <f>IFERROR(VLOOKUP(A356,Sheet3!B:H,7,false),VLOOKUP(J356,Sheet2!A:C,3,false))</f>
        <v>https://assets.roomstogo.com/product/tempur-pedic-proadapt-20-medium-twin-xl-mattress_50007523_alt-image-1</v>
      </c>
    </row>
    <row r="357">
      <c r="A357" s="4">
        <v>5.1307532E7</v>
      </c>
      <c r="B357" s="5"/>
      <c r="C357" s="5"/>
      <c r="D357" s="5"/>
      <c r="E357" s="5"/>
      <c r="F357" s="5"/>
      <c r="G357" s="5"/>
      <c r="H357" s="5"/>
      <c r="I357" s="5"/>
      <c r="J357" s="1" t="s">
        <v>89</v>
      </c>
      <c r="K357" s="1" t="s">
        <v>774</v>
      </c>
      <c r="L357" s="6">
        <v>2899.0</v>
      </c>
      <c r="M357" s="6">
        <v>2899.0</v>
      </c>
      <c r="N357" s="1" t="s">
        <v>64</v>
      </c>
      <c r="O357" s="7"/>
      <c r="P357" s="1" t="s">
        <v>91</v>
      </c>
      <c r="Q357" s="1" t="s">
        <v>31</v>
      </c>
      <c r="R357" s="1" t="s">
        <v>710</v>
      </c>
      <c r="S357" s="1" t="s">
        <v>33</v>
      </c>
      <c r="T357" s="1" t="s">
        <v>50</v>
      </c>
      <c r="U357" s="1" t="s">
        <v>49</v>
      </c>
      <c r="V357" s="1" t="s">
        <v>50</v>
      </c>
      <c r="W357" s="1" t="s">
        <v>42</v>
      </c>
      <c r="X357" s="1" t="s">
        <v>51</v>
      </c>
      <c r="Y357" s="8" t="str">
        <f>IFERROR(VLOOKUP(A357,Sheet3!B:H,6,false),VLOOKUP(J357,Sheet2!A:C,2,false))</f>
        <v>https://assets.roomstogo.com/product/tempur-pedic-proadapt-20-soft-twin-xl-mattress_50007535_image-item</v>
      </c>
      <c r="Z357" s="8" t="str">
        <f>IFERROR(VLOOKUP(A357,Sheet3!B:H,7,false),VLOOKUP(J357,Sheet2!A:C,3,false))</f>
        <v>https://assets.roomstogo.com/product/tempur-pedic-proadapt-20-soft-twin-xl-mattress_50007535_alt-image-1</v>
      </c>
    </row>
    <row r="358">
      <c r="A358" s="4">
        <v>5.1307556E7</v>
      </c>
      <c r="B358" s="9">
        <v>1.0</v>
      </c>
      <c r="C358" s="9">
        <v>5.0</v>
      </c>
      <c r="D358" s="2" t="s">
        <v>92</v>
      </c>
      <c r="E358" s="2" t="s">
        <v>44</v>
      </c>
      <c r="F358" s="2" t="s">
        <v>93</v>
      </c>
      <c r="G358" s="9">
        <v>975.0</v>
      </c>
      <c r="H358" s="9">
        <v>4.38</v>
      </c>
      <c r="I358" s="9">
        <v>974.0</v>
      </c>
      <c r="J358" s="1" t="s">
        <v>94</v>
      </c>
      <c r="K358" s="1" t="s">
        <v>775</v>
      </c>
      <c r="L358" s="6">
        <v>2899.0</v>
      </c>
      <c r="M358" s="6">
        <v>2899.0</v>
      </c>
      <c r="N358" s="1" t="s">
        <v>64</v>
      </c>
      <c r="O358" s="7"/>
      <c r="P358" s="1" t="s">
        <v>390</v>
      </c>
      <c r="Q358" s="1" t="s">
        <v>31</v>
      </c>
      <c r="R358" s="1" t="s">
        <v>710</v>
      </c>
      <c r="S358" s="1" t="s">
        <v>41</v>
      </c>
      <c r="T358" s="1" t="s">
        <v>42</v>
      </c>
      <c r="U358" s="1" t="s">
        <v>35</v>
      </c>
      <c r="V358" s="1" t="s">
        <v>50</v>
      </c>
      <c r="W358" s="1" t="s">
        <v>42</v>
      </c>
      <c r="X358" s="1" t="s">
        <v>37</v>
      </c>
      <c r="Y358" s="8" t="str">
        <f>IFERROR(VLOOKUP(A358,Sheet3!B:H,6,false),VLOOKUP(J358,Sheet2!A:C,2,false))</f>
        <v>https://assets.roomstogo.com/product/tempur-pedic-proadapt-20-medium-hybrid-twin-xl-mattress_50007559_image-item</v>
      </c>
      <c r="Z358" s="8" t="str">
        <f>IFERROR(VLOOKUP(A358,Sheet3!B:H,7,false),VLOOKUP(J358,Sheet2!A:C,3,false))</f>
        <v>https://assets.roomstogo.com/product/tempur-pedic-proadapt-20-medium-hybrid-twin-xl-mattress_50007559_alt-image-1</v>
      </c>
    </row>
    <row r="359">
      <c r="A359" s="4">
        <v>5.1307568E7</v>
      </c>
      <c r="B359" s="5"/>
      <c r="C359" s="5"/>
      <c r="D359" s="5"/>
      <c r="E359" s="5"/>
      <c r="F359" s="5"/>
      <c r="G359" s="5"/>
      <c r="H359" s="5"/>
      <c r="I359" s="5"/>
      <c r="J359" s="1" t="s">
        <v>99</v>
      </c>
      <c r="K359" s="1" t="s">
        <v>776</v>
      </c>
      <c r="L359" s="6">
        <v>4199.0</v>
      </c>
      <c r="M359" s="6">
        <v>4199.0</v>
      </c>
      <c r="N359" s="1" t="s">
        <v>64</v>
      </c>
      <c r="O359" s="7"/>
      <c r="P359" s="1" t="s">
        <v>101</v>
      </c>
      <c r="Q359" s="1" t="s">
        <v>31</v>
      </c>
      <c r="R359" s="1" t="s">
        <v>710</v>
      </c>
      <c r="S359" s="1" t="s">
        <v>33</v>
      </c>
      <c r="T359" s="1" t="s">
        <v>50</v>
      </c>
      <c r="U359" s="1" t="s">
        <v>49</v>
      </c>
      <c r="V359" s="1" t="s">
        <v>50</v>
      </c>
      <c r="W359" s="1" t="s">
        <v>42</v>
      </c>
      <c r="X359" s="1" t="s">
        <v>51</v>
      </c>
      <c r="Y359" s="8" t="str">
        <f>IFERROR(VLOOKUP(A359,Sheet3!B:H,6,false),VLOOKUP(J359,Sheet2!A:C,2,false))</f>
        <v>https://assets.roomstogo.com/product/tempur-pedic-luxeadapt-20-soft-twin-xl-mattress_50007561_image-item</v>
      </c>
      <c r="Z359" s="8" t="str">
        <f>IFERROR(VLOOKUP(A359,Sheet3!B:H,7,false),VLOOKUP(J359,Sheet2!A:C,3,false))</f>
        <v>https://assets.roomstogo.com/product/tempur-pedic-luxeadapt-20-soft-twin-xl-mattress_50007561_alt-image-1</v>
      </c>
    </row>
    <row r="360">
      <c r="A360" s="4">
        <v>5.1307621E7</v>
      </c>
      <c r="B360" s="5"/>
      <c r="C360" s="5"/>
      <c r="D360" s="5"/>
      <c r="E360" s="5"/>
      <c r="F360" s="5"/>
      <c r="G360" s="5"/>
      <c r="H360" s="5"/>
      <c r="I360" s="5"/>
      <c r="J360" s="1" t="s">
        <v>109</v>
      </c>
      <c r="K360" s="1" t="s">
        <v>777</v>
      </c>
      <c r="L360" s="6">
        <v>5199.0</v>
      </c>
      <c r="M360" s="6">
        <v>5199.0</v>
      </c>
      <c r="N360" s="1" t="s">
        <v>64</v>
      </c>
      <c r="O360" s="7"/>
      <c r="P360" s="1" t="s">
        <v>111</v>
      </c>
      <c r="Q360" s="1" t="s">
        <v>31</v>
      </c>
      <c r="R360" s="1" t="s">
        <v>710</v>
      </c>
      <c r="S360" s="1" t="s">
        <v>33</v>
      </c>
      <c r="T360" s="1" t="s">
        <v>50</v>
      </c>
      <c r="U360" s="1" t="s">
        <v>76</v>
      </c>
      <c r="V360" s="1" t="s">
        <v>50</v>
      </c>
      <c r="W360" s="1" t="s">
        <v>50</v>
      </c>
      <c r="X360" s="1" t="s">
        <v>77</v>
      </c>
      <c r="Y360" s="8" t="str">
        <f>IFERROR(VLOOKUP(A360,Sheet3!B:H,6,false),VLOOKUP(J360,Sheet2!A:C,2,false))</f>
        <v>https://assets.roomstogo.com/product/tempur-pedic-luxebreeze-20-firm-twin-xl-mattress_50007624_image-item</v>
      </c>
      <c r="Z360" s="8" t="str">
        <f>IFERROR(VLOOKUP(A360,Sheet3!B:H,7,false),VLOOKUP(J360,Sheet2!A:C,3,false))</f>
        <v>https://assets.roomstogo.com/product/tempur-pedic-luxebreeze-20-firm-twin-xl-mattress_50007624_image-item</v>
      </c>
    </row>
    <row r="361">
      <c r="A361" s="4">
        <v>5.1308166E7</v>
      </c>
      <c r="B361" s="5"/>
      <c r="C361" s="5"/>
      <c r="D361" s="5"/>
      <c r="E361" s="5"/>
      <c r="F361" s="5"/>
      <c r="G361" s="5"/>
      <c r="H361" s="5"/>
      <c r="I361" s="5"/>
      <c r="J361" s="1" t="s">
        <v>458</v>
      </c>
      <c r="K361" s="1" t="s">
        <v>778</v>
      </c>
      <c r="L361" s="6">
        <v>1599.0</v>
      </c>
      <c r="M361" s="6">
        <v>1599.0</v>
      </c>
      <c r="N361" s="1" t="s">
        <v>64</v>
      </c>
      <c r="O361" s="7"/>
      <c r="P361" s="1" t="s">
        <v>460</v>
      </c>
      <c r="Q361" s="1" t="s">
        <v>31</v>
      </c>
      <c r="R361" s="1" t="s">
        <v>710</v>
      </c>
      <c r="S361" s="7"/>
      <c r="T361" s="7"/>
      <c r="U361" s="7"/>
      <c r="V361" s="7"/>
      <c r="W361" s="7"/>
      <c r="X361" s="7"/>
      <c r="Y361" s="11" t="str">
        <f>IFERROR(VLOOKUP(A361,Sheet3!B:H,6,false),VLOOKUP(J361,Sheet2!A:C,2,false))</f>
        <v>#N/A</v>
      </c>
      <c r="Z361" s="11" t="str">
        <f>IFERROR(VLOOKUP(A361,Sheet3!B:H,7,false),VLOOKUP(J361,Sheet2!A:C,3,false))</f>
        <v>#N/A</v>
      </c>
    </row>
    <row r="362">
      <c r="A362" s="4">
        <v>5.130818E7</v>
      </c>
      <c r="B362" s="5"/>
      <c r="C362" s="5"/>
      <c r="D362" s="5"/>
      <c r="E362" s="5"/>
      <c r="F362" s="5"/>
      <c r="G362" s="5"/>
      <c r="H362" s="5"/>
      <c r="I362" s="5"/>
      <c r="J362" s="1" t="s">
        <v>463</v>
      </c>
      <c r="K362" s="1" t="s">
        <v>779</v>
      </c>
      <c r="L362" s="6">
        <v>2099.0</v>
      </c>
      <c r="M362" s="6">
        <v>2099.0</v>
      </c>
      <c r="N362" s="1" t="s">
        <v>64</v>
      </c>
      <c r="O362" s="7"/>
      <c r="P362" s="1" t="s">
        <v>465</v>
      </c>
      <c r="Q362" s="1" t="s">
        <v>31</v>
      </c>
      <c r="R362" s="1" t="s">
        <v>710</v>
      </c>
      <c r="S362" s="7"/>
      <c r="T362" s="7"/>
      <c r="U362" s="7"/>
      <c r="V362" s="7"/>
      <c r="W362" s="7"/>
      <c r="X362" s="7"/>
      <c r="Y362" s="11" t="str">
        <f>IFERROR(VLOOKUP(A362,Sheet3!B:H,6,false),VLOOKUP(J362,Sheet2!A:C,2,false))</f>
        <v>#N/A</v>
      </c>
      <c r="Z362" s="11" t="str">
        <f>IFERROR(VLOOKUP(A362,Sheet3!B:H,7,false),VLOOKUP(J362,Sheet2!A:C,3,false))</f>
        <v>#N/A</v>
      </c>
    </row>
    <row r="363">
      <c r="A363" s="4">
        <v>5.1308192E7</v>
      </c>
      <c r="B363" s="5"/>
      <c r="C363" s="5"/>
      <c r="D363" s="5"/>
      <c r="E363" s="5"/>
      <c r="F363" s="5"/>
      <c r="G363" s="5"/>
      <c r="H363" s="5"/>
      <c r="I363" s="5"/>
      <c r="J363" s="1" t="s">
        <v>549</v>
      </c>
      <c r="K363" s="1" t="s">
        <v>780</v>
      </c>
      <c r="L363" s="6">
        <v>2599.0</v>
      </c>
      <c r="M363" s="6">
        <v>2599.0</v>
      </c>
      <c r="N363" s="1" t="s">
        <v>64</v>
      </c>
      <c r="O363" s="7"/>
      <c r="P363" s="1" t="s">
        <v>551</v>
      </c>
      <c r="Q363" s="1" t="s">
        <v>31</v>
      </c>
      <c r="R363" s="1" t="s">
        <v>710</v>
      </c>
      <c r="S363" s="7"/>
      <c r="T363" s="7"/>
      <c r="U363" s="7"/>
      <c r="V363" s="7"/>
      <c r="W363" s="7"/>
      <c r="X363" s="7"/>
      <c r="Y363" s="11" t="str">
        <f>IFERROR(VLOOKUP(A363,Sheet3!B:H,6,false),VLOOKUP(J363,Sheet2!A:C,2,false))</f>
        <v>#N/A</v>
      </c>
      <c r="Z363" s="11" t="str">
        <f>IFERROR(VLOOKUP(A363,Sheet3!B:H,7,false),VLOOKUP(J363,Sheet2!A:C,3,false))</f>
        <v>#N/A</v>
      </c>
    </row>
    <row r="364">
      <c r="A364" s="4">
        <v>5.13186E7</v>
      </c>
      <c r="B364" s="5"/>
      <c r="C364" s="5"/>
      <c r="D364" s="5"/>
      <c r="E364" s="5"/>
      <c r="F364" s="5"/>
      <c r="G364" s="5"/>
      <c r="H364" s="5"/>
      <c r="I364" s="5"/>
      <c r="J364" s="1" t="s">
        <v>369</v>
      </c>
      <c r="K364" s="1" t="s">
        <v>781</v>
      </c>
      <c r="L364" s="6">
        <v>899.0</v>
      </c>
      <c r="M364" s="6">
        <v>899.0</v>
      </c>
      <c r="N364" s="7"/>
      <c r="O364" s="7"/>
      <c r="P364" s="1" t="s">
        <v>371</v>
      </c>
      <c r="Q364" s="1" t="s">
        <v>31</v>
      </c>
      <c r="R364" s="1" t="s">
        <v>710</v>
      </c>
      <c r="S364" s="7"/>
      <c r="T364" s="7"/>
      <c r="U364" s="7"/>
      <c r="V364" s="7"/>
      <c r="W364" s="7"/>
      <c r="X364" s="7"/>
      <c r="Y364" s="11" t="str">
        <f>IFERROR(VLOOKUP(A364,Sheet3!B:H,6,false),VLOOKUP(J364,Sheet2!A:C,2,false))</f>
        <v>#N/A</v>
      </c>
      <c r="Z364" s="11" t="str">
        <f>IFERROR(VLOOKUP(A364,Sheet3!B:H,7,false),VLOOKUP(J364,Sheet2!A:C,3,false))</f>
        <v>#N/A</v>
      </c>
    </row>
    <row r="365">
      <c r="A365" s="4">
        <v>5.1337054E7</v>
      </c>
      <c r="B365" s="5"/>
      <c r="C365" s="5"/>
      <c r="D365" s="5"/>
      <c r="E365" s="5"/>
      <c r="F365" s="5"/>
      <c r="G365" s="5"/>
      <c r="H365" s="5"/>
      <c r="I365" s="5"/>
      <c r="J365" s="1" t="s">
        <v>203</v>
      </c>
      <c r="K365" s="1" t="s">
        <v>782</v>
      </c>
      <c r="L365" s="6">
        <v>1549.0</v>
      </c>
      <c r="M365" s="6">
        <v>1549.0</v>
      </c>
      <c r="N365" s="1" t="s">
        <v>205</v>
      </c>
      <c r="O365" s="7"/>
      <c r="P365" s="1" t="s">
        <v>206</v>
      </c>
      <c r="Q365" s="1" t="s">
        <v>31</v>
      </c>
      <c r="R365" s="1" t="s">
        <v>710</v>
      </c>
      <c r="S365" s="1" t="s">
        <v>59</v>
      </c>
      <c r="T365" s="1" t="s">
        <v>34</v>
      </c>
      <c r="U365" s="1" t="s">
        <v>76</v>
      </c>
      <c r="V365" s="1" t="s">
        <v>50</v>
      </c>
      <c r="W365" s="1" t="s">
        <v>42</v>
      </c>
      <c r="X365" s="1" t="s">
        <v>144</v>
      </c>
      <c r="Y365" s="8" t="str">
        <f>IFERROR(VLOOKUP(A365,Sheet3!B:H,6,false),VLOOKUP(J365,Sheet2!A:C,2,false))</f>
        <v>https://assets.roomstogo.com/product/beautyrest-black-series-one-extra-firm-twin-xl-mattress_50037057_image-item</v>
      </c>
      <c r="Z365" s="8" t="str">
        <f>IFERROR(VLOOKUP(A365,Sheet3!B:H,7,false),VLOOKUP(J365,Sheet2!A:C,3,false))</f>
        <v>https://assets.roomstogo.com/product/beautyrest-black-series-one-extra-firm-twin-xl-mattress_50037057_alt-image-1</v>
      </c>
    </row>
    <row r="366">
      <c r="A366" s="4">
        <v>5.133722E7</v>
      </c>
      <c r="B366" s="5"/>
      <c r="C366" s="5"/>
      <c r="D366" s="5"/>
      <c r="E366" s="5"/>
      <c r="F366" s="5"/>
      <c r="G366" s="5"/>
      <c r="H366" s="5"/>
      <c r="I366" s="5"/>
      <c r="J366" s="1" t="s">
        <v>214</v>
      </c>
      <c r="K366" s="1" t="s">
        <v>783</v>
      </c>
      <c r="L366" s="6">
        <v>3649.0</v>
      </c>
      <c r="M366" s="6">
        <v>3649.0</v>
      </c>
      <c r="N366" s="1" t="s">
        <v>205</v>
      </c>
      <c r="O366" s="7"/>
      <c r="P366" s="1" t="s">
        <v>216</v>
      </c>
      <c r="Q366" s="1" t="s">
        <v>31</v>
      </c>
      <c r="R366" s="1" t="s">
        <v>710</v>
      </c>
      <c r="S366" s="1" t="s">
        <v>59</v>
      </c>
      <c r="T366" s="1" t="s">
        <v>50</v>
      </c>
      <c r="U366" s="1" t="s">
        <v>49</v>
      </c>
      <c r="V366" s="1" t="s">
        <v>50</v>
      </c>
      <c r="W366" s="1" t="s">
        <v>42</v>
      </c>
      <c r="X366" s="1" t="s">
        <v>51</v>
      </c>
      <c r="Y366" s="8" t="str">
        <f>IFERROR(VLOOKUP(A366,Sheet3!B:H,6,false),VLOOKUP(J366,Sheet2!A:C,2,false))</f>
        <v>https://assets.roomstogo.com/product/beautyrest-black-series-three-plush-pillow-top-twin-xl-mattress_50037223_image-item</v>
      </c>
      <c r="Z366" s="8" t="str">
        <f>IFERROR(VLOOKUP(A366,Sheet3!B:H,7,false),VLOOKUP(J366,Sheet2!A:C,3,false))</f>
        <v>https://assets.roomstogo.com/product/beautyrest-black-series-three-plush-pillow-top-twin-xl-mattress_50037223_alt-image-1</v>
      </c>
    </row>
    <row r="367">
      <c r="A367" s="4">
        <v>5.1348033E7</v>
      </c>
      <c r="B367" s="5"/>
      <c r="C367" s="5"/>
      <c r="D367" s="5"/>
      <c r="E367" s="5"/>
      <c r="F367" s="5"/>
      <c r="G367" s="5"/>
      <c r="H367" s="5"/>
      <c r="I367" s="5"/>
      <c r="J367" s="1" t="s">
        <v>219</v>
      </c>
      <c r="K367" s="1" t="s">
        <v>784</v>
      </c>
      <c r="L367" s="6">
        <v>2099.0</v>
      </c>
      <c r="M367" s="6">
        <v>2299.0</v>
      </c>
      <c r="N367" s="1" t="s">
        <v>221</v>
      </c>
      <c r="O367" s="7"/>
      <c r="P367" s="7"/>
      <c r="Q367" s="7"/>
      <c r="R367" s="1" t="s">
        <v>710</v>
      </c>
      <c r="S367" s="1" t="s">
        <v>59</v>
      </c>
      <c r="T367" s="1" t="s">
        <v>42</v>
      </c>
      <c r="U367" s="1" t="s">
        <v>76</v>
      </c>
      <c r="V367" s="1" t="s">
        <v>34</v>
      </c>
      <c r="W367" s="1" t="s">
        <v>34</v>
      </c>
      <c r="X367" s="1" t="s">
        <v>77</v>
      </c>
      <c r="Y367" s="8" t="str">
        <f>IFERROR(VLOOKUP(A367,Sheet3!B:H,6,false),VLOOKUP(J367,Sheet2!A:C,2,false))</f>
        <v>https://assets.roomstogo.com/product/stearns-and-foster-estate-firm-tight-top-twin-xl-mattress_50048036_image-item</v>
      </c>
      <c r="Z367" s="8" t="str">
        <f>IFERROR(VLOOKUP(A367,Sheet3!B:H,7,false),VLOOKUP(J367,Sheet2!A:C,3,false))</f>
        <v>https://assets.roomstogo.com/product/stearns-and-foster-estate-firm-tight-top-twin-xl-mattress_50048036_alt-image-1</v>
      </c>
    </row>
    <row r="368">
      <c r="A368" s="4">
        <v>5.150816E7</v>
      </c>
      <c r="B368" s="9">
        <v>1.0</v>
      </c>
      <c r="C368" s="9">
        <v>5.0</v>
      </c>
      <c r="D368" s="2" t="s">
        <v>785</v>
      </c>
      <c r="E368" s="2" t="s">
        <v>786</v>
      </c>
      <c r="F368" s="2" t="s">
        <v>457</v>
      </c>
      <c r="G368" s="9">
        <v>1.0</v>
      </c>
      <c r="H368" s="9">
        <v>5.0</v>
      </c>
      <c r="I368" s="9">
        <v>0.0</v>
      </c>
      <c r="J368" s="1" t="s">
        <v>458</v>
      </c>
      <c r="K368" s="1" t="s">
        <v>787</v>
      </c>
      <c r="L368" s="6">
        <v>2399.0</v>
      </c>
      <c r="M368" s="6">
        <v>2399.0</v>
      </c>
      <c r="N368" s="1" t="s">
        <v>64</v>
      </c>
      <c r="O368" s="7"/>
      <c r="P368" s="1" t="s">
        <v>460</v>
      </c>
      <c r="Q368" s="1" t="s">
        <v>31</v>
      </c>
      <c r="R368" s="1" t="s">
        <v>670</v>
      </c>
      <c r="S368" s="7"/>
      <c r="T368" s="7"/>
      <c r="U368" s="7"/>
      <c r="V368" s="7"/>
      <c r="W368" s="7"/>
      <c r="X368" s="7"/>
      <c r="Y368" s="11" t="str">
        <f>IFERROR(VLOOKUP(A368,Sheet3!B:H,6,false),VLOOKUP(J368,Sheet2!A:C,2,false))</f>
        <v>#N/A</v>
      </c>
      <c r="Z368" s="11" t="str">
        <f>IFERROR(VLOOKUP(A368,Sheet3!B:H,7,false),VLOOKUP(J368,Sheet2!A:C,3,false))</f>
        <v>#N/A</v>
      </c>
    </row>
    <row r="369">
      <c r="A369" s="4">
        <v>5.1508184E7</v>
      </c>
      <c r="B369" s="5"/>
      <c r="C369" s="5"/>
      <c r="D369" s="5"/>
      <c r="E369" s="5"/>
      <c r="F369" s="5"/>
      <c r="G369" s="5"/>
      <c r="H369" s="5"/>
      <c r="I369" s="5"/>
      <c r="J369" s="1" t="s">
        <v>463</v>
      </c>
      <c r="K369" s="1" t="s">
        <v>788</v>
      </c>
      <c r="L369" s="6">
        <v>2899.0</v>
      </c>
      <c r="M369" s="6">
        <v>2899.0</v>
      </c>
      <c r="N369" s="1" t="s">
        <v>64</v>
      </c>
      <c r="O369" s="7"/>
      <c r="P369" s="1" t="s">
        <v>465</v>
      </c>
      <c r="Q369" s="1" t="s">
        <v>31</v>
      </c>
      <c r="R369" s="1" t="s">
        <v>670</v>
      </c>
      <c r="S369" s="7"/>
      <c r="T369" s="7"/>
      <c r="U369" s="7"/>
      <c r="V369" s="7"/>
      <c r="W369" s="7"/>
      <c r="X369" s="7"/>
      <c r="Y369" s="11" t="str">
        <f>IFERROR(VLOOKUP(A369,Sheet3!B:H,6,false),VLOOKUP(J369,Sheet2!A:C,2,false))</f>
        <v>#N/A</v>
      </c>
      <c r="Z369" s="11" t="str">
        <f>IFERROR(VLOOKUP(A369,Sheet3!B:H,7,false),VLOOKUP(J369,Sheet2!A:C,3,false))</f>
        <v>#N/A</v>
      </c>
    </row>
    <row r="370">
      <c r="A370" s="4">
        <v>5.1508196E7</v>
      </c>
      <c r="B370" s="5"/>
      <c r="C370" s="5"/>
      <c r="D370" s="5"/>
      <c r="E370" s="5"/>
      <c r="F370" s="5"/>
      <c r="G370" s="5"/>
      <c r="H370" s="5"/>
      <c r="I370" s="5"/>
      <c r="J370" s="1" t="s">
        <v>549</v>
      </c>
      <c r="K370" s="1" t="s">
        <v>789</v>
      </c>
      <c r="L370" s="6">
        <v>3399.0</v>
      </c>
      <c r="M370" s="6">
        <v>3399.0</v>
      </c>
      <c r="N370" s="1" t="s">
        <v>64</v>
      </c>
      <c r="O370" s="7"/>
      <c r="P370" s="1" t="s">
        <v>551</v>
      </c>
      <c r="Q370" s="1" t="s">
        <v>31</v>
      </c>
      <c r="R370" s="1" t="s">
        <v>670</v>
      </c>
      <c r="S370" s="7"/>
      <c r="T370" s="7"/>
      <c r="U370" s="7"/>
      <c r="V370" s="7"/>
      <c r="W370" s="7"/>
      <c r="X370" s="7"/>
      <c r="Y370" s="11" t="str">
        <f>IFERROR(VLOOKUP(A370,Sheet3!B:H,6,false),VLOOKUP(J370,Sheet2!A:C,2,false))</f>
        <v>#N/A</v>
      </c>
      <c r="Z370" s="11" t="str">
        <f>IFERROR(VLOOKUP(A370,Sheet3!B:H,7,false),VLOOKUP(J370,Sheet2!A:C,3,false))</f>
        <v>#N/A</v>
      </c>
    </row>
    <row r="371">
      <c r="A371" s="4">
        <v>5.1518604E7</v>
      </c>
      <c r="B371" s="5"/>
      <c r="C371" s="5"/>
      <c r="D371" s="5"/>
      <c r="E371" s="5"/>
      <c r="F371" s="5"/>
      <c r="G371" s="5"/>
      <c r="H371" s="5"/>
      <c r="I371" s="5"/>
      <c r="J371" s="1" t="s">
        <v>369</v>
      </c>
      <c r="K371" s="1" t="s">
        <v>790</v>
      </c>
      <c r="L371" s="6">
        <v>1499.0</v>
      </c>
      <c r="M371" s="6">
        <v>1499.0</v>
      </c>
      <c r="N371" s="1" t="s">
        <v>468</v>
      </c>
      <c r="O371" s="7"/>
      <c r="P371" s="1" t="s">
        <v>791</v>
      </c>
      <c r="Q371" s="1" t="s">
        <v>31</v>
      </c>
      <c r="R371" s="1" t="s">
        <v>670</v>
      </c>
      <c r="S371" s="7"/>
      <c r="T371" s="7"/>
      <c r="U371" s="7"/>
      <c r="V371" s="7"/>
      <c r="W371" s="7"/>
      <c r="X371" s="7"/>
      <c r="Y371" s="11" t="str">
        <f>IFERROR(VLOOKUP(A371,Sheet3!B:H,6,false),VLOOKUP(J371,Sheet2!A:C,2,false))</f>
        <v>#N/A</v>
      </c>
      <c r="Z371" s="11" t="str">
        <f>IFERROR(VLOOKUP(A371,Sheet3!B:H,7,false),VLOOKUP(J371,Sheet2!A:C,3,false))</f>
        <v>#N/A</v>
      </c>
    </row>
    <row r="372">
      <c r="A372" s="4">
        <v>5.1707629E7</v>
      </c>
      <c r="B372" s="5"/>
      <c r="C372" s="5"/>
      <c r="D372" s="5"/>
      <c r="E372" s="5"/>
      <c r="F372" s="5"/>
      <c r="G372" s="5"/>
      <c r="H372" s="5"/>
      <c r="I372" s="5"/>
      <c r="J372" s="1" t="s">
        <v>109</v>
      </c>
      <c r="K372" s="1" t="s">
        <v>792</v>
      </c>
      <c r="L372" s="6">
        <v>10398.0</v>
      </c>
      <c r="M372" s="6">
        <v>10398.0</v>
      </c>
      <c r="N372" s="1" t="s">
        <v>64</v>
      </c>
      <c r="O372" s="7"/>
      <c r="P372" s="7"/>
      <c r="Q372" s="1" t="s">
        <v>31</v>
      </c>
      <c r="R372" s="1" t="s">
        <v>697</v>
      </c>
      <c r="S372" s="1" t="s">
        <v>33</v>
      </c>
      <c r="T372" s="1" t="s">
        <v>50</v>
      </c>
      <c r="U372" s="1" t="s">
        <v>76</v>
      </c>
      <c r="V372" s="1" t="s">
        <v>50</v>
      </c>
      <c r="W372" s="1" t="s">
        <v>50</v>
      </c>
      <c r="X372" s="1" t="s">
        <v>77</v>
      </c>
      <c r="Y372" s="8" t="str">
        <f>IFERROR(VLOOKUP(A372,Sheet3!B:H,6,false),VLOOKUP(J372,Sheet2!A:C,2,false))</f>
        <v>https://assets.roomstogo.com/product/tempur-pedic-luxebreeze-20-firm-twin-xl-mattress_50007624_image-item</v>
      </c>
      <c r="Z372" s="8" t="str">
        <f>IFERROR(VLOOKUP(A372,Sheet3!B:H,7,false),VLOOKUP(J372,Sheet2!A:C,3,false))</f>
        <v>https://assets.roomstogo.com/product/tempur-pedic-luxebreeze-20-firm-twin-xl-mattress_50007624_image-item</v>
      </c>
    </row>
    <row r="373">
      <c r="A373" s="4">
        <v>5.990016E7</v>
      </c>
      <c r="B373" s="9">
        <v>22.0</v>
      </c>
      <c r="C373" s="9">
        <v>3.64</v>
      </c>
      <c r="D373" s="2" t="s">
        <v>793</v>
      </c>
      <c r="E373" s="2" t="s">
        <v>794</v>
      </c>
      <c r="F373" s="2" t="s">
        <v>795</v>
      </c>
      <c r="G373" s="9">
        <v>31.0</v>
      </c>
      <c r="H373" s="9">
        <v>4.0</v>
      </c>
      <c r="I373" s="9">
        <v>9.0</v>
      </c>
      <c r="J373" s="1" t="s">
        <v>796</v>
      </c>
      <c r="K373" s="1" t="s">
        <v>797</v>
      </c>
      <c r="L373" s="6">
        <v>199.99</v>
      </c>
      <c r="M373" s="6">
        <v>199.99</v>
      </c>
      <c r="N373" s="1" t="s">
        <v>205</v>
      </c>
      <c r="O373" s="7"/>
      <c r="P373" s="1" t="s">
        <v>798</v>
      </c>
      <c r="Q373" s="1" t="s">
        <v>31</v>
      </c>
      <c r="R373" s="7"/>
      <c r="S373" s="7"/>
      <c r="T373" s="7"/>
      <c r="U373" s="7"/>
      <c r="V373" s="7"/>
      <c r="W373" s="7"/>
      <c r="X373" s="7"/>
      <c r="Y373" s="8" t="str">
        <f>IFERROR(VLOOKUP(A373,Sheet3!B:H,6,false),VLOOKUP(J373,Sheet2!A:C,2,false))</f>
        <v>https://www.beautyrest.com/adobe/assets/urn:aaid:aem:82e5d4d3-96f4-47c6-992a-ab9de4bfc48b/as/2504-BR-DeluxeDownAlt-Pillow-PDP-Loftvisuals.jpg</v>
      </c>
      <c r="Z373" s="8" t="str">
        <f>IFERROR(VLOOKUP(A373,Sheet3!B:H,7,false),VLOOKUP(J373,Sheet2!A:C,3,false))</f>
        <v>https://www.beautyrest.com/products/beautyrest-black-luxury-foam-pillow</v>
      </c>
    </row>
    <row r="374">
      <c r="A374" s="4">
        <v>5.9900172E7</v>
      </c>
      <c r="B374" s="9">
        <v>9.0</v>
      </c>
      <c r="C374" s="9">
        <v>4.89</v>
      </c>
      <c r="D374" s="2" t="s">
        <v>793</v>
      </c>
      <c r="E374" s="2" t="s">
        <v>794</v>
      </c>
      <c r="F374" s="2" t="s">
        <v>795</v>
      </c>
      <c r="G374" s="9">
        <v>31.0</v>
      </c>
      <c r="H374" s="9">
        <v>4.0</v>
      </c>
      <c r="I374" s="9">
        <v>22.0</v>
      </c>
      <c r="J374" s="1" t="s">
        <v>796</v>
      </c>
      <c r="K374" s="1" t="s">
        <v>799</v>
      </c>
      <c r="L374" s="6">
        <v>249.99</v>
      </c>
      <c r="M374" s="6">
        <v>249.99</v>
      </c>
      <c r="N374" s="1" t="s">
        <v>205</v>
      </c>
      <c r="O374" s="7"/>
      <c r="P374" s="1" t="s">
        <v>798</v>
      </c>
      <c r="Q374" s="1" t="s">
        <v>31</v>
      </c>
      <c r="R374" s="7"/>
      <c r="S374" s="7"/>
      <c r="T374" s="7"/>
      <c r="U374" s="7"/>
      <c r="V374" s="7"/>
      <c r="W374" s="7"/>
      <c r="X374" s="7"/>
      <c r="Y374" s="8" t="str">
        <f>IFERROR(VLOOKUP(A374,Sheet3!B:H,6,false),VLOOKUP(J374,Sheet2!A:C,2,false))</f>
        <v>https://www.beautyrest.com/adobe/assets/urn:aaid:aem:82e5d4d3-96f4-47c6-992a-ab9de4bfc48b/as/2504-BR-DeluxeDownAlt-Pillow-PDP-Loftvisuals.jpg</v>
      </c>
      <c r="Z374" s="8" t="str">
        <f>IFERROR(VLOOKUP(A374,Sheet3!B:H,7,false),VLOOKUP(J374,Sheet2!A:C,3,false))</f>
        <v>https://www.beautyrest.com/products/beautyrest-black-luxury-foam-pillow</v>
      </c>
    </row>
    <row r="375">
      <c r="A375" s="4">
        <v>5.9905716E7</v>
      </c>
      <c r="B375" s="5"/>
      <c r="C375" s="5"/>
      <c r="D375" s="5"/>
      <c r="E375" s="5"/>
      <c r="F375" s="5"/>
      <c r="G375" s="5"/>
      <c r="H375" s="5"/>
      <c r="I375" s="5"/>
      <c r="J375" s="1" t="s">
        <v>800</v>
      </c>
      <c r="K375" s="1" t="s">
        <v>801</v>
      </c>
      <c r="L375" s="6">
        <v>149.99</v>
      </c>
      <c r="M375" s="6">
        <v>149.99</v>
      </c>
      <c r="N375" s="1" t="s">
        <v>663</v>
      </c>
      <c r="O375" s="7"/>
      <c r="P375" s="7"/>
      <c r="Q375" s="1" t="s">
        <v>31</v>
      </c>
      <c r="R375" s="1" t="s">
        <v>470</v>
      </c>
      <c r="S375" s="7"/>
      <c r="T375" s="7"/>
      <c r="U375" s="7"/>
      <c r="V375" s="7"/>
      <c r="W375" s="7"/>
      <c r="X375" s="7"/>
      <c r="Y375" s="8" t="str">
        <f>IFERROR(VLOOKUP(A375,Sheet3!B:H,6,false),VLOOKUP(J375,Sheet2!A:C,2,false))</f>
        <v>https://bedgear.com/cdn/shop/files/ASPEN-PILLOW-01-Main_75db6ada-94b5-4d22-88a1-edf843444220.jpg</v>
      </c>
      <c r="Z375" s="8" t="str">
        <f>IFERROR(VLOOKUP(A375,Sheet3!B:H,7,false),VLOOKUP(J375,Sheet2!A:C,3,false))</f>
        <v>https://bedgear.com/products/aspen-performance-pillow</v>
      </c>
    </row>
    <row r="376">
      <c r="A376" s="4">
        <v>5.9905728E7</v>
      </c>
      <c r="B376" s="5"/>
      <c r="C376" s="5"/>
      <c r="D376" s="5"/>
      <c r="E376" s="5"/>
      <c r="F376" s="5"/>
      <c r="G376" s="5"/>
      <c r="H376" s="5"/>
      <c r="I376" s="5"/>
      <c r="J376" s="1" t="s">
        <v>800</v>
      </c>
      <c r="K376" s="1" t="s">
        <v>802</v>
      </c>
      <c r="L376" s="6">
        <v>149.99</v>
      </c>
      <c r="M376" s="6">
        <v>149.99</v>
      </c>
      <c r="N376" s="1" t="s">
        <v>663</v>
      </c>
      <c r="O376" s="7"/>
      <c r="P376" s="7"/>
      <c r="Q376" s="1" t="s">
        <v>31</v>
      </c>
      <c r="R376" s="1" t="s">
        <v>470</v>
      </c>
      <c r="S376" s="7"/>
      <c r="T376" s="7"/>
      <c r="U376" s="7"/>
      <c r="V376" s="7"/>
      <c r="W376" s="7"/>
      <c r="X376" s="7"/>
      <c r="Y376" s="8" t="str">
        <f>IFERROR(VLOOKUP(A376,Sheet3!B:H,6,false),VLOOKUP(J376,Sheet2!A:C,2,false))</f>
        <v>https://bedgear.com/cdn/shop/files/ASPEN-PILLOW-01-Main_75db6ada-94b5-4d22-88a1-edf843444220.jpg</v>
      </c>
      <c r="Z376" s="8" t="str">
        <f>IFERROR(VLOOKUP(A376,Sheet3!B:H,7,false),VLOOKUP(J376,Sheet2!A:C,3,false))</f>
        <v>https://bedgear.com/products/aspen-performance-pillow</v>
      </c>
    </row>
    <row r="377">
      <c r="A377" s="4">
        <v>5.990573E7</v>
      </c>
      <c r="B377" s="5"/>
      <c r="C377" s="5"/>
      <c r="D377" s="5"/>
      <c r="E377" s="5"/>
      <c r="F377" s="5"/>
      <c r="G377" s="5"/>
      <c r="H377" s="5"/>
      <c r="I377" s="5"/>
      <c r="J377" s="1" t="s">
        <v>800</v>
      </c>
      <c r="K377" s="1" t="s">
        <v>803</v>
      </c>
      <c r="L377" s="6">
        <v>149.99</v>
      </c>
      <c r="M377" s="6">
        <v>149.99</v>
      </c>
      <c r="N377" s="1" t="s">
        <v>663</v>
      </c>
      <c r="O377" s="7"/>
      <c r="P377" s="7"/>
      <c r="Q377" s="1" t="s">
        <v>31</v>
      </c>
      <c r="R377" s="1" t="s">
        <v>470</v>
      </c>
      <c r="S377" s="7"/>
      <c r="T377" s="7"/>
      <c r="U377" s="7"/>
      <c r="V377" s="7"/>
      <c r="W377" s="7"/>
      <c r="X377" s="7"/>
      <c r="Y377" s="8" t="str">
        <f>IFERROR(VLOOKUP(A377,Sheet3!B:H,6,false),VLOOKUP(J377,Sheet2!A:C,2,false))</f>
        <v>https://bedgear.com/cdn/shop/files/ASPEN-PILLOW-01-Main_75db6ada-94b5-4d22-88a1-edf843444220.jpg</v>
      </c>
      <c r="Z377" s="8" t="str">
        <f>IFERROR(VLOOKUP(A377,Sheet3!B:H,7,false),VLOOKUP(J377,Sheet2!A:C,3,false))</f>
        <v>https://bedgear.com/products/aspen-performance-pillow</v>
      </c>
    </row>
    <row r="378">
      <c r="A378" s="4">
        <v>5.9905742E7</v>
      </c>
      <c r="B378" s="9">
        <v>1.0</v>
      </c>
      <c r="C378" s="9">
        <v>5.0</v>
      </c>
      <c r="D378" s="2" t="s">
        <v>804</v>
      </c>
      <c r="E378" s="2" t="s">
        <v>794</v>
      </c>
      <c r="F378" s="2" t="s">
        <v>805</v>
      </c>
      <c r="G378" s="9">
        <v>2.0</v>
      </c>
      <c r="H378" s="9">
        <v>5.0</v>
      </c>
      <c r="I378" s="9">
        <v>1.0</v>
      </c>
      <c r="J378" s="1" t="s">
        <v>800</v>
      </c>
      <c r="K378" s="1" t="s">
        <v>806</v>
      </c>
      <c r="L378" s="6">
        <v>149.99</v>
      </c>
      <c r="M378" s="6">
        <v>149.99</v>
      </c>
      <c r="N378" s="1" t="s">
        <v>663</v>
      </c>
      <c r="O378" s="7"/>
      <c r="P378" s="7"/>
      <c r="Q378" s="1" t="s">
        <v>31</v>
      </c>
      <c r="R378" s="1" t="s">
        <v>470</v>
      </c>
      <c r="S378" s="7"/>
      <c r="T378" s="7"/>
      <c r="U378" s="7"/>
      <c r="V378" s="7"/>
      <c r="W378" s="7"/>
      <c r="X378" s="7"/>
      <c r="Y378" s="8" t="str">
        <f>IFERROR(VLOOKUP(A378,Sheet3!B:H,6,false),VLOOKUP(J378,Sheet2!A:C,2,false))</f>
        <v>https://bedgear.com/cdn/shop/files/ASPEN-PILLOW-01-Main_75db6ada-94b5-4d22-88a1-edf843444220.jpg</v>
      </c>
      <c r="Z378" s="8" t="str">
        <f>IFERROR(VLOOKUP(A378,Sheet3!B:H,7,false),VLOOKUP(J378,Sheet2!A:C,3,false))</f>
        <v>https://bedgear.com/products/aspen-performance-pillow</v>
      </c>
    </row>
    <row r="379">
      <c r="A379" s="4">
        <v>5.9905754E7</v>
      </c>
      <c r="B379" s="5"/>
      <c r="C379" s="5"/>
      <c r="D379" s="5"/>
      <c r="E379" s="5"/>
      <c r="F379" s="5"/>
      <c r="G379" s="5"/>
      <c r="H379" s="5"/>
      <c r="I379" s="5"/>
      <c r="J379" s="1" t="s">
        <v>800</v>
      </c>
      <c r="K379" s="1" t="s">
        <v>807</v>
      </c>
      <c r="L379" s="6">
        <v>199.99</v>
      </c>
      <c r="M379" s="6">
        <v>199.99</v>
      </c>
      <c r="N379" s="1" t="s">
        <v>663</v>
      </c>
      <c r="O379" s="7"/>
      <c r="P379" s="7"/>
      <c r="Q379" s="1" t="s">
        <v>31</v>
      </c>
      <c r="R379" s="1" t="s">
        <v>568</v>
      </c>
      <c r="S379" s="7"/>
      <c r="T379" s="7"/>
      <c r="U379" s="7"/>
      <c r="V379" s="7"/>
      <c r="W379" s="7"/>
      <c r="X379" s="7"/>
      <c r="Y379" s="8" t="str">
        <f>IFERROR(VLOOKUP(A379,Sheet3!B:H,6,false),VLOOKUP(J379,Sheet2!A:C,2,false))</f>
        <v>https://bedgear.com/cdn/shop/files/ASPEN-PILLOW-01-Main_75db6ada-94b5-4d22-88a1-edf843444220.jpg</v>
      </c>
      <c r="Z379" s="8" t="str">
        <f>IFERROR(VLOOKUP(A379,Sheet3!B:H,7,false),VLOOKUP(J379,Sheet2!A:C,3,false))</f>
        <v>https://bedgear.com/products/aspen-performance-pillow</v>
      </c>
    </row>
    <row r="380">
      <c r="A380" s="4">
        <v>5.9905766E7</v>
      </c>
      <c r="B380" s="5"/>
      <c r="C380" s="5"/>
      <c r="D380" s="5"/>
      <c r="E380" s="5"/>
      <c r="F380" s="5"/>
      <c r="G380" s="5"/>
      <c r="H380" s="5"/>
      <c r="I380" s="5"/>
      <c r="J380" s="1" t="s">
        <v>800</v>
      </c>
      <c r="K380" s="1" t="s">
        <v>808</v>
      </c>
      <c r="L380" s="6">
        <v>199.99</v>
      </c>
      <c r="M380" s="6">
        <v>199.99</v>
      </c>
      <c r="N380" s="1" t="s">
        <v>663</v>
      </c>
      <c r="O380" s="7"/>
      <c r="P380" s="7"/>
      <c r="Q380" s="1" t="s">
        <v>31</v>
      </c>
      <c r="R380" s="1" t="s">
        <v>568</v>
      </c>
      <c r="S380" s="7"/>
      <c r="T380" s="7"/>
      <c r="U380" s="7"/>
      <c r="V380" s="7"/>
      <c r="W380" s="7"/>
      <c r="X380" s="7"/>
      <c r="Y380" s="8" t="str">
        <f>IFERROR(VLOOKUP(A380,Sheet3!B:H,6,false),VLOOKUP(J380,Sheet2!A:C,2,false))</f>
        <v>https://bedgear.com/cdn/shop/files/ASPEN-PILLOW-01-Main_75db6ada-94b5-4d22-88a1-edf843444220.jpg</v>
      </c>
      <c r="Z380" s="8" t="str">
        <f>IFERROR(VLOOKUP(A380,Sheet3!B:H,7,false),VLOOKUP(J380,Sheet2!A:C,3,false))</f>
        <v>https://bedgear.com/products/aspen-performance-pillow</v>
      </c>
    </row>
    <row r="381">
      <c r="A381" s="4">
        <v>5.9905778E7</v>
      </c>
      <c r="B381" s="5"/>
      <c r="C381" s="5"/>
      <c r="D381" s="5"/>
      <c r="E381" s="5"/>
      <c r="F381" s="5"/>
      <c r="G381" s="5"/>
      <c r="H381" s="5"/>
      <c r="I381" s="5"/>
      <c r="J381" s="1" t="s">
        <v>800</v>
      </c>
      <c r="K381" s="1" t="s">
        <v>809</v>
      </c>
      <c r="L381" s="6">
        <v>199.99</v>
      </c>
      <c r="M381" s="6">
        <v>199.99</v>
      </c>
      <c r="N381" s="1" t="s">
        <v>663</v>
      </c>
      <c r="O381" s="7"/>
      <c r="P381" s="7"/>
      <c r="Q381" s="1" t="s">
        <v>31</v>
      </c>
      <c r="R381" s="1" t="s">
        <v>568</v>
      </c>
      <c r="S381" s="7"/>
      <c r="T381" s="7"/>
      <c r="U381" s="7"/>
      <c r="V381" s="7"/>
      <c r="W381" s="7"/>
      <c r="X381" s="7"/>
      <c r="Y381" s="8" t="str">
        <f>IFERROR(VLOOKUP(A381,Sheet3!B:H,6,false),VLOOKUP(J381,Sheet2!A:C,2,false))</f>
        <v>https://bedgear.com/cdn/shop/files/ASPEN-PILLOW-01-Main_75db6ada-94b5-4d22-88a1-edf843444220.jpg</v>
      </c>
      <c r="Z381" s="8" t="str">
        <f>IFERROR(VLOOKUP(A381,Sheet3!B:H,7,false),VLOOKUP(J381,Sheet2!A:C,3,false))</f>
        <v>https://bedgear.com/products/aspen-performance-pillow</v>
      </c>
    </row>
    <row r="382">
      <c r="A382" s="4">
        <v>5.990578E7</v>
      </c>
      <c r="B382" s="9">
        <v>1.0</v>
      </c>
      <c r="C382" s="9">
        <v>5.0</v>
      </c>
      <c r="D382" s="2" t="s">
        <v>804</v>
      </c>
      <c r="E382" s="2" t="s">
        <v>794</v>
      </c>
      <c r="F382" s="2" t="s">
        <v>805</v>
      </c>
      <c r="G382" s="9">
        <v>2.0</v>
      </c>
      <c r="H382" s="9">
        <v>5.0</v>
      </c>
      <c r="I382" s="9">
        <v>1.0</v>
      </c>
      <c r="J382" s="1" t="s">
        <v>800</v>
      </c>
      <c r="K382" s="1" t="s">
        <v>810</v>
      </c>
      <c r="L382" s="6">
        <v>199.99</v>
      </c>
      <c r="M382" s="6">
        <v>199.99</v>
      </c>
      <c r="N382" s="1" t="s">
        <v>663</v>
      </c>
      <c r="O382" s="7"/>
      <c r="P382" s="7"/>
      <c r="Q382" s="1" t="s">
        <v>31</v>
      </c>
      <c r="R382" s="1" t="s">
        <v>568</v>
      </c>
      <c r="S382" s="7"/>
      <c r="T382" s="7"/>
      <c r="U382" s="7"/>
      <c r="V382" s="7"/>
      <c r="W382" s="7"/>
      <c r="X382" s="7"/>
      <c r="Y382" s="8" t="str">
        <f>IFERROR(VLOOKUP(A382,Sheet3!B:H,6,false),VLOOKUP(J382,Sheet2!A:C,2,false))</f>
        <v>https://bedgear.com/cdn/shop/files/ASPEN-PILLOW-01-Main_75db6ada-94b5-4d22-88a1-edf843444220.jpg</v>
      </c>
      <c r="Z382" s="8" t="str">
        <f>IFERROR(VLOOKUP(A382,Sheet3!B:H,7,false),VLOOKUP(J382,Sheet2!A:C,3,false))</f>
        <v>https://bedgear.com/products/aspen-performance-pillow</v>
      </c>
    </row>
    <row r="383">
      <c r="A383" s="4">
        <v>5.9906314E7</v>
      </c>
      <c r="B383" s="9">
        <v>10.0</v>
      </c>
      <c r="C383" s="9">
        <v>3.6</v>
      </c>
      <c r="D383" s="2" t="s">
        <v>811</v>
      </c>
      <c r="E383" s="2" t="s">
        <v>794</v>
      </c>
      <c r="F383" s="2" t="s">
        <v>812</v>
      </c>
      <c r="G383" s="9">
        <v>341.0</v>
      </c>
      <c r="H383" s="9">
        <v>4.23</v>
      </c>
      <c r="I383" s="9">
        <v>331.0</v>
      </c>
      <c r="J383" s="1" t="s">
        <v>813</v>
      </c>
      <c r="K383" s="1" t="s">
        <v>814</v>
      </c>
      <c r="L383" s="6">
        <v>199.99</v>
      </c>
      <c r="M383" s="6">
        <v>199.99</v>
      </c>
      <c r="N383" s="1" t="s">
        <v>663</v>
      </c>
      <c r="O383" s="7"/>
      <c r="P383" s="1" t="s">
        <v>815</v>
      </c>
      <c r="Q383" s="1" t="s">
        <v>31</v>
      </c>
      <c r="R383" s="1" t="s">
        <v>470</v>
      </c>
      <c r="S383" s="7"/>
      <c r="T383" s="7"/>
      <c r="U383" s="7"/>
      <c r="V383" s="7"/>
      <c r="W383" s="7"/>
      <c r="X383" s="7"/>
      <c r="Y383" s="8" t="str">
        <f>IFERROR(VLOOKUP(A383,Sheet3!B:H,6,false),VLOOKUP(J383,Sheet2!A:C,2,false))</f>
        <v>https://bedgear.com/cdn/shop/files/01-STORM-1.0-ProductShot-Main_4039e18e-00ff-4c78-8705-b11a60a00744.jpg</v>
      </c>
      <c r="Z383" s="8" t="str">
        <f>IFERROR(VLOOKUP(A383,Sheet3!B:H,7,false),VLOOKUP(J383,Sheet2!A:C,3,false))</f>
        <v>https://bedgear.com/products/storm-performance-pillow</v>
      </c>
    </row>
    <row r="384">
      <c r="A384" s="4">
        <v>5.9906326E7</v>
      </c>
      <c r="B384" s="9">
        <v>15.0</v>
      </c>
      <c r="C384" s="9">
        <v>4.33</v>
      </c>
      <c r="D384" s="2" t="s">
        <v>811</v>
      </c>
      <c r="E384" s="2" t="s">
        <v>794</v>
      </c>
      <c r="F384" s="2" t="s">
        <v>812</v>
      </c>
      <c r="G384" s="9">
        <v>341.0</v>
      </c>
      <c r="H384" s="9">
        <v>4.23</v>
      </c>
      <c r="I384" s="9">
        <v>326.0</v>
      </c>
      <c r="J384" s="1" t="s">
        <v>813</v>
      </c>
      <c r="K384" s="1" t="s">
        <v>816</v>
      </c>
      <c r="L384" s="6">
        <v>199.99</v>
      </c>
      <c r="M384" s="6">
        <v>199.99</v>
      </c>
      <c r="N384" s="1" t="s">
        <v>663</v>
      </c>
      <c r="O384" s="7"/>
      <c r="P384" s="1" t="s">
        <v>815</v>
      </c>
      <c r="Q384" s="1" t="s">
        <v>31</v>
      </c>
      <c r="R384" s="1" t="s">
        <v>470</v>
      </c>
      <c r="S384" s="7"/>
      <c r="T384" s="7"/>
      <c r="U384" s="7"/>
      <c r="V384" s="7"/>
      <c r="W384" s="7"/>
      <c r="X384" s="7"/>
      <c r="Y384" s="8" t="str">
        <f>IFERROR(VLOOKUP(A384,Sheet3!B:H,6,false),VLOOKUP(J384,Sheet2!A:C,2,false))</f>
        <v>https://bedgear.com/cdn/shop/files/01-STORM-1.0-ProductShot-Main_4039e18e-00ff-4c78-8705-b11a60a00744.jpg</v>
      </c>
      <c r="Z384" s="8" t="str">
        <f>IFERROR(VLOOKUP(A384,Sheet3!B:H,7,false),VLOOKUP(J384,Sheet2!A:C,3,false))</f>
        <v>https://bedgear.com/products/storm-performance-pillow</v>
      </c>
    </row>
    <row r="385">
      <c r="A385" s="4">
        <v>5.9906338E7</v>
      </c>
      <c r="B385" s="9">
        <v>31.0</v>
      </c>
      <c r="C385" s="9">
        <v>3.65</v>
      </c>
      <c r="D385" s="2" t="s">
        <v>811</v>
      </c>
      <c r="E385" s="2" t="s">
        <v>794</v>
      </c>
      <c r="F385" s="2" t="s">
        <v>812</v>
      </c>
      <c r="G385" s="9">
        <v>341.0</v>
      </c>
      <c r="H385" s="9">
        <v>4.23</v>
      </c>
      <c r="I385" s="9">
        <v>310.0</v>
      </c>
      <c r="J385" s="1" t="s">
        <v>813</v>
      </c>
      <c r="K385" s="1" t="s">
        <v>817</v>
      </c>
      <c r="L385" s="6">
        <v>199.99</v>
      </c>
      <c r="M385" s="6">
        <v>199.99</v>
      </c>
      <c r="N385" s="1" t="s">
        <v>663</v>
      </c>
      <c r="O385" s="7"/>
      <c r="P385" s="1" t="s">
        <v>815</v>
      </c>
      <c r="Q385" s="1" t="s">
        <v>31</v>
      </c>
      <c r="R385" s="1" t="s">
        <v>470</v>
      </c>
      <c r="S385" s="7"/>
      <c r="T385" s="7"/>
      <c r="U385" s="7"/>
      <c r="V385" s="7"/>
      <c r="W385" s="7"/>
      <c r="X385" s="7"/>
      <c r="Y385" s="8" t="str">
        <f>IFERROR(VLOOKUP(A385,Sheet3!B:H,6,false),VLOOKUP(J385,Sheet2!A:C,2,false))</f>
        <v>https://bedgear.com/cdn/shop/files/01-STORM-1.0-ProductShot-Main_4039e18e-00ff-4c78-8705-b11a60a00744.jpg</v>
      </c>
      <c r="Z385" s="8" t="str">
        <f>IFERROR(VLOOKUP(A385,Sheet3!B:H,7,false),VLOOKUP(J385,Sheet2!A:C,3,false))</f>
        <v>https://bedgear.com/products/storm-performance-pillow</v>
      </c>
    </row>
    <row r="386">
      <c r="A386" s="4">
        <v>5.990634E7</v>
      </c>
      <c r="B386" s="9">
        <v>250.0</v>
      </c>
      <c r="C386" s="9">
        <v>4.39</v>
      </c>
      <c r="D386" s="2" t="s">
        <v>811</v>
      </c>
      <c r="E386" s="2" t="s">
        <v>794</v>
      </c>
      <c r="F386" s="2" t="s">
        <v>812</v>
      </c>
      <c r="G386" s="9">
        <v>341.0</v>
      </c>
      <c r="H386" s="9">
        <v>4.23</v>
      </c>
      <c r="I386" s="9">
        <v>91.0</v>
      </c>
      <c r="J386" s="1" t="s">
        <v>813</v>
      </c>
      <c r="K386" s="1" t="s">
        <v>818</v>
      </c>
      <c r="L386" s="6">
        <v>199.99</v>
      </c>
      <c r="M386" s="6">
        <v>199.99</v>
      </c>
      <c r="N386" s="1" t="s">
        <v>663</v>
      </c>
      <c r="O386" s="7"/>
      <c r="P386" s="1" t="s">
        <v>815</v>
      </c>
      <c r="Q386" s="1" t="s">
        <v>31</v>
      </c>
      <c r="R386" s="1" t="s">
        <v>470</v>
      </c>
      <c r="S386" s="7"/>
      <c r="T386" s="7"/>
      <c r="U386" s="7"/>
      <c r="V386" s="7"/>
      <c r="W386" s="7"/>
      <c r="X386" s="7"/>
      <c r="Y386" s="8" t="str">
        <f>IFERROR(VLOOKUP(A386,Sheet3!B:H,6,false),VLOOKUP(J386,Sheet2!A:C,2,false))</f>
        <v>https://bedgear.com/cdn/shop/files/01-STORM-1.0-ProductShot-Main_4039e18e-00ff-4c78-8705-b11a60a00744.jpg</v>
      </c>
      <c r="Z386" s="8" t="str">
        <f>IFERROR(VLOOKUP(A386,Sheet3!B:H,7,false),VLOOKUP(J386,Sheet2!A:C,3,false))</f>
        <v>https://bedgear.com/products/storm-performance-pillow</v>
      </c>
    </row>
    <row r="387">
      <c r="A387" s="4">
        <v>5.9906352E7</v>
      </c>
      <c r="B387" s="9">
        <v>1.0</v>
      </c>
      <c r="C387" s="9">
        <v>5.0</v>
      </c>
      <c r="D387" s="2" t="s">
        <v>811</v>
      </c>
      <c r="E387" s="2" t="s">
        <v>794</v>
      </c>
      <c r="F387" s="2" t="s">
        <v>812</v>
      </c>
      <c r="G387" s="9">
        <v>341.0</v>
      </c>
      <c r="H387" s="9">
        <v>4.23</v>
      </c>
      <c r="I387" s="9">
        <v>340.0</v>
      </c>
      <c r="J387" s="1" t="s">
        <v>813</v>
      </c>
      <c r="K387" s="1" t="s">
        <v>819</v>
      </c>
      <c r="L387" s="6">
        <v>259.99</v>
      </c>
      <c r="M387" s="6">
        <v>259.99</v>
      </c>
      <c r="N387" s="1" t="s">
        <v>663</v>
      </c>
      <c r="O387" s="7"/>
      <c r="P387" s="1" t="s">
        <v>820</v>
      </c>
      <c r="Q387" s="1" t="s">
        <v>31</v>
      </c>
      <c r="R387" s="1" t="s">
        <v>568</v>
      </c>
      <c r="S387" s="7"/>
      <c r="T387" s="7"/>
      <c r="U387" s="7"/>
      <c r="V387" s="7"/>
      <c r="W387" s="7"/>
      <c r="X387" s="7"/>
      <c r="Y387" s="8" t="str">
        <f>IFERROR(VLOOKUP(A387,Sheet3!B:H,6,false),VLOOKUP(J387,Sheet2!A:C,2,false))</f>
        <v>https://bedgear.com/cdn/shop/files/01-STORM-1.0-ProductShot-Main_4039e18e-00ff-4c78-8705-b11a60a00744.jpg</v>
      </c>
      <c r="Z387" s="8" t="str">
        <f>IFERROR(VLOOKUP(A387,Sheet3!B:H,7,false),VLOOKUP(J387,Sheet2!A:C,3,false))</f>
        <v>https://bedgear.com/products/storm-performance-pillow</v>
      </c>
    </row>
    <row r="388">
      <c r="A388" s="4">
        <v>5.9906364E7</v>
      </c>
      <c r="B388" s="9">
        <v>5.0</v>
      </c>
      <c r="C388" s="9">
        <v>3.6</v>
      </c>
      <c r="D388" s="2" t="s">
        <v>811</v>
      </c>
      <c r="E388" s="2" t="s">
        <v>794</v>
      </c>
      <c r="F388" s="2" t="s">
        <v>812</v>
      </c>
      <c r="G388" s="9">
        <v>341.0</v>
      </c>
      <c r="H388" s="9">
        <v>4.23</v>
      </c>
      <c r="I388" s="9">
        <v>336.0</v>
      </c>
      <c r="J388" s="1" t="s">
        <v>813</v>
      </c>
      <c r="K388" s="1" t="s">
        <v>821</v>
      </c>
      <c r="L388" s="6">
        <v>259.99</v>
      </c>
      <c r="M388" s="6">
        <v>259.99</v>
      </c>
      <c r="N388" s="1" t="s">
        <v>663</v>
      </c>
      <c r="O388" s="7"/>
      <c r="P388" s="1" t="s">
        <v>820</v>
      </c>
      <c r="Q388" s="1" t="s">
        <v>31</v>
      </c>
      <c r="R388" s="1" t="s">
        <v>568</v>
      </c>
      <c r="S388" s="7"/>
      <c r="T388" s="7"/>
      <c r="U388" s="7"/>
      <c r="V388" s="7"/>
      <c r="W388" s="7"/>
      <c r="X388" s="7"/>
      <c r="Y388" s="8" t="str">
        <f>IFERROR(VLOOKUP(A388,Sheet3!B:H,6,false),VLOOKUP(J388,Sheet2!A:C,2,false))</f>
        <v>https://bedgear.com/cdn/shop/files/01-STORM-1.0-ProductShot-Main_4039e18e-00ff-4c78-8705-b11a60a00744.jpg</v>
      </c>
      <c r="Z388" s="8" t="str">
        <f>IFERROR(VLOOKUP(A388,Sheet3!B:H,7,false),VLOOKUP(J388,Sheet2!A:C,3,false))</f>
        <v>https://bedgear.com/products/storm-performance-pillow</v>
      </c>
    </row>
    <row r="389">
      <c r="A389" s="4">
        <v>5.9906376E7</v>
      </c>
      <c r="B389" s="9">
        <v>15.0</v>
      </c>
      <c r="C389" s="9">
        <v>3.87</v>
      </c>
      <c r="D389" s="2" t="s">
        <v>811</v>
      </c>
      <c r="E389" s="2" t="s">
        <v>794</v>
      </c>
      <c r="F389" s="2" t="s">
        <v>812</v>
      </c>
      <c r="G389" s="9">
        <v>341.0</v>
      </c>
      <c r="H389" s="9">
        <v>4.23</v>
      </c>
      <c r="I389" s="9">
        <v>326.0</v>
      </c>
      <c r="J389" s="1" t="s">
        <v>813</v>
      </c>
      <c r="K389" s="1" t="s">
        <v>822</v>
      </c>
      <c r="L389" s="6">
        <v>259.99</v>
      </c>
      <c r="M389" s="6">
        <v>259.99</v>
      </c>
      <c r="N389" s="1" t="s">
        <v>663</v>
      </c>
      <c r="O389" s="7"/>
      <c r="P389" s="1" t="s">
        <v>820</v>
      </c>
      <c r="Q389" s="1" t="s">
        <v>31</v>
      </c>
      <c r="R389" s="1" t="s">
        <v>568</v>
      </c>
      <c r="S389" s="7"/>
      <c r="T389" s="7"/>
      <c r="U389" s="7"/>
      <c r="V389" s="7"/>
      <c r="W389" s="7"/>
      <c r="X389" s="7"/>
      <c r="Y389" s="8" t="str">
        <f>IFERROR(VLOOKUP(A389,Sheet3!B:H,6,false),VLOOKUP(J389,Sheet2!A:C,2,false))</f>
        <v>https://bedgear.com/cdn/shop/files/01-STORM-1.0-ProductShot-Main_4039e18e-00ff-4c78-8705-b11a60a00744.jpg</v>
      </c>
      <c r="Z389" s="8" t="str">
        <f>IFERROR(VLOOKUP(A389,Sheet3!B:H,7,false),VLOOKUP(J389,Sheet2!A:C,3,false))</f>
        <v>https://bedgear.com/products/storm-performance-pillow</v>
      </c>
    </row>
    <row r="390">
      <c r="A390" s="4">
        <v>5.9906388E7</v>
      </c>
      <c r="B390" s="9">
        <v>14.0</v>
      </c>
      <c r="C390" s="9">
        <v>3.71</v>
      </c>
      <c r="D390" s="2" t="s">
        <v>811</v>
      </c>
      <c r="E390" s="2" t="s">
        <v>794</v>
      </c>
      <c r="F390" s="2" t="s">
        <v>812</v>
      </c>
      <c r="G390" s="9">
        <v>341.0</v>
      </c>
      <c r="H390" s="9">
        <v>4.23</v>
      </c>
      <c r="I390" s="9">
        <v>327.0</v>
      </c>
      <c r="J390" s="1" t="s">
        <v>813</v>
      </c>
      <c r="K390" s="1" t="s">
        <v>823</v>
      </c>
      <c r="L390" s="6">
        <v>259.99</v>
      </c>
      <c r="M390" s="6">
        <v>259.99</v>
      </c>
      <c r="N390" s="1" t="s">
        <v>663</v>
      </c>
      <c r="O390" s="7"/>
      <c r="P390" s="1" t="s">
        <v>820</v>
      </c>
      <c r="Q390" s="1" t="s">
        <v>31</v>
      </c>
      <c r="R390" s="1" t="s">
        <v>568</v>
      </c>
      <c r="S390" s="7"/>
      <c r="T390" s="7"/>
      <c r="U390" s="7"/>
      <c r="V390" s="7"/>
      <c r="W390" s="7"/>
      <c r="X390" s="7"/>
      <c r="Y390" s="8" t="str">
        <f>IFERROR(VLOOKUP(A390,Sheet3!B:H,6,false),VLOOKUP(J390,Sheet2!A:C,2,false))</f>
        <v>https://bedgear.com/cdn/shop/files/01-STORM-1.0-ProductShot-Main_4039e18e-00ff-4c78-8705-b11a60a00744.jpg</v>
      </c>
      <c r="Z390" s="8" t="str">
        <f>IFERROR(VLOOKUP(A390,Sheet3!B:H,7,false),VLOOKUP(J390,Sheet2!A:C,3,false))</f>
        <v>https://bedgear.com/products/storm-performance-pillow</v>
      </c>
    </row>
    <row r="391">
      <c r="A391" s="4">
        <v>5.9907102E7</v>
      </c>
      <c r="B391" s="9">
        <v>1.0</v>
      </c>
      <c r="C391" s="9">
        <v>2.0</v>
      </c>
      <c r="D391" s="2" t="s">
        <v>824</v>
      </c>
      <c r="E391" s="2" t="s">
        <v>794</v>
      </c>
      <c r="F391" s="2" t="s">
        <v>825</v>
      </c>
      <c r="G391" s="9">
        <v>8.0</v>
      </c>
      <c r="H391" s="9">
        <v>3.38</v>
      </c>
      <c r="I391" s="9">
        <v>7.0</v>
      </c>
      <c r="J391" s="1" t="s">
        <v>826</v>
      </c>
      <c r="K391" s="1" t="s">
        <v>827</v>
      </c>
      <c r="L391" s="6">
        <v>299.99</v>
      </c>
      <c r="M391" s="6">
        <v>299.99</v>
      </c>
      <c r="N391" s="1" t="s">
        <v>663</v>
      </c>
      <c r="O391" s="7"/>
      <c r="P391" s="7"/>
      <c r="Q391" s="1" t="s">
        <v>31</v>
      </c>
      <c r="R391" s="1" t="s">
        <v>470</v>
      </c>
      <c r="S391" s="7"/>
      <c r="T391" s="7"/>
      <c r="U391" s="7"/>
      <c r="V391" s="7"/>
      <c r="W391" s="7"/>
      <c r="X391" s="7"/>
      <c r="Y391" s="8" t="str">
        <f>IFERROR(VLOOKUP(A391,Sheet3!B:H,6,false),VLOOKUP(J391,Sheet2!A:C,2,false))</f>
        <v>https://bedgear.com/cdn/shop/files/01-NIGHT_ICE-1.0-ProductShot-Main_0432e2a4-3a2f-40bb-b3f0-48674c79b69d.jpg</v>
      </c>
      <c r="Z391" s="8" t="str">
        <f>IFERROR(VLOOKUP(A391,Sheet3!B:H,7,false),VLOOKUP(J391,Sheet2!A:C,3,false))</f>
        <v>https://bedgear.com/products/night-ice-performance-pillow</v>
      </c>
    </row>
    <row r="392">
      <c r="A392" s="4">
        <v>5.9907114E7</v>
      </c>
      <c r="B392" s="9">
        <v>3.0</v>
      </c>
      <c r="C392" s="9">
        <v>4.33</v>
      </c>
      <c r="D392" s="2" t="s">
        <v>824</v>
      </c>
      <c r="E392" s="2" t="s">
        <v>794</v>
      </c>
      <c r="F392" s="2" t="s">
        <v>825</v>
      </c>
      <c r="G392" s="9">
        <v>8.0</v>
      </c>
      <c r="H392" s="9">
        <v>3.38</v>
      </c>
      <c r="I392" s="9">
        <v>5.0</v>
      </c>
      <c r="J392" s="1" t="s">
        <v>826</v>
      </c>
      <c r="K392" s="1" t="s">
        <v>828</v>
      </c>
      <c r="L392" s="6">
        <v>299.99</v>
      </c>
      <c r="M392" s="6">
        <v>299.99</v>
      </c>
      <c r="N392" s="1" t="s">
        <v>663</v>
      </c>
      <c r="O392" s="7"/>
      <c r="P392" s="7"/>
      <c r="Q392" s="1" t="s">
        <v>31</v>
      </c>
      <c r="R392" s="1" t="s">
        <v>470</v>
      </c>
      <c r="S392" s="7"/>
      <c r="T392" s="7"/>
      <c r="U392" s="7"/>
      <c r="V392" s="7"/>
      <c r="W392" s="7"/>
      <c r="X392" s="7"/>
      <c r="Y392" s="8" t="str">
        <f>IFERROR(VLOOKUP(A392,Sheet3!B:H,6,false),VLOOKUP(J392,Sheet2!A:C,2,false))</f>
        <v>https://bedgear.com/cdn/shop/files/01-NIGHT_ICE-1.0-ProductShot-Main_0432e2a4-3a2f-40bb-b3f0-48674c79b69d.jpg</v>
      </c>
      <c r="Z392" s="8" t="str">
        <f>IFERROR(VLOOKUP(A392,Sheet3!B:H,7,false),VLOOKUP(J392,Sheet2!A:C,3,false))</f>
        <v>https://bedgear.com/products/night-ice-performance-pillow</v>
      </c>
    </row>
    <row r="393">
      <c r="A393" s="4">
        <v>5.9907126E7</v>
      </c>
      <c r="B393" s="5"/>
      <c r="C393" s="5"/>
      <c r="D393" s="5"/>
      <c r="E393" s="5"/>
      <c r="F393" s="5"/>
      <c r="G393" s="5"/>
      <c r="H393" s="5"/>
      <c r="I393" s="5"/>
      <c r="J393" s="1" t="s">
        <v>826</v>
      </c>
      <c r="K393" s="1" t="s">
        <v>829</v>
      </c>
      <c r="L393" s="6">
        <v>299.99</v>
      </c>
      <c r="M393" s="6">
        <v>299.99</v>
      </c>
      <c r="N393" s="1" t="s">
        <v>663</v>
      </c>
      <c r="O393" s="7"/>
      <c r="P393" s="7"/>
      <c r="Q393" s="1" t="s">
        <v>31</v>
      </c>
      <c r="R393" s="1" t="s">
        <v>470</v>
      </c>
      <c r="S393" s="7"/>
      <c r="T393" s="7"/>
      <c r="U393" s="7"/>
      <c r="V393" s="7"/>
      <c r="W393" s="7"/>
      <c r="X393" s="7"/>
      <c r="Y393" s="8" t="str">
        <f>IFERROR(VLOOKUP(A393,Sheet3!B:H,6,false),VLOOKUP(J393,Sheet2!A:C,2,false))</f>
        <v>https://bedgear.com/cdn/shop/files/01-NIGHT_ICE-1.0-ProductShot-Main_0432e2a4-3a2f-40bb-b3f0-48674c79b69d.jpg</v>
      </c>
      <c r="Z393" s="8" t="str">
        <f>IFERROR(VLOOKUP(A393,Sheet3!B:H,7,false),VLOOKUP(J393,Sheet2!A:C,3,false))</f>
        <v>https://bedgear.com/products/night-ice-performance-pillow</v>
      </c>
    </row>
    <row r="394">
      <c r="A394" s="4">
        <v>5.9907138E7</v>
      </c>
      <c r="B394" s="9">
        <v>1.0</v>
      </c>
      <c r="C394" s="9">
        <v>5.0</v>
      </c>
      <c r="D394" s="2" t="s">
        <v>824</v>
      </c>
      <c r="E394" s="2" t="s">
        <v>794</v>
      </c>
      <c r="F394" s="2" t="s">
        <v>825</v>
      </c>
      <c r="G394" s="9">
        <v>8.0</v>
      </c>
      <c r="H394" s="9">
        <v>3.38</v>
      </c>
      <c r="I394" s="9">
        <v>7.0</v>
      </c>
      <c r="J394" s="1" t="s">
        <v>826</v>
      </c>
      <c r="K394" s="1" t="s">
        <v>830</v>
      </c>
      <c r="L394" s="6">
        <v>299.99</v>
      </c>
      <c r="M394" s="6">
        <v>299.99</v>
      </c>
      <c r="N394" s="1" t="s">
        <v>663</v>
      </c>
      <c r="O394" s="7"/>
      <c r="P394" s="7"/>
      <c r="Q394" s="1" t="s">
        <v>31</v>
      </c>
      <c r="R394" s="1" t="s">
        <v>470</v>
      </c>
      <c r="S394" s="7"/>
      <c r="T394" s="7"/>
      <c r="U394" s="7"/>
      <c r="V394" s="7"/>
      <c r="W394" s="7"/>
      <c r="X394" s="7"/>
      <c r="Y394" s="8" t="str">
        <f>IFERROR(VLOOKUP(A394,Sheet3!B:H,6,false),VLOOKUP(J394,Sheet2!A:C,2,false))</f>
        <v>https://bedgear.com/cdn/shop/files/01-NIGHT_ICE-1.0-ProductShot-Main_0432e2a4-3a2f-40bb-b3f0-48674c79b69d.jpg</v>
      </c>
      <c r="Z394" s="8" t="str">
        <f>IFERROR(VLOOKUP(A394,Sheet3!B:H,7,false),VLOOKUP(J394,Sheet2!A:C,3,false))</f>
        <v>https://bedgear.com/products/night-ice-performance-pillow</v>
      </c>
    </row>
    <row r="395">
      <c r="A395" s="4">
        <v>5.990714E7</v>
      </c>
      <c r="B395" s="9">
        <v>1.0</v>
      </c>
      <c r="C395" s="9">
        <v>5.0</v>
      </c>
      <c r="D395" s="2" t="s">
        <v>824</v>
      </c>
      <c r="E395" s="2" t="s">
        <v>794</v>
      </c>
      <c r="F395" s="2" t="s">
        <v>825</v>
      </c>
      <c r="G395" s="9">
        <v>8.0</v>
      </c>
      <c r="H395" s="9">
        <v>3.38</v>
      </c>
      <c r="I395" s="9">
        <v>7.0</v>
      </c>
      <c r="J395" s="1" t="s">
        <v>826</v>
      </c>
      <c r="K395" s="1" t="s">
        <v>831</v>
      </c>
      <c r="L395" s="6">
        <v>349.99</v>
      </c>
      <c r="M395" s="6">
        <v>349.99</v>
      </c>
      <c r="N395" s="1" t="s">
        <v>663</v>
      </c>
      <c r="O395" s="7"/>
      <c r="P395" s="7"/>
      <c r="Q395" s="1" t="s">
        <v>31</v>
      </c>
      <c r="R395" s="1" t="s">
        <v>568</v>
      </c>
      <c r="S395" s="7"/>
      <c r="T395" s="7"/>
      <c r="U395" s="7"/>
      <c r="V395" s="7"/>
      <c r="W395" s="7"/>
      <c r="X395" s="7"/>
      <c r="Y395" s="8" t="str">
        <f>IFERROR(VLOOKUP(A395,Sheet3!B:H,6,false),VLOOKUP(J395,Sheet2!A:C,2,false))</f>
        <v>https://bedgear.com/cdn/shop/files/01-NIGHT_ICE-1.0-ProductShot-Main_0432e2a4-3a2f-40bb-b3f0-48674c79b69d.jpg</v>
      </c>
      <c r="Z395" s="8" t="str">
        <f>IFERROR(VLOOKUP(A395,Sheet3!B:H,7,false),VLOOKUP(J395,Sheet2!A:C,3,false))</f>
        <v>https://bedgear.com/products/night-ice-performance-pillow</v>
      </c>
    </row>
    <row r="396">
      <c r="A396" s="4">
        <v>5.9907152E7</v>
      </c>
      <c r="B396" s="9">
        <v>2.0</v>
      </c>
      <c r="C396" s="9">
        <v>1.0</v>
      </c>
      <c r="D396" s="2" t="s">
        <v>824</v>
      </c>
      <c r="E396" s="2" t="s">
        <v>794</v>
      </c>
      <c r="F396" s="2" t="s">
        <v>825</v>
      </c>
      <c r="G396" s="9">
        <v>8.0</v>
      </c>
      <c r="H396" s="9">
        <v>3.38</v>
      </c>
      <c r="I396" s="9">
        <v>6.0</v>
      </c>
      <c r="J396" s="1" t="s">
        <v>826</v>
      </c>
      <c r="K396" s="1" t="s">
        <v>832</v>
      </c>
      <c r="L396" s="6">
        <v>349.99</v>
      </c>
      <c r="M396" s="6">
        <v>349.99</v>
      </c>
      <c r="N396" s="1" t="s">
        <v>663</v>
      </c>
      <c r="O396" s="7"/>
      <c r="P396" s="7"/>
      <c r="Q396" s="1" t="s">
        <v>31</v>
      </c>
      <c r="R396" s="1" t="s">
        <v>568</v>
      </c>
      <c r="S396" s="7"/>
      <c r="T396" s="7"/>
      <c r="U396" s="7"/>
      <c r="V396" s="7"/>
      <c r="W396" s="7"/>
      <c r="X396" s="7"/>
      <c r="Y396" s="8" t="str">
        <f>IFERROR(VLOOKUP(A396,Sheet3!B:H,6,false),VLOOKUP(J396,Sheet2!A:C,2,false))</f>
        <v>https://bedgear.com/cdn/shop/files/01-NIGHT_ICE-1.0-ProductShot-Main_0432e2a4-3a2f-40bb-b3f0-48674c79b69d.jpg</v>
      </c>
      <c r="Z396" s="8" t="str">
        <f>IFERROR(VLOOKUP(A396,Sheet3!B:H,7,false),VLOOKUP(J396,Sheet2!A:C,3,false))</f>
        <v>https://bedgear.com/products/night-ice-performance-pillow</v>
      </c>
    </row>
    <row r="397">
      <c r="A397" s="4">
        <v>5.9907164E7</v>
      </c>
      <c r="B397" s="5"/>
      <c r="C397" s="5"/>
      <c r="D397" s="5"/>
      <c r="E397" s="5"/>
      <c r="F397" s="5"/>
      <c r="G397" s="5"/>
      <c r="H397" s="5"/>
      <c r="I397" s="5"/>
      <c r="J397" s="1" t="s">
        <v>826</v>
      </c>
      <c r="K397" s="1" t="s">
        <v>833</v>
      </c>
      <c r="L397" s="6">
        <v>349.99</v>
      </c>
      <c r="M397" s="6">
        <v>349.99</v>
      </c>
      <c r="N397" s="1" t="s">
        <v>663</v>
      </c>
      <c r="O397" s="7"/>
      <c r="P397" s="7"/>
      <c r="Q397" s="1" t="s">
        <v>31</v>
      </c>
      <c r="R397" s="1" t="s">
        <v>568</v>
      </c>
      <c r="S397" s="7"/>
      <c r="T397" s="7"/>
      <c r="U397" s="7"/>
      <c r="V397" s="7"/>
      <c r="W397" s="7"/>
      <c r="X397" s="7"/>
      <c r="Y397" s="8" t="str">
        <f>IFERROR(VLOOKUP(A397,Sheet3!B:H,6,false),VLOOKUP(J397,Sheet2!A:C,2,false))</f>
        <v>https://bedgear.com/cdn/shop/files/01-NIGHT_ICE-1.0-ProductShot-Main_0432e2a4-3a2f-40bb-b3f0-48674c79b69d.jpg</v>
      </c>
      <c r="Z397" s="8" t="str">
        <f>IFERROR(VLOOKUP(A397,Sheet3!B:H,7,false),VLOOKUP(J397,Sheet2!A:C,3,false))</f>
        <v>https://bedgear.com/products/night-ice-performance-pillow</v>
      </c>
    </row>
    <row r="398">
      <c r="A398" s="4">
        <v>5.9907176E7</v>
      </c>
      <c r="B398" s="5"/>
      <c r="C398" s="5"/>
      <c r="D398" s="5"/>
      <c r="E398" s="5"/>
      <c r="F398" s="5"/>
      <c r="G398" s="5"/>
      <c r="H398" s="5"/>
      <c r="I398" s="5"/>
      <c r="J398" s="1" t="s">
        <v>826</v>
      </c>
      <c r="K398" s="1" t="s">
        <v>834</v>
      </c>
      <c r="L398" s="6">
        <v>349.99</v>
      </c>
      <c r="M398" s="6">
        <v>349.99</v>
      </c>
      <c r="N398" s="1" t="s">
        <v>663</v>
      </c>
      <c r="O398" s="7"/>
      <c r="P398" s="7"/>
      <c r="Q398" s="1" t="s">
        <v>31</v>
      </c>
      <c r="R398" s="1" t="s">
        <v>568</v>
      </c>
      <c r="S398" s="7"/>
      <c r="T398" s="7"/>
      <c r="U398" s="7"/>
      <c r="V398" s="7"/>
      <c r="W398" s="7"/>
      <c r="X398" s="7"/>
      <c r="Y398" s="8" t="str">
        <f>IFERROR(VLOOKUP(A398,Sheet3!B:H,6,false),VLOOKUP(J398,Sheet2!A:C,2,false))</f>
        <v>https://bedgear.com/cdn/shop/files/01-NIGHT_ICE-1.0-ProductShot-Main_0432e2a4-3a2f-40bb-b3f0-48674c79b69d.jpg</v>
      </c>
      <c r="Z398" s="8" t="str">
        <f>IFERROR(VLOOKUP(A398,Sheet3!B:H,7,false),VLOOKUP(J398,Sheet2!A:C,3,false))</f>
        <v>https://bedgear.com/products/night-ice-performance-pillow</v>
      </c>
    </row>
    <row r="399">
      <c r="A399" s="4">
        <v>5.9911036E7</v>
      </c>
      <c r="B399" s="9">
        <v>65.0</v>
      </c>
      <c r="C399" s="9">
        <v>4.31</v>
      </c>
      <c r="D399" s="2" t="s">
        <v>835</v>
      </c>
      <c r="E399" s="2" t="s">
        <v>836</v>
      </c>
      <c r="F399" s="2" t="s">
        <v>837</v>
      </c>
      <c r="G399" s="9">
        <v>139.0</v>
      </c>
      <c r="H399" s="9">
        <v>4.06</v>
      </c>
      <c r="I399" s="9">
        <v>74.0</v>
      </c>
      <c r="J399" s="1" t="s">
        <v>838</v>
      </c>
      <c r="K399" s="1" t="s">
        <v>839</v>
      </c>
      <c r="L399" s="6">
        <v>229.99</v>
      </c>
      <c r="M399" s="6">
        <v>229.99</v>
      </c>
      <c r="N399" s="1" t="s">
        <v>663</v>
      </c>
      <c r="O399" s="7"/>
      <c r="P399" s="1" t="s">
        <v>840</v>
      </c>
      <c r="Q399" s="7"/>
      <c r="R399" s="1" t="s">
        <v>373</v>
      </c>
      <c r="S399" s="7"/>
      <c r="T399" s="7"/>
      <c r="U399" s="7"/>
      <c r="V399" s="7"/>
      <c r="W399" s="7"/>
      <c r="X399" s="7"/>
      <c r="Y399" s="8" t="str">
        <f>IFERROR(VLOOKUP(A399,Sheet3!B:H,6,false),VLOOKUP(J399,Sheet2!A:C,2,false))</f>
        <v>https://bedgear.com/cdn/shop/files/01-Grey-ProductShot-Stack_de9d1597-1c50-403a-a9af-2923ed02cd42.jpg</v>
      </c>
      <c r="Z399" s="8" t="str">
        <f>IFERROR(VLOOKUP(A399,Sheet3!B:H,7,false),VLOOKUP(J399,Sheet2!A:C,3,false))</f>
        <v>https://bedgear.com/products/dri-tec-sheet-set</v>
      </c>
    </row>
    <row r="400">
      <c r="A400" s="4">
        <v>5.9911048E7</v>
      </c>
      <c r="B400" s="9">
        <v>12.0</v>
      </c>
      <c r="C400" s="9">
        <v>4.25</v>
      </c>
      <c r="D400" s="2" t="s">
        <v>835</v>
      </c>
      <c r="E400" s="2" t="s">
        <v>836</v>
      </c>
      <c r="F400" s="2" t="s">
        <v>837</v>
      </c>
      <c r="G400" s="9">
        <v>139.0</v>
      </c>
      <c r="H400" s="9">
        <v>4.06</v>
      </c>
      <c r="I400" s="9">
        <v>127.0</v>
      </c>
      <c r="J400" s="1" t="s">
        <v>838</v>
      </c>
      <c r="K400" s="1" t="s">
        <v>841</v>
      </c>
      <c r="L400" s="6">
        <v>229.99</v>
      </c>
      <c r="M400" s="6">
        <v>229.99</v>
      </c>
      <c r="N400" s="1" t="s">
        <v>663</v>
      </c>
      <c r="O400" s="7"/>
      <c r="P400" s="1" t="s">
        <v>842</v>
      </c>
      <c r="Q400" s="7"/>
      <c r="R400" s="1" t="s">
        <v>470</v>
      </c>
      <c r="S400" s="7"/>
      <c r="T400" s="7"/>
      <c r="U400" s="7"/>
      <c r="V400" s="7"/>
      <c r="W400" s="7"/>
      <c r="X400" s="7"/>
      <c r="Y400" s="8" t="str">
        <f>IFERROR(VLOOKUP(A400,Sheet3!B:H,6,false),VLOOKUP(J400,Sheet2!A:C,2,false))</f>
        <v>https://bedgear.com/cdn/shop/files/01-Grey-ProductShot-Stack_de9d1597-1c50-403a-a9af-2923ed02cd42.jpg</v>
      </c>
      <c r="Z400" s="8" t="str">
        <f>IFERROR(VLOOKUP(A400,Sheet3!B:H,7,false),VLOOKUP(J400,Sheet2!A:C,3,false))</f>
        <v>https://bedgear.com/products/dri-tec-sheet-set</v>
      </c>
    </row>
    <row r="401">
      <c r="A401" s="4">
        <v>5.9911101E7</v>
      </c>
      <c r="B401" s="5"/>
      <c r="C401" s="5"/>
      <c r="D401" s="5"/>
      <c r="E401" s="5"/>
      <c r="F401" s="5"/>
      <c r="G401" s="5"/>
      <c r="H401" s="5"/>
      <c r="I401" s="5"/>
      <c r="J401" s="1" t="s">
        <v>838</v>
      </c>
      <c r="K401" s="1" t="s">
        <v>843</v>
      </c>
      <c r="L401" s="6">
        <v>199.99</v>
      </c>
      <c r="M401" s="6">
        <v>199.99</v>
      </c>
      <c r="N401" s="1" t="s">
        <v>663</v>
      </c>
      <c r="O401" s="7"/>
      <c r="P401" s="1" t="s">
        <v>844</v>
      </c>
      <c r="Q401" s="7"/>
      <c r="R401" s="1" t="s">
        <v>845</v>
      </c>
      <c r="S401" s="7"/>
      <c r="T401" s="7"/>
      <c r="U401" s="7"/>
      <c r="V401" s="7"/>
      <c r="W401" s="7"/>
      <c r="X401" s="7"/>
      <c r="Y401" s="8" t="str">
        <f>IFERROR(VLOOKUP(A401,Sheet3!B:H,6,false),VLOOKUP(J401,Sheet2!A:C,2,false))</f>
        <v>https://bedgear.com/cdn/shop/files/01-Grey-ProductShot-Stack_de9d1597-1c50-403a-a9af-2923ed02cd42.jpg</v>
      </c>
      <c r="Z401" s="8" t="str">
        <f>IFERROR(VLOOKUP(A401,Sheet3!B:H,7,false),VLOOKUP(J401,Sheet2!A:C,3,false))</f>
        <v>https://bedgear.com/products/dri-tec-sheet-set</v>
      </c>
    </row>
    <row r="402">
      <c r="A402" s="4">
        <v>5.9911113E7</v>
      </c>
      <c r="B402" s="9">
        <v>9.0</v>
      </c>
      <c r="C402" s="9">
        <v>3.89</v>
      </c>
      <c r="D402" s="2" t="s">
        <v>835</v>
      </c>
      <c r="E402" s="2" t="s">
        <v>836</v>
      </c>
      <c r="F402" s="2" t="s">
        <v>837</v>
      </c>
      <c r="G402" s="9">
        <v>139.0</v>
      </c>
      <c r="H402" s="9">
        <v>4.06</v>
      </c>
      <c r="I402" s="9">
        <v>130.0</v>
      </c>
      <c r="J402" s="1" t="s">
        <v>838</v>
      </c>
      <c r="K402" s="1" t="s">
        <v>846</v>
      </c>
      <c r="L402" s="6">
        <v>279.99</v>
      </c>
      <c r="M402" s="6">
        <v>279.99</v>
      </c>
      <c r="N402" s="1" t="s">
        <v>663</v>
      </c>
      <c r="O402" s="7"/>
      <c r="P402" s="1" t="s">
        <v>847</v>
      </c>
      <c r="Q402" s="7"/>
      <c r="R402" s="1" t="s">
        <v>848</v>
      </c>
      <c r="S402" s="7"/>
      <c r="T402" s="7"/>
      <c r="U402" s="7"/>
      <c r="V402" s="7"/>
      <c r="W402" s="7"/>
      <c r="X402" s="7"/>
      <c r="Y402" s="8" t="str">
        <f>IFERROR(VLOOKUP(A402,Sheet3!B:H,6,false),VLOOKUP(J402,Sheet2!A:C,2,false))</f>
        <v>https://bedgear.com/cdn/shop/files/01-Grey-ProductShot-Stack_de9d1597-1c50-403a-a9af-2923ed02cd42.jpg</v>
      </c>
      <c r="Z402" s="8" t="str">
        <f>IFERROR(VLOOKUP(A402,Sheet3!B:H,7,false),VLOOKUP(J402,Sheet2!A:C,3,false))</f>
        <v>https://bedgear.com/products/dri-tec-sheet-set</v>
      </c>
    </row>
    <row r="403">
      <c r="A403" s="4">
        <v>5.9911125E7</v>
      </c>
      <c r="B403" s="9">
        <v>14.0</v>
      </c>
      <c r="C403" s="9">
        <v>3.36</v>
      </c>
      <c r="D403" s="2" t="s">
        <v>835</v>
      </c>
      <c r="E403" s="2" t="s">
        <v>836</v>
      </c>
      <c r="F403" s="2" t="s">
        <v>837</v>
      </c>
      <c r="G403" s="9">
        <v>139.0</v>
      </c>
      <c r="H403" s="9">
        <v>4.06</v>
      </c>
      <c r="I403" s="9">
        <v>125.0</v>
      </c>
      <c r="J403" s="1" t="s">
        <v>838</v>
      </c>
      <c r="K403" s="1" t="s">
        <v>849</v>
      </c>
      <c r="L403" s="6">
        <v>279.99</v>
      </c>
      <c r="M403" s="6">
        <v>279.99</v>
      </c>
      <c r="N403" s="1" t="s">
        <v>663</v>
      </c>
      <c r="O403" s="7"/>
      <c r="P403" s="1" t="s">
        <v>850</v>
      </c>
      <c r="Q403" s="7"/>
      <c r="R403" s="1" t="s">
        <v>851</v>
      </c>
      <c r="S403" s="7"/>
      <c r="T403" s="7"/>
      <c r="U403" s="7"/>
      <c r="V403" s="7"/>
      <c r="W403" s="7"/>
      <c r="X403" s="7"/>
      <c r="Y403" s="8" t="str">
        <f>IFERROR(VLOOKUP(A403,Sheet3!B:H,6,false),VLOOKUP(J403,Sheet2!A:C,2,false))</f>
        <v>https://bedgear.com/cdn/shop/files/01-Grey-ProductShot-Stack_de9d1597-1c50-403a-a9af-2923ed02cd42.jpg</v>
      </c>
      <c r="Z403" s="8" t="str">
        <f>IFERROR(VLOOKUP(A403,Sheet3!B:H,7,false),VLOOKUP(J403,Sheet2!A:C,3,false))</f>
        <v>https://bedgear.com/products/dri-tec-sheet-set</v>
      </c>
    </row>
    <row r="404">
      <c r="A404" s="4">
        <v>5.9912103E7</v>
      </c>
      <c r="B404" s="9">
        <v>3.0</v>
      </c>
      <c r="C404" s="9">
        <v>2.33</v>
      </c>
      <c r="D404" s="2" t="s">
        <v>835</v>
      </c>
      <c r="E404" s="2" t="s">
        <v>836</v>
      </c>
      <c r="F404" s="2" t="s">
        <v>837</v>
      </c>
      <c r="G404" s="9">
        <v>139.0</v>
      </c>
      <c r="H404" s="9">
        <v>4.06</v>
      </c>
      <c r="I404" s="9">
        <v>136.0</v>
      </c>
      <c r="J404" s="1" t="s">
        <v>838</v>
      </c>
      <c r="K404" s="1" t="s">
        <v>843</v>
      </c>
      <c r="L404" s="6">
        <v>199.99</v>
      </c>
      <c r="M404" s="6">
        <v>199.99</v>
      </c>
      <c r="N404" s="1" t="s">
        <v>663</v>
      </c>
      <c r="O404" s="7"/>
      <c r="P404" s="1" t="s">
        <v>852</v>
      </c>
      <c r="Q404" s="7"/>
      <c r="R404" s="1" t="s">
        <v>845</v>
      </c>
      <c r="S404" s="7"/>
      <c r="T404" s="7"/>
      <c r="U404" s="7"/>
      <c r="V404" s="7"/>
      <c r="W404" s="7"/>
      <c r="X404" s="7"/>
      <c r="Y404" s="8" t="str">
        <f>IFERROR(VLOOKUP(A404,Sheet3!B:H,6,false),VLOOKUP(J404,Sheet2!A:C,2,false))</f>
        <v>https://bedgear.com/cdn/shop/files/01-Grey-ProductShot-Stack_de9d1597-1c50-403a-a9af-2923ed02cd42.jpg</v>
      </c>
      <c r="Z404" s="8" t="str">
        <f>IFERROR(VLOOKUP(A404,Sheet3!B:H,7,false),VLOOKUP(J404,Sheet2!A:C,3,false))</f>
        <v>https://bedgear.com/products/dri-tec-sheet-set</v>
      </c>
    </row>
    <row r="405">
      <c r="A405" s="4">
        <v>5.9912115E7</v>
      </c>
      <c r="B405" s="5"/>
      <c r="C405" s="5"/>
      <c r="D405" s="5"/>
      <c r="E405" s="5"/>
      <c r="F405" s="5"/>
      <c r="G405" s="5"/>
      <c r="H405" s="5"/>
      <c r="I405" s="5"/>
      <c r="J405" s="1" t="s">
        <v>838</v>
      </c>
      <c r="K405" s="1" t="s">
        <v>839</v>
      </c>
      <c r="L405" s="6">
        <v>229.99</v>
      </c>
      <c r="M405" s="6">
        <v>229.99</v>
      </c>
      <c r="N405" s="1" t="s">
        <v>663</v>
      </c>
      <c r="O405" s="7"/>
      <c r="P405" s="1" t="s">
        <v>853</v>
      </c>
      <c r="Q405" s="7"/>
      <c r="R405" s="1" t="s">
        <v>373</v>
      </c>
      <c r="S405" s="7"/>
      <c r="T405" s="7"/>
      <c r="U405" s="7"/>
      <c r="V405" s="7"/>
      <c r="W405" s="7"/>
      <c r="X405" s="7"/>
      <c r="Y405" s="8" t="str">
        <f>IFERROR(VLOOKUP(A405,Sheet3!B:H,6,false),VLOOKUP(J405,Sheet2!A:C,2,false))</f>
        <v>https://bedgear.com/cdn/shop/files/01-Grey-ProductShot-Stack_de9d1597-1c50-403a-a9af-2923ed02cd42.jpg</v>
      </c>
      <c r="Z405" s="8" t="str">
        <f>IFERROR(VLOOKUP(A405,Sheet3!B:H,7,false),VLOOKUP(J405,Sheet2!A:C,3,false))</f>
        <v>https://bedgear.com/products/dri-tec-sheet-set</v>
      </c>
    </row>
    <row r="406">
      <c r="A406" s="4">
        <v>5.9912139E7</v>
      </c>
      <c r="B406" s="9">
        <v>1.0</v>
      </c>
      <c r="C406" s="9">
        <v>1.0</v>
      </c>
      <c r="D406" s="2" t="s">
        <v>835</v>
      </c>
      <c r="E406" s="2" t="s">
        <v>836</v>
      </c>
      <c r="F406" s="2" t="s">
        <v>837</v>
      </c>
      <c r="G406" s="9">
        <v>139.0</v>
      </c>
      <c r="H406" s="9">
        <v>4.06</v>
      </c>
      <c r="I406" s="9">
        <v>138.0</v>
      </c>
      <c r="J406" s="1" t="s">
        <v>838</v>
      </c>
      <c r="K406" s="1" t="s">
        <v>841</v>
      </c>
      <c r="L406" s="6">
        <v>229.99</v>
      </c>
      <c r="M406" s="6">
        <v>229.99</v>
      </c>
      <c r="N406" s="1" t="s">
        <v>663</v>
      </c>
      <c r="O406" s="7"/>
      <c r="P406" s="1" t="s">
        <v>853</v>
      </c>
      <c r="Q406" s="7"/>
      <c r="R406" s="1" t="s">
        <v>470</v>
      </c>
      <c r="S406" s="7"/>
      <c r="T406" s="7"/>
      <c r="U406" s="7"/>
      <c r="V406" s="7"/>
      <c r="W406" s="7"/>
      <c r="X406" s="7"/>
      <c r="Y406" s="8" t="str">
        <f>IFERROR(VLOOKUP(A406,Sheet3!B:H,6,false),VLOOKUP(J406,Sheet2!A:C,2,false))</f>
        <v>https://bedgear.com/cdn/shop/files/01-Grey-ProductShot-Stack_de9d1597-1c50-403a-a9af-2923ed02cd42.jpg</v>
      </c>
      <c r="Z406" s="8" t="str">
        <f>IFERROR(VLOOKUP(A406,Sheet3!B:H,7,false),VLOOKUP(J406,Sheet2!A:C,3,false))</f>
        <v>https://bedgear.com/products/dri-tec-sheet-set</v>
      </c>
    </row>
    <row r="407">
      <c r="A407" s="4">
        <v>5.9912153E7</v>
      </c>
      <c r="B407" s="9">
        <v>2.0</v>
      </c>
      <c r="C407" s="9">
        <v>5.0</v>
      </c>
      <c r="D407" s="2" t="s">
        <v>835</v>
      </c>
      <c r="E407" s="2" t="s">
        <v>836</v>
      </c>
      <c r="F407" s="2" t="s">
        <v>837</v>
      </c>
      <c r="G407" s="9">
        <v>139.0</v>
      </c>
      <c r="H407" s="9">
        <v>4.06</v>
      </c>
      <c r="I407" s="9">
        <v>137.0</v>
      </c>
      <c r="J407" s="1" t="s">
        <v>838</v>
      </c>
      <c r="K407" s="1" t="s">
        <v>846</v>
      </c>
      <c r="L407" s="6">
        <v>249.99</v>
      </c>
      <c r="M407" s="6">
        <v>249.99</v>
      </c>
      <c r="N407" s="1" t="s">
        <v>663</v>
      </c>
      <c r="O407" s="7"/>
      <c r="P407" s="1" t="s">
        <v>853</v>
      </c>
      <c r="Q407" s="7"/>
      <c r="R407" s="1" t="s">
        <v>848</v>
      </c>
      <c r="S407" s="7"/>
      <c r="T407" s="7"/>
      <c r="U407" s="7"/>
      <c r="V407" s="7"/>
      <c r="W407" s="7"/>
      <c r="X407" s="7"/>
      <c r="Y407" s="8" t="str">
        <f>IFERROR(VLOOKUP(A407,Sheet3!B:H,6,false),VLOOKUP(J407,Sheet2!A:C,2,false))</f>
        <v>https://bedgear.com/cdn/shop/files/01-Grey-ProductShot-Stack_de9d1597-1c50-403a-a9af-2923ed02cd42.jpg</v>
      </c>
      <c r="Z407" s="8" t="str">
        <f>IFERROR(VLOOKUP(A407,Sheet3!B:H,7,false),VLOOKUP(J407,Sheet2!A:C,3,false))</f>
        <v>https://bedgear.com/products/dri-tec-sheet-set</v>
      </c>
    </row>
    <row r="408">
      <c r="A408" s="4">
        <v>5.9912165E7</v>
      </c>
      <c r="B408" s="9">
        <v>1.0</v>
      </c>
      <c r="C408" s="9">
        <v>5.0</v>
      </c>
      <c r="D408" s="2" t="s">
        <v>835</v>
      </c>
      <c r="E408" s="2" t="s">
        <v>836</v>
      </c>
      <c r="F408" s="2" t="s">
        <v>837</v>
      </c>
      <c r="G408" s="9">
        <v>139.0</v>
      </c>
      <c r="H408" s="9">
        <v>4.06</v>
      </c>
      <c r="I408" s="9">
        <v>138.0</v>
      </c>
      <c r="J408" s="1" t="s">
        <v>838</v>
      </c>
      <c r="K408" s="1" t="s">
        <v>849</v>
      </c>
      <c r="L408" s="6">
        <v>279.99</v>
      </c>
      <c r="M408" s="6">
        <v>279.99</v>
      </c>
      <c r="N408" s="1" t="s">
        <v>663</v>
      </c>
      <c r="O408" s="7"/>
      <c r="P408" s="1" t="s">
        <v>853</v>
      </c>
      <c r="Q408" s="7"/>
      <c r="R408" s="1" t="s">
        <v>851</v>
      </c>
      <c r="S408" s="7"/>
      <c r="T408" s="7"/>
      <c r="U408" s="7"/>
      <c r="V408" s="7"/>
      <c r="W408" s="7"/>
      <c r="X408" s="7"/>
      <c r="Y408" s="8" t="str">
        <f>IFERROR(VLOOKUP(A408,Sheet3!B:H,6,false),VLOOKUP(J408,Sheet2!A:C,2,false))</f>
        <v>https://bedgear.com/cdn/shop/files/01-Grey-ProductShot-Stack_de9d1597-1c50-403a-a9af-2923ed02cd42.jpg</v>
      </c>
      <c r="Z408" s="8" t="str">
        <f>IFERROR(VLOOKUP(A408,Sheet3!B:H,7,false),VLOOKUP(J408,Sheet2!A:C,3,false))</f>
        <v>https://bedgear.com/products/dri-tec-sheet-set</v>
      </c>
    </row>
    <row r="409">
      <c r="A409" s="4">
        <v>5.9913028E7</v>
      </c>
      <c r="B409" s="9">
        <v>2.0</v>
      </c>
      <c r="C409" s="9">
        <v>4.0</v>
      </c>
      <c r="D409" s="2" t="s">
        <v>835</v>
      </c>
      <c r="E409" s="2" t="s">
        <v>836</v>
      </c>
      <c r="F409" s="2" t="s">
        <v>837</v>
      </c>
      <c r="G409" s="9">
        <v>139.0</v>
      </c>
      <c r="H409" s="9">
        <v>4.06</v>
      </c>
      <c r="I409" s="9">
        <v>137.0</v>
      </c>
      <c r="J409" s="1" t="s">
        <v>838</v>
      </c>
      <c r="K409" s="1" t="s">
        <v>839</v>
      </c>
      <c r="L409" s="6">
        <v>229.99</v>
      </c>
      <c r="M409" s="6">
        <v>229.99</v>
      </c>
      <c r="N409" s="1" t="s">
        <v>663</v>
      </c>
      <c r="O409" s="7"/>
      <c r="P409" s="1" t="s">
        <v>854</v>
      </c>
      <c r="Q409" s="7"/>
      <c r="R409" s="1" t="s">
        <v>373</v>
      </c>
      <c r="S409" s="7"/>
      <c r="T409" s="7"/>
      <c r="U409" s="7"/>
      <c r="V409" s="7"/>
      <c r="W409" s="7"/>
      <c r="X409" s="7"/>
      <c r="Y409" s="8" t="str">
        <f>IFERROR(VLOOKUP(A409,Sheet3!B:H,6,false),VLOOKUP(J409,Sheet2!A:C,2,false))</f>
        <v>https://bedgear.com/cdn/shop/files/01-Grey-ProductShot-Stack_de9d1597-1c50-403a-a9af-2923ed02cd42.jpg</v>
      </c>
      <c r="Z409" s="8" t="str">
        <f>IFERROR(VLOOKUP(A409,Sheet3!B:H,7,false),VLOOKUP(J409,Sheet2!A:C,3,false))</f>
        <v>https://bedgear.com/products/dri-tec-sheet-set</v>
      </c>
    </row>
    <row r="410">
      <c r="A410" s="4">
        <v>5.991303E7</v>
      </c>
      <c r="B410" s="9">
        <v>19.0</v>
      </c>
      <c r="C410" s="9">
        <v>3.95</v>
      </c>
      <c r="D410" s="2" t="s">
        <v>835</v>
      </c>
      <c r="E410" s="2" t="s">
        <v>836</v>
      </c>
      <c r="F410" s="2" t="s">
        <v>837</v>
      </c>
      <c r="G410" s="9">
        <v>139.0</v>
      </c>
      <c r="H410" s="9">
        <v>4.06</v>
      </c>
      <c r="I410" s="9">
        <v>120.0</v>
      </c>
      <c r="J410" s="1" t="s">
        <v>838</v>
      </c>
      <c r="K410" s="1" t="s">
        <v>841</v>
      </c>
      <c r="L410" s="6">
        <v>229.99</v>
      </c>
      <c r="M410" s="6">
        <v>229.99</v>
      </c>
      <c r="N410" s="1" t="s">
        <v>663</v>
      </c>
      <c r="O410" s="7"/>
      <c r="P410" s="1" t="s">
        <v>855</v>
      </c>
      <c r="Q410" s="7"/>
      <c r="R410" s="1" t="s">
        <v>470</v>
      </c>
      <c r="S410" s="7"/>
      <c r="T410" s="7"/>
      <c r="U410" s="7"/>
      <c r="V410" s="7"/>
      <c r="W410" s="7"/>
      <c r="X410" s="7"/>
      <c r="Y410" s="8" t="str">
        <f>IFERROR(VLOOKUP(A410,Sheet3!B:H,6,false),VLOOKUP(J410,Sheet2!A:C,2,false))</f>
        <v>https://bedgear.com/cdn/shop/files/01-Grey-ProductShot-Stack_de9d1597-1c50-403a-a9af-2923ed02cd42.jpg</v>
      </c>
      <c r="Z410" s="8" t="str">
        <f>IFERROR(VLOOKUP(A410,Sheet3!B:H,7,false),VLOOKUP(J410,Sheet2!A:C,3,false))</f>
        <v>https://bedgear.com/products/dri-tec-sheet-set</v>
      </c>
    </row>
    <row r="411">
      <c r="A411" s="4">
        <v>5.991308E7</v>
      </c>
      <c r="B411" s="5"/>
      <c r="C411" s="5"/>
      <c r="D411" s="2" t="s">
        <v>856</v>
      </c>
      <c r="E411" s="2" t="s">
        <v>836</v>
      </c>
      <c r="F411" s="2" t="s">
        <v>857</v>
      </c>
      <c r="G411" s="9">
        <v>82.0</v>
      </c>
      <c r="H411" s="9">
        <v>4.3</v>
      </c>
      <c r="I411" s="5"/>
      <c r="J411" s="1" t="s">
        <v>858</v>
      </c>
      <c r="K411" s="1" t="s">
        <v>859</v>
      </c>
      <c r="L411" s="6">
        <v>59.99</v>
      </c>
      <c r="M411" s="6">
        <v>59.99</v>
      </c>
      <c r="N411" s="1" t="s">
        <v>663</v>
      </c>
      <c r="O411" s="7"/>
      <c r="P411" s="1" t="s">
        <v>860</v>
      </c>
      <c r="Q411" s="7"/>
      <c r="R411" s="1" t="s">
        <v>242</v>
      </c>
      <c r="S411" s="7"/>
      <c r="T411" s="7"/>
      <c r="U411" s="7"/>
      <c r="V411" s="7"/>
      <c r="W411" s="7"/>
      <c r="X411" s="7"/>
      <c r="Y411" s="8" t="str">
        <f>IFERROR(VLOOKUP(A411,Sheet3!B:H,6,false),VLOOKUP(J411,Sheet2!A:C,2,false))</f>
        <v>https://bedgear.com/cdn/shop/files/Medium_Beige-01-ProductShot-Stack_e8704345-f3db-4f47-af72-515431ff0e9a.jpg</v>
      </c>
      <c r="Z411" s="8" t="str">
        <f>IFERROR(VLOOKUP(A411,Sheet3!B:H,7,false),VLOOKUP(J411,Sheet2!A:C,3,false))</f>
        <v>https://bedgear.com/products/basic-sheet-set</v>
      </c>
    </row>
    <row r="412">
      <c r="A412" s="4">
        <v>5.9913092E7</v>
      </c>
      <c r="B412" s="9">
        <v>36.0</v>
      </c>
      <c r="C412" s="9">
        <v>4.42</v>
      </c>
      <c r="D412" s="2" t="s">
        <v>856</v>
      </c>
      <c r="E412" s="2" t="s">
        <v>836</v>
      </c>
      <c r="F412" s="2" t="s">
        <v>857</v>
      </c>
      <c r="G412" s="9">
        <v>82.0</v>
      </c>
      <c r="H412" s="9">
        <v>4.3</v>
      </c>
      <c r="I412" s="9">
        <v>46.0</v>
      </c>
      <c r="J412" s="1" t="s">
        <v>858</v>
      </c>
      <c r="K412" s="1" t="s">
        <v>861</v>
      </c>
      <c r="L412" s="6">
        <v>64.99</v>
      </c>
      <c r="M412" s="6">
        <v>64.99</v>
      </c>
      <c r="N412" s="1" t="s">
        <v>663</v>
      </c>
      <c r="O412" s="7"/>
      <c r="P412" s="1" t="s">
        <v>862</v>
      </c>
      <c r="Q412" s="7"/>
      <c r="R412" s="1" t="s">
        <v>32</v>
      </c>
      <c r="S412" s="7"/>
      <c r="T412" s="7"/>
      <c r="U412" s="7"/>
      <c r="V412" s="7"/>
      <c r="W412" s="7"/>
      <c r="X412" s="7"/>
      <c r="Y412" s="8" t="str">
        <f>IFERROR(VLOOKUP(A412,Sheet3!B:H,6,false),VLOOKUP(J412,Sheet2!A:C,2,false))</f>
        <v>https://bedgear.com/cdn/shop/files/Medium_Beige-01-ProductShot-Stack_e8704345-f3db-4f47-af72-515431ff0e9a.jpg</v>
      </c>
      <c r="Z412" s="8" t="str">
        <f>IFERROR(VLOOKUP(A412,Sheet3!B:H,7,false),VLOOKUP(J412,Sheet2!A:C,3,false))</f>
        <v>https://bedgear.com/products/basic-sheet-set</v>
      </c>
    </row>
    <row r="413">
      <c r="A413" s="4">
        <v>5.9913105E7</v>
      </c>
      <c r="B413" s="9">
        <v>3.0</v>
      </c>
      <c r="C413" s="9">
        <v>5.0</v>
      </c>
      <c r="D413" s="2" t="s">
        <v>835</v>
      </c>
      <c r="E413" s="2" t="s">
        <v>836</v>
      </c>
      <c r="F413" s="2" t="s">
        <v>837</v>
      </c>
      <c r="G413" s="9">
        <v>139.0</v>
      </c>
      <c r="H413" s="9">
        <v>4.06</v>
      </c>
      <c r="I413" s="9">
        <v>136.0</v>
      </c>
      <c r="J413" s="1" t="s">
        <v>838</v>
      </c>
      <c r="K413" s="1" t="s">
        <v>863</v>
      </c>
      <c r="L413" s="6">
        <v>199.99</v>
      </c>
      <c r="M413" s="6">
        <v>199.99</v>
      </c>
      <c r="N413" s="1" t="s">
        <v>663</v>
      </c>
      <c r="O413" s="7"/>
      <c r="P413" s="1" t="s">
        <v>864</v>
      </c>
      <c r="Q413" s="7"/>
      <c r="R413" s="1" t="s">
        <v>845</v>
      </c>
      <c r="S413" s="7"/>
      <c r="T413" s="7"/>
      <c r="U413" s="7"/>
      <c r="V413" s="7"/>
      <c r="W413" s="7"/>
      <c r="X413" s="7"/>
      <c r="Y413" s="8" t="str">
        <f>IFERROR(VLOOKUP(A413,Sheet3!B:H,6,false),VLOOKUP(J413,Sheet2!A:C,2,false))</f>
        <v>https://bedgear.com/cdn/shop/files/01-Grey-ProductShot-Stack_de9d1597-1c50-403a-a9af-2923ed02cd42.jpg</v>
      </c>
      <c r="Z413" s="8" t="str">
        <f>IFERROR(VLOOKUP(A413,Sheet3!B:H,7,false),VLOOKUP(J413,Sheet2!A:C,3,false))</f>
        <v>https://bedgear.com/products/dri-tec-sheet-set</v>
      </c>
    </row>
    <row r="414">
      <c r="A414" s="4">
        <v>5.9913117E7</v>
      </c>
      <c r="B414" s="9">
        <v>3.0</v>
      </c>
      <c r="C414" s="9">
        <v>2.67</v>
      </c>
      <c r="D414" s="2" t="s">
        <v>835</v>
      </c>
      <c r="E414" s="2" t="s">
        <v>836</v>
      </c>
      <c r="F414" s="2" t="s">
        <v>837</v>
      </c>
      <c r="G414" s="9">
        <v>139.0</v>
      </c>
      <c r="H414" s="9">
        <v>4.06</v>
      </c>
      <c r="I414" s="9">
        <v>136.0</v>
      </c>
      <c r="J414" s="1" t="s">
        <v>838</v>
      </c>
      <c r="K414" s="1" t="s">
        <v>865</v>
      </c>
      <c r="L414" s="6">
        <v>279.99</v>
      </c>
      <c r="M414" s="6">
        <v>279.99</v>
      </c>
      <c r="N414" s="1" t="s">
        <v>663</v>
      </c>
      <c r="O414" s="7"/>
      <c r="P414" s="1" t="s">
        <v>866</v>
      </c>
      <c r="Q414" s="7"/>
      <c r="R414" s="1" t="s">
        <v>848</v>
      </c>
      <c r="S414" s="7"/>
      <c r="T414" s="7"/>
      <c r="U414" s="7"/>
      <c r="V414" s="7"/>
      <c r="W414" s="7"/>
      <c r="X414" s="7"/>
      <c r="Y414" s="8" t="str">
        <f>IFERROR(VLOOKUP(A414,Sheet3!B:H,6,false),VLOOKUP(J414,Sheet2!A:C,2,false))</f>
        <v>https://bedgear.com/cdn/shop/files/01-Grey-ProductShot-Stack_de9d1597-1c50-403a-a9af-2923ed02cd42.jpg</v>
      </c>
      <c r="Z414" s="8" t="str">
        <f>IFERROR(VLOOKUP(A414,Sheet3!B:H,7,false),VLOOKUP(J414,Sheet2!A:C,3,false))</f>
        <v>https://bedgear.com/products/dri-tec-sheet-set</v>
      </c>
    </row>
    <row r="415">
      <c r="A415" s="4">
        <v>5.9913129E7</v>
      </c>
      <c r="B415" s="9">
        <v>1.0</v>
      </c>
      <c r="C415" s="9">
        <v>5.0</v>
      </c>
      <c r="D415" s="2" t="s">
        <v>835</v>
      </c>
      <c r="E415" s="2" t="s">
        <v>836</v>
      </c>
      <c r="F415" s="2" t="s">
        <v>837</v>
      </c>
      <c r="G415" s="9">
        <v>139.0</v>
      </c>
      <c r="H415" s="9">
        <v>4.06</v>
      </c>
      <c r="I415" s="9">
        <v>138.0</v>
      </c>
      <c r="J415" s="1" t="s">
        <v>838</v>
      </c>
      <c r="K415" s="1" t="s">
        <v>867</v>
      </c>
      <c r="L415" s="6">
        <v>279.99</v>
      </c>
      <c r="M415" s="6">
        <v>279.99</v>
      </c>
      <c r="N415" s="1" t="s">
        <v>663</v>
      </c>
      <c r="O415" s="7"/>
      <c r="P415" s="1" t="s">
        <v>868</v>
      </c>
      <c r="Q415" s="7"/>
      <c r="R415" s="1" t="s">
        <v>851</v>
      </c>
      <c r="S415" s="7"/>
      <c r="T415" s="7"/>
      <c r="U415" s="7"/>
      <c r="V415" s="7"/>
      <c r="W415" s="7"/>
      <c r="X415" s="7"/>
      <c r="Y415" s="8" t="str">
        <f>IFERROR(VLOOKUP(A415,Sheet3!B:H,6,false),VLOOKUP(J415,Sheet2!A:C,2,false))</f>
        <v>https://bedgear.com/cdn/shop/files/01-Grey-ProductShot-Stack_de9d1597-1c50-403a-a9af-2923ed02cd42.jpg</v>
      </c>
      <c r="Z415" s="8" t="str">
        <f>IFERROR(VLOOKUP(A415,Sheet3!B:H,7,false),VLOOKUP(J415,Sheet2!A:C,3,false))</f>
        <v>https://bedgear.com/products/dri-tec-sheet-set</v>
      </c>
    </row>
    <row r="416">
      <c r="A416" s="4">
        <v>5.9913206E7</v>
      </c>
      <c r="B416" s="9">
        <v>74.0</v>
      </c>
      <c r="C416" s="9">
        <v>4.58</v>
      </c>
      <c r="D416" s="2" t="s">
        <v>869</v>
      </c>
      <c r="E416" s="2" t="s">
        <v>836</v>
      </c>
      <c r="F416" s="2" t="s">
        <v>870</v>
      </c>
      <c r="G416" s="9">
        <v>160.0</v>
      </c>
      <c r="H416" s="9">
        <v>4.51</v>
      </c>
      <c r="I416" s="9">
        <v>86.0</v>
      </c>
      <c r="J416" s="1" t="s">
        <v>871</v>
      </c>
      <c r="K416" s="1" t="s">
        <v>872</v>
      </c>
      <c r="L416" s="6">
        <v>149.99</v>
      </c>
      <c r="M416" s="6">
        <v>149.99</v>
      </c>
      <c r="N416" s="1" t="s">
        <v>663</v>
      </c>
      <c r="O416" s="7"/>
      <c r="P416" s="1" t="s">
        <v>873</v>
      </c>
      <c r="Q416" s="7"/>
      <c r="R416" s="1" t="s">
        <v>242</v>
      </c>
      <c r="S416" s="7"/>
      <c r="T416" s="7"/>
      <c r="U416" s="7"/>
      <c r="V416" s="7"/>
      <c r="W416" s="7"/>
      <c r="X416" s="7"/>
      <c r="Y416" s="8" t="str">
        <f>IFERROR(VLOOKUP(A416,Sheet3!B:H,6,false),VLOOKUP(J416,Sheet2!A:C,2,false))</f>
        <v>https://bedgear.com/cdn/shop/files/01-Deep_Teal-ProductShot-Stack_f961bca3-7fcb-42f6-81f6-67472a9025f5.jpg</v>
      </c>
      <c r="Z416" s="8" t="str">
        <f>IFERROR(VLOOKUP(A416,Sheet3!B:H,7,false),VLOOKUP(J416,Sheet2!A:C,3,false))</f>
        <v>https://bedgear.com/products/hyper-cotton-sheet-set</v>
      </c>
    </row>
    <row r="417">
      <c r="A417" s="4">
        <v>5.9913218E7</v>
      </c>
      <c r="B417" s="9">
        <v>2.0</v>
      </c>
      <c r="C417" s="9">
        <v>4.5</v>
      </c>
      <c r="D417" s="2" t="s">
        <v>869</v>
      </c>
      <c r="E417" s="2" t="s">
        <v>836</v>
      </c>
      <c r="F417" s="2" t="s">
        <v>870</v>
      </c>
      <c r="G417" s="9">
        <v>160.0</v>
      </c>
      <c r="H417" s="9">
        <v>4.51</v>
      </c>
      <c r="I417" s="9">
        <v>158.0</v>
      </c>
      <c r="J417" s="1" t="s">
        <v>871</v>
      </c>
      <c r="K417" s="1" t="s">
        <v>874</v>
      </c>
      <c r="L417" s="6">
        <v>159.99</v>
      </c>
      <c r="M417" s="6">
        <v>159.99</v>
      </c>
      <c r="N417" s="1" t="s">
        <v>663</v>
      </c>
      <c r="O417" s="7"/>
      <c r="P417" s="1" t="s">
        <v>873</v>
      </c>
      <c r="Q417" s="7"/>
      <c r="R417" s="1" t="s">
        <v>32</v>
      </c>
      <c r="S417" s="7"/>
      <c r="T417" s="7"/>
      <c r="U417" s="7"/>
      <c r="V417" s="7"/>
      <c r="W417" s="7"/>
      <c r="X417" s="7"/>
      <c r="Y417" s="8" t="str">
        <f>IFERROR(VLOOKUP(A417,Sheet3!B:H,6,false),VLOOKUP(J417,Sheet2!A:C,2,false))</f>
        <v>https://bedgear.com/cdn/shop/files/01-Deep_Teal-ProductShot-Stack_f961bca3-7fcb-42f6-81f6-67472a9025f5.jpg</v>
      </c>
      <c r="Z417" s="8" t="str">
        <f>IFERROR(VLOOKUP(A417,Sheet3!B:H,7,false),VLOOKUP(J417,Sheet2!A:C,3,false))</f>
        <v>https://bedgear.com/products/hyper-cotton-sheet-set</v>
      </c>
    </row>
    <row r="418">
      <c r="A418" s="4">
        <v>5.991322E7</v>
      </c>
      <c r="B418" s="9">
        <v>4.0</v>
      </c>
      <c r="C418" s="9">
        <v>4.5</v>
      </c>
      <c r="D418" s="2" t="s">
        <v>869</v>
      </c>
      <c r="E418" s="2" t="s">
        <v>836</v>
      </c>
      <c r="F418" s="2" t="s">
        <v>870</v>
      </c>
      <c r="G418" s="9">
        <v>160.0</v>
      </c>
      <c r="H418" s="9">
        <v>4.51</v>
      </c>
      <c r="I418" s="9">
        <v>156.0</v>
      </c>
      <c r="J418" s="1" t="s">
        <v>871</v>
      </c>
      <c r="K418" s="1" t="s">
        <v>875</v>
      </c>
      <c r="L418" s="6">
        <v>179.99</v>
      </c>
      <c r="M418" s="6">
        <v>179.99</v>
      </c>
      <c r="N418" s="1" t="s">
        <v>663</v>
      </c>
      <c r="O418" s="7"/>
      <c r="P418" s="1" t="s">
        <v>873</v>
      </c>
      <c r="Q418" s="7"/>
      <c r="R418" s="1" t="s">
        <v>373</v>
      </c>
      <c r="S418" s="7"/>
      <c r="T418" s="7"/>
      <c r="U418" s="7"/>
      <c r="V418" s="7"/>
      <c r="W418" s="7"/>
      <c r="X418" s="7"/>
      <c r="Y418" s="8" t="str">
        <f>IFERROR(VLOOKUP(A418,Sheet3!B:H,6,false),VLOOKUP(J418,Sheet2!A:C,2,false))</f>
        <v>https://bedgear.com/cdn/shop/files/01-Deep_Teal-ProductShot-Stack_f961bca3-7fcb-42f6-81f6-67472a9025f5.jpg</v>
      </c>
      <c r="Z418" s="8" t="str">
        <f>IFERROR(VLOOKUP(A418,Sheet3!B:H,7,false),VLOOKUP(J418,Sheet2!A:C,3,false))</f>
        <v>https://bedgear.com/products/hyper-cotton-sheet-set</v>
      </c>
    </row>
    <row r="419">
      <c r="A419" s="4">
        <v>5.9913232E7</v>
      </c>
      <c r="B419" s="9">
        <v>10.0</v>
      </c>
      <c r="C419" s="9">
        <v>4.5</v>
      </c>
      <c r="D419" s="2" t="s">
        <v>869</v>
      </c>
      <c r="E419" s="2" t="s">
        <v>836</v>
      </c>
      <c r="F419" s="2" t="s">
        <v>870</v>
      </c>
      <c r="G419" s="9">
        <v>160.0</v>
      </c>
      <c r="H419" s="9">
        <v>4.51</v>
      </c>
      <c r="I419" s="9">
        <v>150.0</v>
      </c>
      <c r="J419" s="1" t="s">
        <v>871</v>
      </c>
      <c r="K419" s="1" t="s">
        <v>876</v>
      </c>
      <c r="L419" s="6">
        <v>199.99</v>
      </c>
      <c r="M419" s="6">
        <v>199.99</v>
      </c>
      <c r="N419" s="1" t="s">
        <v>663</v>
      </c>
      <c r="O419" s="7"/>
      <c r="P419" s="1" t="s">
        <v>873</v>
      </c>
      <c r="Q419" s="7"/>
      <c r="R419" s="1" t="s">
        <v>470</v>
      </c>
      <c r="S419" s="7"/>
      <c r="T419" s="7"/>
      <c r="U419" s="7"/>
      <c r="V419" s="7"/>
      <c r="W419" s="7"/>
      <c r="X419" s="7"/>
      <c r="Y419" s="8" t="str">
        <f>IFERROR(VLOOKUP(A419,Sheet3!B:H,6,false),VLOOKUP(J419,Sheet2!A:C,2,false))</f>
        <v>https://bedgear.com/cdn/shop/files/01-Deep_Teal-ProductShot-Stack_f961bca3-7fcb-42f6-81f6-67472a9025f5.jpg</v>
      </c>
      <c r="Z419" s="8" t="str">
        <f>IFERROR(VLOOKUP(A419,Sheet3!B:H,7,false),VLOOKUP(J419,Sheet2!A:C,3,false))</f>
        <v>https://bedgear.com/products/hyper-cotton-sheet-set</v>
      </c>
    </row>
    <row r="420">
      <c r="A420" s="4">
        <v>5.9913244E7</v>
      </c>
      <c r="B420" s="9">
        <v>3.0</v>
      </c>
      <c r="C420" s="9">
        <v>5.0</v>
      </c>
      <c r="D420" s="2" t="s">
        <v>869</v>
      </c>
      <c r="E420" s="2" t="s">
        <v>836</v>
      </c>
      <c r="F420" s="2" t="s">
        <v>870</v>
      </c>
      <c r="G420" s="9">
        <v>160.0</v>
      </c>
      <c r="H420" s="9">
        <v>4.51</v>
      </c>
      <c r="I420" s="9">
        <v>157.0</v>
      </c>
      <c r="J420" s="1" t="s">
        <v>871</v>
      </c>
      <c r="K420" s="1" t="s">
        <v>877</v>
      </c>
      <c r="L420" s="6">
        <v>229.99</v>
      </c>
      <c r="M420" s="6">
        <v>229.99</v>
      </c>
      <c r="N420" s="1" t="s">
        <v>663</v>
      </c>
      <c r="O420" s="7"/>
      <c r="P420" s="1" t="s">
        <v>873</v>
      </c>
      <c r="Q420" s="7"/>
      <c r="R420" s="1" t="s">
        <v>568</v>
      </c>
      <c r="S420" s="7"/>
      <c r="T420" s="7"/>
      <c r="U420" s="7"/>
      <c r="V420" s="7"/>
      <c r="W420" s="7"/>
      <c r="X420" s="7"/>
      <c r="Y420" s="8" t="str">
        <f>IFERROR(VLOOKUP(A420,Sheet3!B:H,6,false),VLOOKUP(J420,Sheet2!A:C,2,false))</f>
        <v>https://bedgear.com/cdn/shop/files/01-Deep_Teal-ProductShot-Stack_f961bca3-7fcb-42f6-81f6-67472a9025f5.jpg</v>
      </c>
      <c r="Z420" s="8" t="str">
        <f>IFERROR(VLOOKUP(A420,Sheet3!B:H,7,false),VLOOKUP(J420,Sheet2!A:C,3,false))</f>
        <v>https://bedgear.com/products/hyper-cotton-sheet-set</v>
      </c>
    </row>
    <row r="421">
      <c r="A421" s="4">
        <v>5.9913256E7</v>
      </c>
      <c r="B421" s="5"/>
      <c r="C421" s="5"/>
      <c r="D421" s="5"/>
      <c r="E421" s="5"/>
      <c r="F421" s="5"/>
      <c r="G421" s="5"/>
      <c r="H421" s="5"/>
      <c r="I421" s="5"/>
      <c r="J421" s="1" t="s">
        <v>871</v>
      </c>
      <c r="K421" s="1" t="s">
        <v>878</v>
      </c>
      <c r="L421" s="6">
        <v>229.99</v>
      </c>
      <c r="M421" s="6">
        <v>229.99</v>
      </c>
      <c r="N421" s="1" t="s">
        <v>663</v>
      </c>
      <c r="O421" s="7"/>
      <c r="P421" s="1" t="s">
        <v>873</v>
      </c>
      <c r="Q421" s="7"/>
      <c r="R421" s="1" t="s">
        <v>670</v>
      </c>
      <c r="S421" s="7"/>
      <c r="T421" s="7"/>
      <c r="U421" s="7"/>
      <c r="V421" s="7"/>
      <c r="W421" s="7"/>
      <c r="X421" s="7"/>
      <c r="Y421" s="8" t="str">
        <f>IFERROR(VLOOKUP(A421,Sheet3!B:H,6,false),VLOOKUP(J421,Sheet2!A:C,2,false))</f>
        <v>https://bedgear.com/cdn/shop/files/01-Deep_Teal-ProductShot-Stack_f961bca3-7fcb-42f6-81f6-67472a9025f5.jpg</v>
      </c>
      <c r="Z421" s="8" t="str">
        <f>IFERROR(VLOOKUP(A421,Sheet3!B:H,7,false),VLOOKUP(J421,Sheet2!A:C,3,false))</f>
        <v>https://bedgear.com/products/hyper-cotton-sheet-set</v>
      </c>
    </row>
    <row r="422">
      <c r="A422" s="4">
        <v>5.9913268E7</v>
      </c>
      <c r="B422" s="9">
        <v>6.0</v>
      </c>
      <c r="C422" s="9">
        <v>4.83</v>
      </c>
      <c r="D422" s="2" t="s">
        <v>869</v>
      </c>
      <c r="E422" s="2" t="s">
        <v>836</v>
      </c>
      <c r="F422" s="2" t="s">
        <v>870</v>
      </c>
      <c r="G422" s="9">
        <v>160.0</v>
      </c>
      <c r="H422" s="9">
        <v>4.51</v>
      </c>
      <c r="I422" s="9">
        <v>154.0</v>
      </c>
      <c r="J422" s="1" t="s">
        <v>871</v>
      </c>
      <c r="K422" s="1" t="s">
        <v>879</v>
      </c>
      <c r="L422" s="6">
        <v>249.99</v>
      </c>
      <c r="M422" s="6">
        <v>249.99</v>
      </c>
      <c r="N422" s="1" t="s">
        <v>663</v>
      </c>
      <c r="O422" s="7"/>
      <c r="P422" s="1" t="s">
        <v>873</v>
      </c>
      <c r="Q422" s="7"/>
      <c r="R422" s="1" t="s">
        <v>692</v>
      </c>
      <c r="S422" s="7"/>
      <c r="T422" s="7"/>
      <c r="U422" s="7"/>
      <c r="V422" s="7"/>
      <c r="W422" s="7"/>
      <c r="X422" s="7"/>
      <c r="Y422" s="8" t="str">
        <f>IFERROR(VLOOKUP(A422,Sheet3!B:H,6,false),VLOOKUP(J422,Sheet2!A:C,2,false))</f>
        <v>https://bedgear.com/cdn/shop/files/01-Deep_Teal-ProductShot-Stack_f961bca3-7fcb-42f6-81f6-67472a9025f5.jpg</v>
      </c>
      <c r="Z422" s="8" t="str">
        <f>IFERROR(VLOOKUP(A422,Sheet3!B:H,7,false),VLOOKUP(J422,Sheet2!A:C,3,false))</f>
        <v>https://bedgear.com/products/hyper-cotton-sheet-set</v>
      </c>
    </row>
    <row r="423">
      <c r="A423" s="4">
        <v>5.991327E7</v>
      </c>
      <c r="B423" s="5"/>
      <c r="C423" s="5"/>
      <c r="D423" s="5"/>
      <c r="E423" s="5"/>
      <c r="F423" s="5"/>
      <c r="G423" s="5"/>
      <c r="H423" s="5"/>
      <c r="I423" s="5"/>
      <c r="J423" s="1" t="s">
        <v>871</v>
      </c>
      <c r="K423" s="1" t="s">
        <v>880</v>
      </c>
      <c r="L423" s="6">
        <v>249.99</v>
      </c>
      <c r="M423" s="6">
        <v>249.99</v>
      </c>
      <c r="N423" s="1" t="s">
        <v>663</v>
      </c>
      <c r="O423" s="7"/>
      <c r="P423" s="1" t="s">
        <v>873</v>
      </c>
      <c r="Q423" s="7"/>
      <c r="R423" s="1" t="s">
        <v>710</v>
      </c>
      <c r="S423" s="7"/>
      <c r="T423" s="7"/>
      <c r="U423" s="7"/>
      <c r="V423" s="7"/>
      <c r="W423" s="7"/>
      <c r="X423" s="7"/>
      <c r="Y423" s="8" t="str">
        <f>IFERROR(VLOOKUP(A423,Sheet3!B:H,6,false),VLOOKUP(J423,Sheet2!A:C,2,false))</f>
        <v>https://bedgear.com/cdn/shop/files/01-Deep_Teal-ProductShot-Stack_f961bca3-7fcb-42f6-81f6-67472a9025f5.jpg</v>
      </c>
      <c r="Z423" s="8" t="str">
        <f>IFERROR(VLOOKUP(A423,Sheet3!B:H,7,false),VLOOKUP(J423,Sheet2!A:C,3,false))</f>
        <v>https://bedgear.com/products/hyper-cotton-sheet-set</v>
      </c>
    </row>
    <row r="424">
      <c r="A424" s="4">
        <v>5.9913307E7</v>
      </c>
      <c r="B424" s="5"/>
      <c r="C424" s="5"/>
      <c r="D424" s="5"/>
      <c r="E424" s="5"/>
      <c r="F424" s="5"/>
      <c r="G424" s="5"/>
      <c r="H424" s="5"/>
      <c r="I424" s="5"/>
      <c r="J424" s="1" t="s">
        <v>871</v>
      </c>
      <c r="K424" s="1" t="s">
        <v>872</v>
      </c>
      <c r="L424" s="6">
        <v>149.99</v>
      </c>
      <c r="M424" s="6">
        <v>149.99</v>
      </c>
      <c r="N424" s="1" t="s">
        <v>663</v>
      </c>
      <c r="O424" s="7"/>
      <c r="P424" s="1" t="s">
        <v>881</v>
      </c>
      <c r="Q424" s="7"/>
      <c r="R424" s="1" t="s">
        <v>242</v>
      </c>
      <c r="S424" s="7"/>
      <c r="T424" s="7"/>
      <c r="U424" s="7"/>
      <c r="V424" s="7"/>
      <c r="W424" s="7"/>
      <c r="X424" s="7"/>
      <c r="Y424" s="8" t="str">
        <f>IFERROR(VLOOKUP(A424,Sheet3!B:H,6,false),VLOOKUP(J424,Sheet2!A:C,2,false))</f>
        <v>https://bedgear.com/cdn/shop/files/01-Deep_Teal-ProductShot-Stack_f961bca3-7fcb-42f6-81f6-67472a9025f5.jpg</v>
      </c>
      <c r="Z424" s="8" t="str">
        <f>IFERROR(VLOOKUP(A424,Sheet3!B:H,7,false),VLOOKUP(J424,Sheet2!A:C,3,false))</f>
        <v>https://bedgear.com/products/hyper-cotton-sheet-set</v>
      </c>
    </row>
    <row r="425">
      <c r="A425" s="4">
        <v>5.9913319E7</v>
      </c>
      <c r="B425" s="5"/>
      <c r="C425" s="5"/>
      <c r="D425" s="5"/>
      <c r="E425" s="5"/>
      <c r="F425" s="5"/>
      <c r="G425" s="5"/>
      <c r="H425" s="5"/>
      <c r="I425" s="5"/>
      <c r="J425" s="1" t="s">
        <v>871</v>
      </c>
      <c r="K425" s="1" t="s">
        <v>874</v>
      </c>
      <c r="L425" s="6">
        <v>159.99</v>
      </c>
      <c r="M425" s="6">
        <v>159.99</v>
      </c>
      <c r="N425" s="1" t="s">
        <v>663</v>
      </c>
      <c r="O425" s="7"/>
      <c r="P425" s="1" t="s">
        <v>881</v>
      </c>
      <c r="Q425" s="7"/>
      <c r="R425" s="1" t="s">
        <v>32</v>
      </c>
      <c r="S425" s="7"/>
      <c r="T425" s="7"/>
      <c r="U425" s="7"/>
      <c r="V425" s="7"/>
      <c r="W425" s="7"/>
      <c r="X425" s="7"/>
      <c r="Y425" s="8" t="str">
        <f>IFERROR(VLOOKUP(A425,Sheet3!B:H,6,false),VLOOKUP(J425,Sheet2!A:C,2,false))</f>
        <v>https://bedgear.com/cdn/shop/files/01-Deep_Teal-ProductShot-Stack_f961bca3-7fcb-42f6-81f6-67472a9025f5.jpg</v>
      </c>
      <c r="Z425" s="8" t="str">
        <f>IFERROR(VLOOKUP(A425,Sheet3!B:H,7,false),VLOOKUP(J425,Sheet2!A:C,3,false))</f>
        <v>https://bedgear.com/products/hyper-cotton-sheet-set</v>
      </c>
    </row>
    <row r="426">
      <c r="A426" s="4">
        <v>5.9913321E7</v>
      </c>
      <c r="B426" s="9">
        <v>1.0</v>
      </c>
      <c r="C426" s="9">
        <v>5.0</v>
      </c>
      <c r="D426" s="2" t="s">
        <v>869</v>
      </c>
      <c r="E426" s="2" t="s">
        <v>836</v>
      </c>
      <c r="F426" s="2" t="s">
        <v>870</v>
      </c>
      <c r="G426" s="9">
        <v>160.0</v>
      </c>
      <c r="H426" s="9">
        <v>4.51</v>
      </c>
      <c r="I426" s="9">
        <v>159.0</v>
      </c>
      <c r="J426" s="1" t="s">
        <v>871</v>
      </c>
      <c r="K426" s="1" t="s">
        <v>875</v>
      </c>
      <c r="L426" s="6">
        <v>179.99</v>
      </c>
      <c r="M426" s="6">
        <v>179.99</v>
      </c>
      <c r="N426" s="1" t="s">
        <v>663</v>
      </c>
      <c r="O426" s="7"/>
      <c r="P426" s="1" t="s">
        <v>881</v>
      </c>
      <c r="Q426" s="7"/>
      <c r="R426" s="1" t="s">
        <v>373</v>
      </c>
      <c r="S426" s="7"/>
      <c r="T426" s="7"/>
      <c r="U426" s="7"/>
      <c r="V426" s="7"/>
      <c r="W426" s="7"/>
      <c r="X426" s="7"/>
      <c r="Y426" s="8" t="str">
        <f>IFERROR(VLOOKUP(A426,Sheet3!B:H,6,false),VLOOKUP(J426,Sheet2!A:C,2,false))</f>
        <v>https://bedgear.com/cdn/shop/files/01-Deep_Teal-ProductShot-Stack_f961bca3-7fcb-42f6-81f6-67472a9025f5.jpg</v>
      </c>
      <c r="Z426" s="8" t="str">
        <f>IFERROR(VLOOKUP(A426,Sheet3!B:H,7,false),VLOOKUP(J426,Sheet2!A:C,3,false))</f>
        <v>https://bedgear.com/products/hyper-cotton-sheet-set</v>
      </c>
    </row>
    <row r="427">
      <c r="A427" s="4">
        <v>5.9913333E7</v>
      </c>
      <c r="B427" s="9">
        <v>16.0</v>
      </c>
      <c r="C427" s="9">
        <v>4.38</v>
      </c>
      <c r="D427" s="2" t="s">
        <v>869</v>
      </c>
      <c r="E427" s="2" t="s">
        <v>836</v>
      </c>
      <c r="F427" s="2" t="s">
        <v>870</v>
      </c>
      <c r="G427" s="9">
        <v>160.0</v>
      </c>
      <c r="H427" s="9">
        <v>4.51</v>
      </c>
      <c r="I427" s="9">
        <v>144.0</v>
      </c>
      <c r="J427" s="1" t="s">
        <v>871</v>
      </c>
      <c r="K427" s="1" t="s">
        <v>876</v>
      </c>
      <c r="L427" s="6">
        <v>199.99</v>
      </c>
      <c r="M427" s="6">
        <v>199.99</v>
      </c>
      <c r="N427" s="1" t="s">
        <v>663</v>
      </c>
      <c r="O427" s="7"/>
      <c r="P427" s="1" t="s">
        <v>881</v>
      </c>
      <c r="Q427" s="7"/>
      <c r="R427" s="1" t="s">
        <v>470</v>
      </c>
      <c r="S427" s="7"/>
      <c r="T427" s="7"/>
      <c r="U427" s="7"/>
      <c r="V427" s="7"/>
      <c r="W427" s="7"/>
      <c r="X427" s="7"/>
      <c r="Y427" s="8" t="str">
        <f>IFERROR(VLOOKUP(A427,Sheet3!B:H,6,false),VLOOKUP(J427,Sheet2!A:C,2,false))</f>
        <v>https://bedgear.com/cdn/shop/files/01-Deep_Teal-ProductShot-Stack_f961bca3-7fcb-42f6-81f6-67472a9025f5.jpg</v>
      </c>
      <c r="Z427" s="8" t="str">
        <f>IFERROR(VLOOKUP(A427,Sheet3!B:H,7,false),VLOOKUP(J427,Sheet2!A:C,3,false))</f>
        <v>https://bedgear.com/products/hyper-cotton-sheet-set</v>
      </c>
    </row>
    <row r="428">
      <c r="A428" s="4">
        <v>5.9913345E7</v>
      </c>
      <c r="B428" s="9">
        <v>8.0</v>
      </c>
      <c r="C428" s="9">
        <v>4.88</v>
      </c>
      <c r="D428" s="2" t="s">
        <v>869</v>
      </c>
      <c r="E428" s="2" t="s">
        <v>836</v>
      </c>
      <c r="F428" s="2" t="s">
        <v>870</v>
      </c>
      <c r="G428" s="9">
        <v>160.0</v>
      </c>
      <c r="H428" s="9">
        <v>4.51</v>
      </c>
      <c r="I428" s="9">
        <v>152.0</v>
      </c>
      <c r="J428" s="1" t="s">
        <v>871</v>
      </c>
      <c r="K428" s="1" t="s">
        <v>877</v>
      </c>
      <c r="L428" s="6">
        <v>229.99</v>
      </c>
      <c r="M428" s="6">
        <v>229.99</v>
      </c>
      <c r="N428" s="1" t="s">
        <v>663</v>
      </c>
      <c r="O428" s="7"/>
      <c r="P428" s="1" t="s">
        <v>881</v>
      </c>
      <c r="Q428" s="7"/>
      <c r="R428" s="1" t="s">
        <v>568</v>
      </c>
      <c r="S428" s="7"/>
      <c r="T428" s="7"/>
      <c r="U428" s="7"/>
      <c r="V428" s="7"/>
      <c r="W428" s="7"/>
      <c r="X428" s="7"/>
      <c r="Y428" s="8" t="str">
        <f>IFERROR(VLOOKUP(A428,Sheet3!B:H,6,false),VLOOKUP(J428,Sheet2!A:C,2,false))</f>
        <v>https://bedgear.com/cdn/shop/files/01-Deep_Teal-ProductShot-Stack_f961bca3-7fcb-42f6-81f6-67472a9025f5.jpg</v>
      </c>
      <c r="Z428" s="8" t="str">
        <f>IFERROR(VLOOKUP(A428,Sheet3!B:H,7,false),VLOOKUP(J428,Sheet2!A:C,3,false))</f>
        <v>https://bedgear.com/products/hyper-cotton-sheet-set</v>
      </c>
    </row>
    <row r="429">
      <c r="A429" s="4">
        <v>5.9913357E7</v>
      </c>
      <c r="B429" s="5"/>
      <c r="C429" s="5"/>
      <c r="D429" s="5"/>
      <c r="E429" s="5"/>
      <c r="F429" s="5"/>
      <c r="G429" s="5"/>
      <c r="H429" s="5"/>
      <c r="I429" s="5"/>
      <c r="J429" s="1" t="s">
        <v>871</v>
      </c>
      <c r="K429" s="1" t="s">
        <v>878</v>
      </c>
      <c r="L429" s="6">
        <v>229.99</v>
      </c>
      <c r="M429" s="6">
        <v>229.99</v>
      </c>
      <c r="N429" s="1" t="s">
        <v>663</v>
      </c>
      <c r="O429" s="7"/>
      <c r="P429" s="1" t="s">
        <v>881</v>
      </c>
      <c r="Q429" s="7"/>
      <c r="R429" s="1" t="s">
        <v>670</v>
      </c>
      <c r="S429" s="7"/>
      <c r="T429" s="7"/>
      <c r="U429" s="7"/>
      <c r="V429" s="7"/>
      <c r="W429" s="7"/>
      <c r="X429" s="7"/>
      <c r="Y429" s="8" t="str">
        <f>IFERROR(VLOOKUP(A429,Sheet3!B:H,6,false),VLOOKUP(J429,Sheet2!A:C,2,false))</f>
        <v>https://bedgear.com/cdn/shop/files/01-Deep_Teal-ProductShot-Stack_f961bca3-7fcb-42f6-81f6-67472a9025f5.jpg</v>
      </c>
      <c r="Z429" s="8" t="str">
        <f>IFERROR(VLOOKUP(A429,Sheet3!B:H,7,false),VLOOKUP(J429,Sheet2!A:C,3,false))</f>
        <v>https://bedgear.com/products/hyper-cotton-sheet-set</v>
      </c>
    </row>
    <row r="430">
      <c r="A430" s="4">
        <v>5.9913369E7</v>
      </c>
      <c r="B430" s="9">
        <v>3.0</v>
      </c>
      <c r="C430" s="9">
        <v>4.0</v>
      </c>
      <c r="D430" s="2" t="s">
        <v>869</v>
      </c>
      <c r="E430" s="2" t="s">
        <v>836</v>
      </c>
      <c r="F430" s="2" t="s">
        <v>870</v>
      </c>
      <c r="G430" s="9">
        <v>160.0</v>
      </c>
      <c r="H430" s="9">
        <v>4.51</v>
      </c>
      <c r="I430" s="9">
        <v>157.0</v>
      </c>
      <c r="J430" s="1" t="s">
        <v>871</v>
      </c>
      <c r="K430" s="1" t="s">
        <v>879</v>
      </c>
      <c r="L430" s="6">
        <v>249.99</v>
      </c>
      <c r="M430" s="6">
        <v>249.99</v>
      </c>
      <c r="N430" s="1" t="s">
        <v>663</v>
      </c>
      <c r="O430" s="7"/>
      <c r="P430" s="1" t="s">
        <v>881</v>
      </c>
      <c r="Q430" s="7"/>
      <c r="R430" s="1" t="s">
        <v>692</v>
      </c>
      <c r="S430" s="7"/>
      <c r="T430" s="7"/>
      <c r="U430" s="7"/>
      <c r="V430" s="7"/>
      <c r="W430" s="7"/>
      <c r="X430" s="7"/>
      <c r="Y430" s="8" t="str">
        <f>IFERROR(VLOOKUP(A430,Sheet3!B:H,6,false),VLOOKUP(J430,Sheet2!A:C,2,false))</f>
        <v>https://bedgear.com/cdn/shop/files/01-Deep_Teal-ProductShot-Stack_f961bca3-7fcb-42f6-81f6-67472a9025f5.jpg</v>
      </c>
      <c r="Z430" s="8" t="str">
        <f>IFERROR(VLOOKUP(A430,Sheet3!B:H,7,false),VLOOKUP(J430,Sheet2!A:C,3,false))</f>
        <v>https://bedgear.com/products/hyper-cotton-sheet-set</v>
      </c>
    </row>
    <row r="431">
      <c r="A431" s="4">
        <v>5.9913371E7</v>
      </c>
      <c r="B431" s="5"/>
      <c r="C431" s="5"/>
      <c r="D431" s="5"/>
      <c r="E431" s="5"/>
      <c r="F431" s="5"/>
      <c r="G431" s="5"/>
      <c r="H431" s="5"/>
      <c r="I431" s="5"/>
      <c r="J431" s="1" t="s">
        <v>871</v>
      </c>
      <c r="K431" s="1" t="s">
        <v>880</v>
      </c>
      <c r="L431" s="6">
        <v>249.99</v>
      </c>
      <c r="M431" s="6">
        <v>249.99</v>
      </c>
      <c r="N431" s="1" t="s">
        <v>663</v>
      </c>
      <c r="O431" s="7"/>
      <c r="P431" s="1" t="s">
        <v>881</v>
      </c>
      <c r="Q431" s="7"/>
      <c r="R431" s="1" t="s">
        <v>710</v>
      </c>
      <c r="S431" s="7"/>
      <c r="T431" s="7"/>
      <c r="U431" s="7"/>
      <c r="V431" s="7"/>
      <c r="W431" s="7"/>
      <c r="X431" s="7"/>
      <c r="Y431" s="8" t="str">
        <f>IFERROR(VLOOKUP(A431,Sheet3!B:H,6,false),VLOOKUP(J431,Sheet2!A:C,2,false))</f>
        <v>https://bedgear.com/cdn/shop/files/01-Deep_Teal-ProductShot-Stack_f961bca3-7fcb-42f6-81f6-67472a9025f5.jpg</v>
      </c>
      <c r="Z431" s="8" t="str">
        <f>IFERROR(VLOOKUP(A431,Sheet3!B:H,7,false),VLOOKUP(J431,Sheet2!A:C,3,false))</f>
        <v>https://bedgear.com/products/hyper-cotton-sheet-set</v>
      </c>
    </row>
    <row r="432">
      <c r="A432" s="4">
        <v>5.9913408E7</v>
      </c>
      <c r="B432" s="5"/>
      <c r="C432" s="5"/>
      <c r="D432" s="5"/>
      <c r="E432" s="5"/>
      <c r="F432" s="5"/>
      <c r="G432" s="5"/>
      <c r="H432" s="5"/>
      <c r="I432" s="5"/>
      <c r="J432" s="1" t="s">
        <v>871</v>
      </c>
      <c r="K432" s="1" t="s">
        <v>872</v>
      </c>
      <c r="L432" s="6">
        <v>149.99</v>
      </c>
      <c r="M432" s="6">
        <v>149.99</v>
      </c>
      <c r="N432" s="1" t="s">
        <v>663</v>
      </c>
      <c r="O432" s="7"/>
      <c r="P432" s="1" t="s">
        <v>881</v>
      </c>
      <c r="Q432" s="7"/>
      <c r="R432" s="1" t="s">
        <v>242</v>
      </c>
      <c r="S432" s="7"/>
      <c r="T432" s="7"/>
      <c r="U432" s="7"/>
      <c r="V432" s="7"/>
      <c r="W432" s="7"/>
      <c r="X432" s="7"/>
      <c r="Y432" s="8" t="str">
        <f>IFERROR(VLOOKUP(A432,Sheet3!B:H,6,false),VLOOKUP(J432,Sheet2!A:C,2,false))</f>
        <v>https://bedgear.com/cdn/shop/files/01-Deep_Teal-ProductShot-Stack_f961bca3-7fcb-42f6-81f6-67472a9025f5.jpg</v>
      </c>
      <c r="Z432" s="8" t="str">
        <f>IFERROR(VLOOKUP(A432,Sheet3!B:H,7,false),VLOOKUP(J432,Sheet2!A:C,3,false))</f>
        <v>https://bedgear.com/products/hyper-cotton-sheet-set</v>
      </c>
    </row>
    <row r="433">
      <c r="A433" s="4">
        <v>5.991341E7</v>
      </c>
      <c r="B433" s="9">
        <v>1.0</v>
      </c>
      <c r="C433" s="9">
        <v>1.0</v>
      </c>
      <c r="D433" s="2" t="s">
        <v>869</v>
      </c>
      <c r="E433" s="2" t="s">
        <v>836</v>
      </c>
      <c r="F433" s="2" t="s">
        <v>870</v>
      </c>
      <c r="G433" s="9">
        <v>160.0</v>
      </c>
      <c r="H433" s="9">
        <v>4.51</v>
      </c>
      <c r="I433" s="9">
        <v>159.0</v>
      </c>
      <c r="J433" s="1" t="s">
        <v>871</v>
      </c>
      <c r="K433" s="1" t="s">
        <v>874</v>
      </c>
      <c r="L433" s="6">
        <v>159.99</v>
      </c>
      <c r="M433" s="6">
        <v>159.99</v>
      </c>
      <c r="N433" s="1" t="s">
        <v>663</v>
      </c>
      <c r="O433" s="7"/>
      <c r="P433" s="1" t="s">
        <v>873</v>
      </c>
      <c r="Q433" s="7"/>
      <c r="R433" s="1" t="s">
        <v>32</v>
      </c>
      <c r="S433" s="7"/>
      <c r="T433" s="7"/>
      <c r="U433" s="7"/>
      <c r="V433" s="7"/>
      <c r="W433" s="7"/>
      <c r="X433" s="7"/>
      <c r="Y433" s="8" t="str">
        <f>IFERROR(VLOOKUP(A433,Sheet3!B:H,6,false),VLOOKUP(J433,Sheet2!A:C,2,false))</f>
        <v>https://bedgear.com/cdn/shop/files/01-Deep_Teal-ProductShot-Stack_f961bca3-7fcb-42f6-81f6-67472a9025f5.jpg</v>
      </c>
      <c r="Z433" s="8" t="str">
        <f>IFERROR(VLOOKUP(A433,Sheet3!B:H,7,false),VLOOKUP(J433,Sheet2!A:C,3,false))</f>
        <v>https://bedgear.com/products/hyper-cotton-sheet-set</v>
      </c>
    </row>
    <row r="434">
      <c r="A434" s="4">
        <v>5.9913422E7</v>
      </c>
      <c r="B434" s="9">
        <v>1.0</v>
      </c>
      <c r="C434" s="9">
        <v>5.0</v>
      </c>
      <c r="D434" s="2" t="s">
        <v>869</v>
      </c>
      <c r="E434" s="2" t="s">
        <v>836</v>
      </c>
      <c r="F434" s="2" t="s">
        <v>870</v>
      </c>
      <c r="G434" s="9">
        <v>160.0</v>
      </c>
      <c r="H434" s="9">
        <v>4.51</v>
      </c>
      <c r="I434" s="9">
        <v>159.0</v>
      </c>
      <c r="J434" s="1" t="s">
        <v>871</v>
      </c>
      <c r="K434" s="1" t="s">
        <v>875</v>
      </c>
      <c r="L434" s="6">
        <v>179.99</v>
      </c>
      <c r="M434" s="6">
        <v>179.99</v>
      </c>
      <c r="N434" s="1" t="s">
        <v>663</v>
      </c>
      <c r="O434" s="7"/>
      <c r="P434" s="1" t="s">
        <v>881</v>
      </c>
      <c r="Q434" s="7"/>
      <c r="R434" s="1" t="s">
        <v>373</v>
      </c>
      <c r="S434" s="7"/>
      <c r="T434" s="7"/>
      <c r="U434" s="7"/>
      <c r="V434" s="7"/>
      <c r="W434" s="7"/>
      <c r="X434" s="7"/>
      <c r="Y434" s="8" t="str">
        <f>IFERROR(VLOOKUP(A434,Sheet3!B:H,6,false),VLOOKUP(J434,Sheet2!A:C,2,false))</f>
        <v>https://bedgear.com/cdn/shop/files/01-Deep_Teal-ProductShot-Stack_f961bca3-7fcb-42f6-81f6-67472a9025f5.jpg</v>
      </c>
      <c r="Z434" s="8" t="str">
        <f>IFERROR(VLOOKUP(A434,Sheet3!B:H,7,false),VLOOKUP(J434,Sheet2!A:C,3,false))</f>
        <v>https://bedgear.com/products/hyper-cotton-sheet-set</v>
      </c>
    </row>
    <row r="435">
      <c r="A435" s="4">
        <v>5.9913434E7</v>
      </c>
      <c r="B435" s="9">
        <v>17.0</v>
      </c>
      <c r="C435" s="9">
        <v>4.24</v>
      </c>
      <c r="D435" s="2" t="s">
        <v>869</v>
      </c>
      <c r="E435" s="2" t="s">
        <v>836</v>
      </c>
      <c r="F435" s="2" t="s">
        <v>870</v>
      </c>
      <c r="G435" s="9">
        <v>160.0</v>
      </c>
      <c r="H435" s="9">
        <v>4.51</v>
      </c>
      <c r="I435" s="9">
        <v>143.0</v>
      </c>
      <c r="J435" s="1" t="s">
        <v>871</v>
      </c>
      <c r="K435" s="1" t="s">
        <v>876</v>
      </c>
      <c r="L435" s="6">
        <v>199.99</v>
      </c>
      <c r="M435" s="6">
        <v>199.99</v>
      </c>
      <c r="N435" s="1" t="s">
        <v>663</v>
      </c>
      <c r="O435" s="7"/>
      <c r="P435" s="1" t="s">
        <v>881</v>
      </c>
      <c r="Q435" s="7"/>
      <c r="R435" s="1" t="s">
        <v>470</v>
      </c>
      <c r="S435" s="7"/>
      <c r="T435" s="7"/>
      <c r="U435" s="7"/>
      <c r="V435" s="7"/>
      <c r="W435" s="7"/>
      <c r="X435" s="7"/>
      <c r="Y435" s="8" t="str">
        <f>IFERROR(VLOOKUP(A435,Sheet3!B:H,6,false),VLOOKUP(J435,Sheet2!A:C,2,false))</f>
        <v>https://bedgear.com/cdn/shop/files/01-Deep_Teal-ProductShot-Stack_f961bca3-7fcb-42f6-81f6-67472a9025f5.jpg</v>
      </c>
      <c r="Z435" s="8" t="str">
        <f>IFERROR(VLOOKUP(A435,Sheet3!B:H,7,false),VLOOKUP(J435,Sheet2!A:C,3,false))</f>
        <v>https://bedgear.com/products/hyper-cotton-sheet-set</v>
      </c>
    </row>
    <row r="436">
      <c r="A436" s="4">
        <v>5.9913446E7</v>
      </c>
      <c r="B436" s="9">
        <v>3.0</v>
      </c>
      <c r="C436" s="9">
        <v>4.33</v>
      </c>
      <c r="D436" s="2" t="s">
        <v>869</v>
      </c>
      <c r="E436" s="2" t="s">
        <v>836</v>
      </c>
      <c r="F436" s="2" t="s">
        <v>870</v>
      </c>
      <c r="G436" s="9">
        <v>160.0</v>
      </c>
      <c r="H436" s="9">
        <v>4.51</v>
      </c>
      <c r="I436" s="9">
        <v>157.0</v>
      </c>
      <c r="J436" s="1" t="s">
        <v>871</v>
      </c>
      <c r="K436" s="1" t="s">
        <v>877</v>
      </c>
      <c r="L436" s="6">
        <v>229.99</v>
      </c>
      <c r="M436" s="6">
        <v>229.99</v>
      </c>
      <c r="N436" s="1" t="s">
        <v>663</v>
      </c>
      <c r="O436" s="7"/>
      <c r="P436" s="1" t="s">
        <v>881</v>
      </c>
      <c r="Q436" s="7"/>
      <c r="R436" s="1" t="s">
        <v>568</v>
      </c>
      <c r="S436" s="7"/>
      <c r="T436" s="7"/>
      <c r="U436" s="7"/>
      <c r="V436" s="7"/>
      <c r="W436" s="7"/>
      <c r="X436" s="7"/>
      <c r="Y436" s="8" t="str">
        <f>IFERROR(VLOOKUP(A436,Sheet3!B:H,6,false),VLOOKUP(J436,Sheet2!A:C,2,false))</f>
        <v>https://bedgear.com/cdn/shop/files/01-Deep_Teal-ProductShot-Stack_f961bca3-7fcb-42f6-81f6-67472a9025f5.jpg</v>
      </c>
      <c r="Z436" s="8" t="str">
        <f>IFERROR(VLOOKUP(A436,Sheet3!B:H,7,false),VLOOKUP(J436,Sheet2!A:C,3,false))</f>
        <v>https://bedgear.com/products/hyper-cotton-sheet-set</v>
      </c>
    </row>
    <row r="437">
      <c r="A437" s="4">
        <v>5.9913458E7</v>
      </c>
      <c r="B437" s="5"/>
      <c r="C437" s="5"/>
      <c r="D437" s="5"/>
      <c r="E437" s="5"/>
      <c r="F437" s="5"/>
      <c r="G437" s="5"/>
      <c r="H437" s="5"/>
      <c r="I437" s="5"/>
      <c r="J437" s="1" t="s">
        <v>871</v>
      </c>
      <c r="K437" s="1" t="s">
        <v>878</v>
      </c>
      <c r="L437" s="6">
        <v>229.99</v>
      </c>
      <c r="M437" s="6">
        <v>229.99</v>
      </c>
      <c r="N437" s="1" t="s">
        <v>663</v>
      </c>
      <c r="O437" s="7"/>
      <c r="P437" s="1" t="s">
        <v>881</v>
      </c>
      <c r="Q437" s="7"/>
      <c r="R437" s="1" t="s">
        <v>670</v>
      </c>
      <c r="S437" s="7"/>
      <c r="T437" s="7"/>
      <c r="U437" s="7"/>
      <c r="V437" s="7"/>
      <c r="W437" s="7"/>
      <c r="X437" s="7"/>
      <c r="Y437" s="8" t="str">
        <f>IFERROR(VLOOKUP(A437,Sheet3!B:H,6,false),VLOOKUP(J437,Sheet2!A:C,2,false))</f>
        <v>https://bedgear.com/cdn/shop/files/01-Deep_Teal-ProductShot-Stack_f961bca3-7fcb-42f6-81f6-67472a9025f5.jpg</v>
      </c>
      <c r="Z437" s="8" t="str">
        <f>IFERROR(VLOOKUP(A437,Sheet3!B:H,7,false),VLOOKUP(J437,Sheet2!A:C,3,false))</f>
        <v>https://bedgear.com/products/hyper-cotton-sheet-set</v>
      </c>
    </row>
    <row r="438">
      <c r="A438" s="4">
        <v>5.991346E7</v>
      </c>
      <c r="B438" s="9">
        <v>10.0</v>
      </c>
      <c r="C438" s="9">
        <v>4.4</v>
      </c>
      <c r="D438" s="2" t="s">
        <v>869</v>
      </c>
      <c r="E438" s="2" t="s">
        <v>836</v>
      </c>
      <c r="F438" s="2" t="s">
        <v>870</v>
      </c>
      <c r="G438" s="9">
        <v>160.0</v>
      </c>
      <c r="H438" s="9">
        <v>4.51</v>
      </c>
      <c r="I438" s="9">
        <v>150.0</v>
      </c>
      <c r="J438" s="1" t="s">
        <v>871</v>
      </c>
      <c r="K438" s="1" t="s">
        <v>879</v>
      </c>
      <c r="L438" s="6">
        <v>249.99</v>
      </c>
      <c r="M438" s="6">
        <v>249.99</v>
      </c>
      <c r="N438" s="1" t="s">
        <v>663</v>
      </c>
      <c r="O438" s="7"/>
      <c r="P438" s="1" t="s">
        <v>881</v>
      </c>
      <c r="Q438" s="7"/>
      <c r="R438" s="1" t="s">
        <v>710</v>
      </c>
      <c r="S438" s="7"/>
      <c r="T438" s="7"/>
      <c r="U438" s="7"/>
      <c r="V438" s="7"/>
      <c r="W438" s="7"/>
      <c r="X438" s="7"/>
      <c r="Y438" s="8" t="str">
        <f>IFERROR(VLOOKUP(A438,Sheet3!B:H,6,false),VLOOKUP(J438,Sheet2!A:C,2,false))</f>
        <v>https://bedgear.com/cdn/shop/files/01-Deep_Teal-ProductShot-Stack_f961bca3-7fcb-42f6-81f6-67472a9025f5.jpg</v>
      </c>
      <c r="Z438" s="8" t="str">
        <f>IFERROR(VLOOKUP(A438,Sheet3!B:H,7,false),VLOOKUP(J438,Sheet2!A:C,3,false))</f>
        <v>https://bedgear.com/products/hyper-cotton-sheet-set</v>
      </c>
    </row>
    <row r="439">
      <c r="A439" s="4">
        <v>5.9913472E7</v>
      </c>
      <c r="B439" s="9">
        <v>1.0</v>
      </c>
      <c r="C439" s="9">
        <v>5.0</v>
      </c>
      <c r="D439" s="2" t="s">
        <v>869</v>
      </c>
      <c r="E439" s="2" t="s">
        <v>836</v>
      </c>
      <c r="F439" s="2" t="s">
        <v>870</v>
      </c>
      <c r="G439" s="9">
        <v>160.0</v>
      </c>
      <c r="H439" s="9">
        <v>4.51</v>
      </c>
      <c r="I439" s="9">
        <v>159.0</v>
      </c>
      <c r="J439" s="1" t="s">
        <v>871</v>
      </c>
      <c r="K439" s="1" t="s">
        <v>880</v>
      </c>
      <c r="L439" s="6">
        <v>249.99</v>
      </c>
      <c r="M439" s="6">
        <v>249.99</v>
      </c>
      <c r="N439" s="1" t="s">
        <v>663</v>
      </c>
      <c r="O439" s="7"/>
      <c r="P439" s="1" t="s">
        <v>881</v>
      </c>
      <c r="Q439" s="7"/>
      <c r="R439" s="1" t="s">
        <v>710</v>
      </c>
      <c r="S439" s="7"/>
      <c r="T439" s="7"/>
      <c r="U439" s="7"/>
      <c r="V439" s="7"/>
      <c r="W439" s="7"/>
      <c r="X439" s="7"/>
      <c r="Y439" s="8" t="str">
        <f>IFERROR(VLOOKUP(A439,Sheet3!B:H,6,false),VLOOKUP(J439,Sheet2!A:C,2,false))</f>
        <v>https://bedgear.com/cdn/shop/files/01-Deep_Teal-ProductShot-Stack_f961bca3-7fcb-42f6-81f6-67472a9025f5.jpg</v>
      </c>
      <c r="Z439" s="8" t="str">
        <f>IFERROR(VLOOKUP(A439,Sheet3!B:H,7,false),VLOOKUP(J439,Sheet2!A:C,3,false))</f>
        <v>https://bedgear.com/products/hyper-cotton-sheet-set</v>
      </c>
    </row>
    <row r="440">
      <c r="A440" s="4">
        <v>5.9913597E7</v>
      </c>
      <c r="B440" s="9">
        <v>162.0</v>
      </c>
      <c r="C440" s="9">
        <v>4.48</v>
      </c>
      <c r="D440" s="2" t="s">
        <v>882</v>
      </c>
      <c r="E440" s="2" t="s">
        <v>836</v>
      </c>
      <c r="F440" s="2" t="s">
        <v>883</v>
      </c>
      <c r="G440" s="9">
        <v>215.0</v>
      </c>
      <c r="H440" s="9">
        <v>4.35</v>
      </c>
      <c r="I440" s="9">
        <v>53.0</v>
      </c>
      <c r="J440" s="1" t="s">
        <v>884</v>
      </c>
      <c r="K440" s="1" t="s">
        <v>885</v>
      </c>
      <c r="L440" s="6">
        <v>299.99</v>
      </c>
      <c r="M440" s="6">
        <v>299.99</v>
      </c>
      <c r="N440" s="1" t="s">
        <v>663</v>
      </c>
      <c r="O440" s="7"/>
      <c r="P440" s="1" t="s">
        <v>886</v>
      </c>
      <c r="Q440" s="7"/>
      <c r="R440" s="1" t="s">
        <v>470</v>
      </c>
      <c r="S440" s="7"/>
      <c r="T440" s="7"/>
      <c r="U440" s="7"/>
      <c r="V440" s="7"/>
      <c r="W440" s="7"/>
      <c r="X440" s="7"/>
      <c r="Y440" s="8" t="str">
        <f>IFERROR(VLOOKUP(A440,Sheet3!B:H,6,false),VLOOKUP(J440,Sheet2!A:C,2,false))</f>
        <v>https://bedgear.com/cdn/shop/files/01-MistyBlue-ProductShot-Stack_1af20743-1dcb-43b8-bd89-409acf86c5b2.jpg</v>
      </c>
      <c r="Z440" s="8" t="str">
        <f>IFERROR(VLOOKUP(A440,Sheet3!B:H,7,false),VLOOKUP(J440,Sheet2!A:C,3,false))</f>
        <v>https://bedgear.com/products/ver-tex-sheet-set</v>
      </c>
    </row>
    <row r="441">
      <c r="A441" s="4">
        <v>5.9913662E7</v>
      </c>
      <c r="B441" s="9">
        <v>4.0</v>
      </c>
      <c r="C441" s="9">
        <v>2.5</v>
      </c>
      <c r="D441" s="2" t="s">
        <v>882</v>
      </c>
      <c r="E441" s="2" t="s">
        <v>836</v>
      </c>
      <c r="F441" s="2" t="s">
        <v>883</v>
      </c>
      <c r="G441" s="9">
        <v>215.0</v>
      </c>
      <c r="H441" s="9">
        <v>4.35</v>
      </c>
      <c r="I441" s="9">
        <v>211.0</v>
      </c>
      <c r="J441" s="1" t="s">
        <v>884</v>
      </c>
      <c r="K441" s="1" t="s">
        <v>887</v>
      </c>
      <c r="L441" s="6">
        <v>329.99</v>
      </c>
      <c r="M441" s="6">
        <v>329.99</v>
      </c>
      <c r="N441" s="1" t="s">
        <v>663</v>
      </c>
      <c r="O441" s="7"/>
      <c r="P441" s="1" t="s">
        <v>886</v>
      </c>
      <c r="Q441" s="7"/>
      <c r="R441" s="1" t="s">
        <v>848</v>
      </c>
      <c r="S441" s="7"/>
      <c r="T441" s="7"/>
      <c r="U441" s="7"/>
      <c r="V441" s="7"/>
      <c r="W441" s="7"/>
      <c r="X441" s="7"/>
      <c r="Y441" s="8" t="str">
        <f>IFERROR(VLOOKUP(A441,Sheet3!B:H,6,false),VLOOKUP(J441,Sheet2!A:C,2,false))</f>
        <v>https://bedgear.com/cdn/shop/files/01-MistyBlue-ProductShot-Stack_1af20743-1dcb-43b8-bd89-409acf86c5b2.jpg</v>
      </c>
      <c r="Z441" s="8" t="str">
        <f>IFERROR(VLOOKUP(A441,Sheet3!B:H,7,false),VLOOKUP(J441,Sheet2!A:C,3,false))</f>
        <v>https://bedgear.com/products/ver-tex-sheet-set</v>
      </c>
    </row>
    <row r="442">
      <c r="A442" s="4">
        <v>5.9913674E7</v>
      </c>
      <c r="B442" s="9">
        <v>3.0</v>
      </c>
      <c r="C442" s="9">
        <v>4.0</v>
      </c>
      <c r="D442" s="2" t="s">
        <v>882</v>
      </c>
      <c r="E442" s="2" t="s">
        <v>836</v>
      </c>
      <c r="F442" s="2" t="s">
        <v>883</v>
      </c>
      <c r="G442" s="9">
        <v>215.0</v>
      </c>
      <c r="H442" s="9">
        <v>4.35</v>
      </c>
      <c r="I442" s="9">
        <v>212.0</v>
      </c>
      <c r="J442" s="1" t="s">
        <v>884</v>
      </c>
      <c r="K442" s="1" t="s">
        <v>888</v>
      </c>
      <c r="L442" s="6">
        <v>349.99</v>
      </c>
      <c r="M442" s="6">
        <v>349.99</v>
      </c>
      <c r="N442" s="1" t="s">
        <v>663</v>
      </c>
      <c r="O442" s="7"/>
      <c r="P442" s="1" t="s">
        <v>886</v>
      </c>
      <c r="Q442" s="7"/>
      <c r="R442" s="1" t="s">
        <v>851</v>
      </c>
      <c r="S442" s="7"/>
      <c r="T442" s="7"/>
      <c r="U442" s="7"/>
      <c r="V442" s="7"/>
      <c r="W442" s="7"/>
      <c r="X442" s="7"/>
      <c r="Y442" s="8" t="str">
        <f>IFERROR(VLOOKUP(A442,Sheet3!B:H,6,false),VLOOKUP(J442,Sheet2!A:C,2,false))</f>
        <v>https://bedgear.com/cdn/shop/files/01-MistyBlue-ProductShot-Stack_1af20743-1dcb-43b8-bd89-409acf86c5b2.jpg</v>
      </c>
      <c r="Z442" s="8" t="str">
        <f>IFERROR(VLOOKUP(A442,Sheet3!B:H,7,false),VLOOKUP(J442,Sheet2!A:C,3,false))</f>
        <v>https://bedgear.com/products/ver-tex-sheet-set</v>
      </c>
    </row>
    <row r="443">
      <c r="A443" s="4">
        <v>5.9913686E7</v>
      </c>
      <c r="B443" s="9">
        <v>8.0</v>
      </c>
      <c r="C443" s="9">
        <v>4.13</v>
      </c>
      <c r="D443" s="2" t="s">
        <v>882</v>
      </c>
      <c r="E443" s="2" t="s">
        <v>836</v>
      </c>
      <c r="F443" s="2" t="s">
        <v>883</v>
      </c>
      <c r="G443" s="9">
        <v>215.0</v>
      </c>
      <c r="H443" s="9">
        <v>4.35</v>
      </c>
      <c r="I443" s="9">
        <v>207.0</v>
      </c>
      <c r="J443" s="1" t="s">
        <v>884</v>
      </c>
      <c r="K443" s="1" t="s">
        <v>885</v>
      </c>
      <c r="L443" s="6">
        <v>299.99</v>
      </c>
      <c r="M443" s="6">
        <v>299.99</v>
      </c>
      <c r="N443" s="1" t="s">
        <v>663</v>
      </c>
      <c r="O443" s="7"/>
      <c r="P443" s="1" t="s">
        <v>886</v>
      </c>
      <c r="Q443" s="7"/>
      <c r="R443" s="1" t="s">
        <v>470</v>
      </c>
      <c r="S443" s="7"/>
      <c r="T443" s="7"/>
      <c r="U443" s="7"/>
      <c r="V443" s="7"/>
      <c r="W443" s="7"/>
      <c r="X443" s="7"/>
      <c r="Y443" s="8" t="str">
        <f>IFERROR(VLOOKUP(A443,Sheet3!B:H,6,false),VLOOKUP(J443,Sheet2!A:C,2,false))</f>
        <v>https://bedgear.com/cdn/shop/files/01-MistyBlue-ProductShot-Stack_1af20743-1dcb-43b8-bd89-409acf86c5b2.jpg</v>
      </c>
      <c r="Z443" s="8" t="str">
        <f>IFERROR(VLOOKUP(A443,Sheet3!B:H,7,false),VLOOKUP(J443,Sheet2!A:C,3,false))</f>
        <v>https://bedgear.com/products/ver-tex-sheet-set</v>
      </c>
    </row>
    <row r="444">
      <c r="A444" s="4">
        <v>5.9913698E7</v>
      </c>
      <c r="B444" s="9">
        <v>5.0</v>
      </c>
      <c r="C444" s="9">
        <v>3.2</v>
      </c>
      <c r="D444" s="2" t="s">
        <v>882</v>
      </c>
      <c r="E444" s="2" t="s">
        <v>836</v>
      </c>
      <c r="F444" s="2" t="s">
        <v>883</v>
      </c>
      <c r="G444" s="9">
        <v>215.0</v>
      </c>
      <c r="H444" s="9">
        <v>4.35</v>
      </c>
      <c r="I444" s="9">
        <v>210.0</v>
      </c>
      <c r="J444" s="1" t="s">
        <v>884</v>
      </c>
      <c r="K444" s="1" t="s">
        <v>887</v>
      </c>
      <c r="L444" s="6">
        <v>329.99</v>
      </c>
      <c r="M444" s="6">
        <v>329.99</v>
      </c>
      <c r="N444" s="1" t="s">
        <v>663</v>
      </c>
      <c r="O444" s="7"/>
      <c r="P444" s="1" t="s">
        <v>886</v>
      </c>
      <c r="Q444" s="7"/>
      <c r="R444" s="1" t="s">
        <v>848</v>
      </c>
      <c r="S444" s="7"/>
      <c r="T444" s="7"/>
      <c r="U444" s="7"/>
      <c r="V444" s="7"/>
      <c r="W444" s="7"/>
      <c r="X444" s="7"/>
      <c r="Y444" s="8" t="str">
        <f>IFERROR(VLOOKUP(A444,Sheet3!B:H,6,false),VLOOKUP(J444,Sheet2!A:C,2,false))</f>
        <v>https://bedgear.com/cdn/shop/files/01-MistyBlue-ProductShot-Stack_1af20743-1dcb-43b8-bd89-409acf86c5b2.jpg</v>
      </c>
      <c r="Z444" s="8" t="str">
        <f>IFERROR(VLOOKUP(A444,Sheet3!B:H,7,false),VLOOKUP(J444,Sheet2!A:C,3,false))</f>
        <v>https://bedgear.com/products/ver-tex-sheet-set</v>
      </c>
    </row>
    <row r="445">
      <c r="A445" s="4">
        <v>5.9913751E7</v>
      </c>
      <c r="B445" s="9">
        <v>2.0</v>
      </c>
      <c r="C445" s="9">
        <v>3.0</v>
      </c>
      <c r="D445" s="2" t="s">
        <v>882</v>
      </c>
      <c r="E445" s="2" t="s">
        <v>836</v>
      </c>
      <c r="F445" s="2" t="s">
        <v>883</v>
      </c>
      <c r="G445" s="9">
        <v>215.0</v>
      </c>
      <c r="H445" s="9">
        <v>4.35</v>
      </c>
      <c r="I445" s="9">
        <v>213.0</v>
      </c>
      <c r="J445" s="1" t="s">
        <v>884</v>
      </c>
      <c r="K445" s="1" t="s">
        <v>888</v>
      </c>
      <c r="L445" s="6">
        <v>349.99</v>
      </c>
      <c r="M445" s="6">
        <v>349.99</v>
      </c>
      <c r="N445" s="1" t="s">
        <v>663</v>
      </c>
      <c r="O445" s="7"/>
      <c r="P445" s="1" t="s">
        <v>886</v>
      </c>
      <c r="Q445" s="7"/>
      <c r="R445" s="1" t="s">
        <v>851</v>
      </c>
      <c r="S445" s="7"/>
      <c r="T445" s="7"/>
      <c r="U445" s="7"/>
      <c r="V445" s="7"/>
      <c r="W445" s="7"/>
      <c r="X445" s="7"/>
      <c r="Y445" s="8" t="str">
        <f>IFERROR(VLOOKUP(A445,Sheet3!B:H,6,false),VLOOKUP(J445,Sheet2!A:C,2,false))</f>
        <v>https://bedgear.com/cdn/shop/files/01-MistyBlue-ProductShot-Stack_1af20743-1dcb-43b8-bd89-409acf86c5b2.jpg</v>
      </c>
      <c r="Z445" s="8" t="str">
        <f>IFERROR(VLOOKUP(A445,Sheet3!B:H,7,false),VLOOKUP(J445,Sheet2!A:C,3,false))</f>
        <v>https://bedgear.com/products/ver-tex-sheet-set</v>
      </c>
    </row>
    <row r="446">
      <c r="A446" s="4">
        <v>5.9913763E7</v>
      </c>
      <c r="B446" s="9">
        <v>5.0</v>
      </c>
      <c r="C446" s="9">
        <v>5.0</v>
      </c>
      <c r="D446" s="2" t="s">
        <v>882</v>
      </c>
      <c r="E446" s="2" t="s">
        <v>836</v>
      </c>
      <c r="F446" s="2" t="s">
        <v>883</v>
      </c>
      <c r="G446" s="9">
        <v>215.0</v>
      </c>
      <c r="H446" s="9">
        <v>4.35</v>
      </c>
      <c r="I446" s="9">
        <v>210.0</v>
      </c>
      <c r="J446" s="1" t="s">
        <v>884</v>
      </c>
      <c r="K446" s="1" t="s">
        <v>885</v>
      </c>
      <c r="L446" s="6">
        <v>299.99</v>
      </c>
      <c r="M446" s="6">
        <v>299.99</v>
      </c>
      <c r="N446" s="1" t="s">
        <v>663</v>
      </c>
      <c r="O446" s="7"/>
      <c r="P446" s="1" t="s">
        <v>886</v>
      </c>
      <c r="Q446" s="7"/>
      <c r="R446" s="1" t="s">
        <v>470</v>
      </c>
      <c r="S446" s="7"/>
      <c r="T446" s="7"/>
      <c r="U446" s="7"/>
      <c r="V446" s="7"/>
      <c r="W446" s="7"/>
      <c r="X446" s="7"/>
      <c r="Y446" s="8" t="str">
        <f>IFERROR(VLOOKUP(A446,Sheet3!B:H,6,false),VLOOKUP(J446,Sheet2!A:C,2,false))</f>
        <v>https://bedgear.com/cdn/shop/files/01-MistyBlue-ProductShot-Stack_1af20743-1dcb-43b8-bd89-409acf86c5b2.jpg</v>
      </c>
      <c r="Z446" s="8" t="str">
        <f>IFERROR(VLOOKUP(A446,Sheet3!B:H,7,false),VLOOKUP(J446,Sheet2!A:C,3,false))</f>
        <v>https://bedgear.com/products/ver-tex-sheet-set</v>
      </c>
    </row>
    <row r="447">
      <c r="A447" s="4">
        <v>5.9913775E7</v>
      </c>
      <c r="B447" s="9">
        <v>4.0</v>
      </c>
      <c r="C447" s="9">
        <v>4.5</v>
      </c>
      <c r="D447" s="2" t="s">
        <v>882</v>
      </c>
      <c r="E447" s="2" t="s">
        <v>836</v>
      </c>
      <c r="F447" s="2" t="s">
        <v>883</v>
      </c>
      <c r="G447" s="9">
        <v>215.0</v>
      </c>
      <c r="H447" s="9">
        <v>4.35</v>
      </c>
      <c r="I447" s="9">
        <v>211.0</v>
      </c>
      <c r="J447" s="1" t="s">
        <v>884</v>
      </c>
      <c r="K447" s="1" t="s">
        <v>887</v>
      </c>
      <c r="L447" s="6">
        <v>329.99</v>
      </c>
      <c r="M447" s="6">
        <v>329.99</v>
      </c>
      <c r="N447" s="1" t="s">
        <v>663</v>
      </c>
      <c r="O447" s="7"/>
      <c r="P447" s="1" t="s">
        <v>886</v>
      </c>
      <c r="Q447" s="7"/>
      <c r="R447" s="1" t="s">
        <v>848</v>
      </c>
      <c r="S447" s="7"/>
      <c r="T447" s="7"/>
      <c r="U447" s="7"/>
      <c r="V447" s="7"/>
      <c r="W447" s="7"/>
      <c r="X447" s="7"/>
      <c r="Y447" s="8" t="str">
        <f>IFERROR(VLOOKUP(A447,Sheet3!B:H,6,false),VLOOKUP(J447,Sheet2!A:C,2,false))</f>
        <v>https://bedgear.com/cdn/shop/files/01-MistyBlue-ProductShot-Stack_1af20743-1dcb-43b8-bd89-409acf86c5b2.jpg</v>
      </c>
      <c r="Z447" s="8" t="str">
        <f>IFERROR(VLOOKUP(A447,Sheet3!B:H,7,false),VLOOKUP(J447,Sheet2!A:C,3,false))</f>
        <v>https://bedgear.com/products/ver-tex-sheet-set</v>
      </c>
    </row>
    <row r="448">
      <c r="A448" s="4">
        <v>5.9913787E7</v>
      </c>
      <c r="B448" s="9">
        <v>4.0</v>
      </c>
      <c r="C448" s="9">
        <v>4.5</v>
      </c>
      <c r="D448" s="2" t="s">
        <v>882</v>
      </c>
      <c r="E448" s="2" t="s">
        <v>836</v>
      </c>
      <c r="F448" s="2" t="s">
        <v>883</v>
      </c>
      <c r="G448" s="9">
        <v>215.0</v>
      </c>
      <c r="H448" s="9">
        <v>4.35</v>
      </c>
      <c r="I448" s="9">
        <v>211.0</v>
      </c>
      <c r="J448" s="1" t="s">
        <v>884</v>
      </c>
      <c r="K448" s="1" t="s">
        <v>888</v>
      </c>
      <c r="L448" s="6">
        <v>349.99</v>
      </c>
      <c r="M448" s="6">
        <v>349.99</v>
      </c>
      <c r="N448" s="1" t="s">
        <v>663</v>
      </c>
      <c r="O448" s="7"/>
      <c r="P448" s="1" t="s">
        <v>886</v>
      </c>
      <c r="Q448" s="7"/>
      <c r="R448" s="1" t="s">
        <v>851</v>
      </c>
      <c r="S448" s="7"/>
      <c r="T448" s="7"/>
      <c r="U448" s="7"/>
      <c r="V448" s="7"/>
      <c r="W448" s="7"/>
      <c r="X448" s="7"/>
      <c r="Y448" s="8" t="str">
        <f>IFERROR(VLOOKUP(A448,Sheet3!B:H,6,false),VLOOKUP(J448,Sheet2!A:C,2,false))</f>
        <v>https://bedgear.com/cdn/shop/files/01-MistyBlue-ProductShot-Stack_1af20743-1dcb-43b8-bd89-409acf86c5b2.jpg</v>
      </c>
      <c r="Z448" s="8" t="str">
        <f>IFERROR(VLOOKUP(A448,Sheet3!B:H,7,false),VLOOKUP(J448,Sheet2!A:C,3,false))</f>
        <v>https://bedgear.com/products/ver-tex-sheet-set</v>
      </c>
    </row>
    <row r="449">
      <c r="A449" s="4">
        <v>5.9913799E7</v>
      </c>
      <c r="B449" s="9">
        <v>12.0</v>
      </c>
      <c r="C449" s="9">
        <v>4.0</v>
      </c>
      <c r="D449" s="2" t="s">
        <v>882</v>
      </c>
      <c r="E449" s="2" t="s">
        <v>836</v>
      </c>
      <c r="F449" s="2" t="s">
        <v>883</v>
      </c>
      <c r="G449" s="9">
        <v>215.0</v>
      </c>
      <c r="H449" s="9">
        <v>4.35</v>
      </c>
      <c r="I449" s="9">
        <v>203.0</v>
      </c>
      <c r="J449" s="1" t="s">
        <v>884</v>
      </c>
      <c r="K449" s="1" t="s">
        <v>885</v>
      </c>
      <c r="L449" s="6">
        <v>299.99</v>
      </c>
      <c r="M449" s="6">
        <v>299.99</v>
      </c>
      <c r="N449" s="1" t="s">
        <v>663</v>
      </c>
      <c r="O449" s="7"/>
      <c r="P449" s="1" t="s">
        <v>886</v>
      </c>
      <c r="Q449" s="7"/>
      <c r="R449" s="1" t="s">
        <v>470</v>
      </c>
      <c r="S449" s="7"/>
      <c r="T449" s="7"/>
      <c r="U449" s="7"/>
      <c r="V449" s="7"/>
      <c r="W449" s="7"/>
      <c r="X449" s="7"/>
      <c r="Y449" s="8" t="str">
        <f>IFERROR(VLOOKUP(A449,Sheet3!B:H,6,false),VLOOKUP(J449,Sheet2!A:C,2,false))</f>
        <v>https://bedgear.com/cdn/shop/files/01-MistyBlue-ProductShot-Stack_1af20743-1dcb-43b8-bd89-409acf86c5b2.jpg</v>
      </c>
      <c r="Z449" s="8" t="str">
        <f>IFERROR(VLOOKUP(A449,Sheet3!B:H,7,false),VLOOKUP(J449,Sheet2!A:C,3,false))</f>
        <v>https://bedgear.com/products/ver-tex-sheet-set</v>
      </c>
    </row>
    <row r="450">
      <c r="A450" s="4">
        <v>5.9913802E7</v>
      </c>
      <c r="B450" s="9">
        <v>3.0</v>
      </c>
      <c r="C450" s="9">
        <v>4.33</v>
      </c>
      <c r="D450" s="2" t="s">
        <v>882</v>
      </c>
      <c r="E450" s="2" t="s">
        <v>836</v>
      </c>
      <c r="F450" s="2" t="s">
        <v>883</v>
      </c>
      <c r="G450" s="9">
        <v>215.0</v>
      </c>
      <c r="H450" s="9">
        <v>4.35</v>
      </c>
      <c r="I450" s="9">
        <v>212.0</v>
      </c>
      <c r="J450" s="1" t="s">
        <v>884</v>
      </c>
      <c r="K450" s="1" t="s">
        <v>887</v>
      </c>
      <c r="L450" s="6">
        <v>329.99</v>
      </c>
      <c r="M450" s="6">
        <v>329.99</v>
      </c>
      <c r="N450" s="1" t="s">
        <v>663</v>
      </c>
      <c r="O450" s="7"/>
      <c r="P450" s="1" t="s">
        <v>886</v>
      </c>
      <c r="Q450" s="7"/>
      <c r="R450" s="1" t="s">
        <v>848</v>
      </c>
      <c r="S450" s="7"/>
      <c r="T450" s="7"/>
      <c r="U450" s="7"/>
      <c r="V450" s="7"/>
      <c r="W450" s="7"/>
      <c r="X450" s="7"/>
      <c r="Y450" s="8" t="str">
        <f>IFERROR(VLOOKUP(A450,Sheet3!B:H,6,false),VLOOKUP(J450,Sheet2!A:C,2,false))</f>
        <v>https://bedgear.com/cdn/shop/files/01-MistyBlue-ProductShot-Stack_1af20743-1dcb-43b8-bd89-409acf86c5b2.jpg</v>
      </c>
      <c r="Z450" s="8" t="str">
        <f>IFERROR(VLOOKUP(A450,Sheet3!B:H,7,false),VLOOKUP(J450,Sheet2!A:C,3,false))</f>
        <v>https://bedgear.com/products/ver-tex-sheet-set</v>
      </c>
    </row>
    <row r="451">
      <c r="A451" s="4">
        <v>5.9913814E7</v>
      </c>
      <c r="B451" s="9">
        <v>3.0</v>
      </c>
      <c r="C451" s="9">
        <v>3.67</v>
      </c>
      <c r="D451" s="2" t="s">
        <v>882</v>
      </c>
      <c r="E451" s="2" t="s">
        <v>836</v>
      </c>
      <c r="F451" s="2" t="s">
        <v>883</v>
      </c>
      <c r="G451" s="9">
        <v>215.0</v>
      </c>
      <c r="H451" s="9">
        <v>4.35</v>
      </c>
      <c r="I451" s="9">
        <v>212.0</v>
      </c>
      <c r="J451" s="1" t="s">
        <v>884</v>
      </c>
      <c r="K451" s="1" t="s">
        <v>888</v>
      </c>
      <c r="L451" s="6">
        <v>349.99</v>
      </c>
      <c r="M451" s="6">
        <v>349.99</v>
      </c>
      <c r="N451" s="1" t="s">
        <v>663</v>
      </c>
      <c r="O451" s="7"/>
      <c r="P451" s="1" t="s">
        <v>886</v>
      </c>
      <c r="Q451" s="7"/>
      <c r="R451" s="1" t="s">
        <v>851</v>
      </c>
      <c r="S451" s="7"/>
      <c r="T451" s="7"/>
      <c r="U451" s="7"/>
      <c r="V451" s="7"/>
      <c r="W451" s="7"/>
      <c r="X451" s="7"/>
      <c r="Y451" s="8" t="str">
        <f>IFERROR(VLOOKUP(A451,Sheet3!B:H,6,false),VLOOKUP(J451,Sheet2!A:C,2,false))</f>
        <v>https://bedgear.com/cdn/shop/files/01-MistyBlue-ProductShot-Stack_1af20743-1dcb-43b8-bd89-409acf86c5b2.jpg</v>
      </c>
      <c r="Z451" s="8" t="str">
        <f>IFERROR(VLOOKUP(A451,Sheet3!B:H,7,false),VLOOKUP(J451,Sheet2!A:C,3,false))</f>
        <v>https://bedgear.com/products/ver-tex-sheet-set</v>
      </c>
    </row>
    <row r="452">
      <c r="A452" s="4">
        <v>5.9914018E7</v>
      </c>
      <c r="B452" s="9">
        <v>1.0</v>
      </c>
      <c r="C452" s="9">
        <v>5.0</v>
      </c>
      <c r="D452" s="2" t="s">
        <v>856</v>
      </c>
      <c r="E452" s="2" t="s">
        <v>836</v>
      </c>
      <c r="F452" s="2" t="s">
        <v>857</v>
      </c>
      <c r="G452" s="9">
        <v>82.0</v>
      </c>
      <c r="H452" s="9">
        <v>4.3</v>
      </c>
      <c r="I452" s="9">
        <v>81.0</v>
      </c>
      <c r="J452" s="1" t="s">
        <v>858</v>
      </c>
      <c r="K452" s="1" t="s">
        <v>889</v>
      </c>
      <c r="L452" s="6">
        <v>74.99</v>
      </c>
      <c r="M452" s="6">
        <v>74.99</v>
      </c>
      <c r="N452" s="1" t="s">
        <v>663</v>
      </c>
      <c r="O452" s="7"/>
      <c r="P452" s="1" t="s">
        <v>890</v>
      </c>
      <c r="Q452" s="7"/>
      <c r="R452" s="1" t="s">
        <v>373</v>
      </c>
      <c r="S452" s="7"/>
      <c r="T452" s="7"/>
      <c r="U452" s="7"/>
      <c r="V452" s="7"/>
      <c r="W452" s="7"/>
      <c r="X452" s="7"/>
      <c r="Y452" s="8" t="str">
        <f>IFERROR(VLOOKUP(A452,Sheet3!B:H,6,false),VLOOKUP(J452,Sheet2!A:C,2,false))</f>
        <v>https://bedgear.com/cdn/shop/files/Medium_Beige-01-ProductShot-Stack_e8704345-f3db-4f47-af72-515431ff0e9a.jpg</v>
      </c>
      <c r="Z452" s="8" t="str">
        <f>IFERROR(VLOOKUP(A452,Sheet3!B:H,7,false),VLOOKUP(J452,Sheet2!A:C,3,false))</f>
        <v>https://bedgear.com/products/basic-sheet-set</v>
      </c>
    </row>
    <row r="453">
      <c r="A453" s="4">
        <v>5.991402E7</v>
      </c>
      <c r="B453" s="9">
        <v>4.0</v>
      </c>
      <c r="C453" s="9">
        <v>5.0</v>
      </c>
      <c r="D453" s="2" t="s">
        <v>856</v>
      </c>
      <c r="E453" s="2" t="s">
        <v>836</v>
      </c>
      <c r="F453" s="2" t="s">
        <v>857</v>
      </c>
      <c r="G453" s="9">
        <v>82.0</v>
      </c>
      <c r="H453" s="9">
        <v>4.3</v>
      </c>
      <c r="I453" s="9">
        <v>78.0</v>
      </c>
      <c r="J453" s="1" t="s">
        <v>858</v>
      </c>
      <c r="K453" s="1" t="s">
        <v>891</v>
      </c>
      <c r="L453" s="6">
        <v>79.99</v>
      </c>
      <c r="M453" s="6">
        <v>79.99</v>
      </c>
      <c r="N453" s="1" t="s">
        <v>663</v>
      </c>
      <c r="O453" s="7"/>
      <c r="P453" s="1" t="s">
        <v>892</v>
      </c>
      <c r="Q453" s="7"/>
      <c r="R453" s="1" t="s">
        <v>470</v>
      </c>
      <c r="S453" s="7"/>
      <c r="T453" s="7"/>
      <c r="U453" s="7"/>
      <c r="V453" s="7"/>
      <c r="W453" s="7"/>
      <c r="X453" s="7"/>
      <c r="Y453" s="8" t="str">
        <f>IFERROR(VLOOKUP(A453,Sheet3!B:H,6,false),VLOOKUP(J453,Sheet2!A:C,2,false))</f>
        <v>https://bedgear.com/cdn/shop/files/Medium_Beige-01-ProductShot-Stack_e8704345-f3db-4f47-af72-515431ff0e9a.jpg</v>
      </c>
      <c r="Z453" s="8" t="str">
        <f>IFERROR(VLOOKUP(A453,Sheet3!B:H,7,false),VLOOKUP(J453,Sheet2!A:C,3,false))</f>
        <v>https://bedgear.com/products/basic-sheet-set</v>
      </c>
    </row>
    <row r="454">
      <c r="A454" s="4">
        <v>5.9914032E7</v>
      </c>
      <c r="B454" s="9">
        <v>5.0</v>
      </c>
      <c r="C454" s="9">
        <v>3.8</v>
      </c>
      <c r="D454" s="2" t="s">
        <v>856</v>
      </c>
      <c r="E454" s="2" t="s">
        <v>836</v>
      </c>
      <c r="F454" s="2" t="s">
        <v>857</v>
      </c>
      <c r="G454" s="9">
        <v>82.0</v>
      </c>
      <c r="H454" s="9">
        <v>4.3</v>
      </c>
      <c r="I454" s="9">
        <v>77.0</v>
      </c>
      <c r="J454" s="1" t="s">
        <v>858</v>
      </c>
      <c r="K454" s="1" t="s">
        <v>893</v>
      </c>
      <c r="L454" s="6">
        <v>99.99</v>
      </c>
      <c r="M454" s="6">
        <v>99.99</v>
      </c>
      <c r="N454" s="1" t="s">
        <v>663</v>
      </c>
      <c r="O454" s="7"/>
      <c r="P454" s="1" t="s">
        <v>894</v>
      </c>
      <c r="Q454" s="7"/>
      <c r="R454" s="1" t="s">
        <v>568</v>
      </c>
      <c r="S454" s="7"/>
      <c r="T454" s="7"/>
      <c r="U454" s="7"/>
      <c r="V454" s="7"/>
      <c r="W454" s="7"/>
      <c r="X454" s="7"/>
      <c r="Y454" s="8" t="str">
        <f>IFERROR(VLOOKUP(A454,Sheet3!B:H,6,false),VLOOKUP(J454,Sheet2!A:C,2,false))</f>
        <v>https://bedgear.com/cdn/shop/files/Medium_Beige-01-ProductShot-Stack_e8704345-f3db-4f47-af72-515431ff0e9a.jpg</v>
      </c>
      <c r="Z454" s="8" t="str">
        <f>IFERROR(VLOOKUP(A454,Sheet3!B:H,7,false),VLOOKUP(J454,Sheet2!A:C,3,false))</f>
        <v>https://bedgear.com/products/basic-sheet-set</v>
      </c>
    </row>
    <row r="455">
      <c r="A455" s="4">
        <v>5.9914044E7</v>
      </c>
      <c r="B455" s="5"/>
      <c r="C455" s="5"/>
      <c r="D455" s="5"/>
      <c r="E455" s="5"/>
      <c r="F455" s="5"/>
      <c r="G455" s="5"/>
      <c r="H455" s="5"/>
      <c r="I455" s="5"/>
      <c r="J455" s="1" t="s">
        <v>858</v>
      </c>
      <c r="K455" s="1" t="s">
        <v>895</v>
      </c>
      <c r="L455" s="6">
        <v>99.99</v>
      </c>
      <c r="M455" s="6">
        <v>99.99</v>
      </c>
      <c r="N455" s="1" t="s">
        <v>663</v>
      </c>
      <c r="O455" s="7"/>
      <c r="P455" s="1" t="s">
        <v>896</v>
      </c>
      <c r="Q455" s="7"/>
      <c r="R455" s="1" t="s">
        <v>670</v>
      </c>
      <c r="S455" s="7"/>
      <c r="T455" s="7"/>
      <c r="U455" s="7"/>
      <c r="V455" s="7"/>
      <c r="W455" s="7"/>
      <c r="X455" s="7"/>
      <c r="Y455" s="8" t="str">
        <f>IFERROR(VLOOKUP(A455,Sheet3!B:H,6,false),VLOOKUP(J455,Sheet2!A:C,2,false))</f>
        <v>https://bedgear.com/cdn/shop/files/Medium_Beige-01-ProductShot-Stack_e8704345-f3db-4f47-af72-515431ff0e9a.jpg</v>
      </c>
      <c r="Z455" s="8" t="str">
        <f>IFERROR(VLOOKUP(A455,Sheet3!B:H,7,false),VLOOKUP(J455,Sheet2!A:C,3,false))</f>
        <v>https://bedgear.com/products/basic-sheet-set</v>
      </c>
    </row>
    <row r="456">
      <c r="A456" s="4">
        <v>5.9915022E7</v>
      </c>
      <c r="B456" s="5"/>
      <c r="C456" s="5"/>
      <c r="D456" s="5"/>
      <c r="E456" s="5"/>
      <c r="F456" s="5"/>
      <c r="G456" s="5"/>
      <c r="H456" s="5"/>
      <c r="I456" s="5"/>
      <c r="J456" s="1" t="s">
        <v>858</v>
      </c>
      <c r="K456" s="1" t="s">
        <v>859</v>
      </c>
      <c r="L456" s="6">
        <v>59.99</v>
      </c>
      <c r="M456" s="6">
        <v>59.99</v>
      </c>
      <c r="N456" s="1" t="s">
        <v>663</v>
      </c>
      <c r="O456" s="7"/>
      <c r="P456" s="1" t="s">
        <v>897</v>
      </c>
      <c r="Q456" s="7"/>
      <c r="R456" s="1" t="s">
        <v>242</v>
      </c>
      <c r="S456" s="7"/>
      <c r="T456" s="7"/>
      <c r="U456" s="7"/>
      <c r="V456" s="7"/>
      <c r="W456" s="7"/>
      <c r="X456" s="7"/>
      <c r="Y456" s="8" t="str">
        <f>IFERROR(VLOOKUP(A456,Sheet3!B:H,6,false),VLOOKUP(J456,Sheet2!A:C,2,false))</f>
        <v>https://bedgear.com/cdn/shop/files/Medium_Beige-01-ProductShot-Stack_e8704345-f3db-4f47-af72-515431ff0e9a.jpg</v>
      </c>
      <c r="Z456" s="8" t="str">
        <f>IFERROR(VLOOKUP(A456,Sheet3!B:H,7,false),VLOOKUP(J456,Sheet2!A:C,3,false))</f>
        <v>https://bedgear.com/products/basic-sheet-set</v>
      </c>
    </row>
    <row r="457">
      <c r="A457" s="4">
        <v>5.9915034E7</v>
      </c>
      <c r="B457" s="9">
        <v>2.0</v>
      </c>
      <c r="C457" s="9">
        <v>4.0</v>
      </c>
      <c r="D457" s="2" t="s">
        <v>856</v>
      </c>
      <c r="E457" s="2" t="s">
        <v>836</v>
      </c>
      <c r="F457" s="2" t="s">
        <v>857</v>
      </c>
      <c r="G457" s="9">
        <v>82.0</v>
      </c>
      <c r="H457" s="9">
        <v>4.3</v>
      </c>
      <c r="I457" s="9">
        <v>80.0</v>
      </c>
      <c r="J457" s="1" t="s">
        <v>858</v>
      </c>
      <c r="K457" s="1" t="s">
        <v>861</v>
      </c>
      <c r="L457" s="6">
        <v>64.99</v>
      </c>
      <c r="M457" s="6">
        <v>64.99</v>
      </c>
      <c r="N457" s="1" t="s">
        <v>663</v>
      </c>
      <c r="O457" s="7"/>
      <c r="P457" s="1" t="s">
        <v>898</v>
      </c>
      <c r="Q457" s="7"/>
      <c r="R457" s="1" t="s">
        <v>32</v>
      </c>
      <c r="S457" s="7"/>
      <c r="T457" s="7"/>
      <c r="U457" s="7"/>
      <c r="V457" s="7"/>
      <c r="W457" s="7"/>
      <c r="X457" s="7"/>
      <c r="Y457" s="8" t="str">
        <f>IFERROR(VLOOKUP(A457,Sheet3!B:H,6,false),VLOOKUP(J457,Sheet2!A:C,2,false))</f>
        <v>https://bedgear.com/cdn/shop/files/Medium_Beige-01-ProductShot-Stack_e8704345-f3db-4f47-af72-515431ff0e9a.jpg</v>
      </c>
      <c r="Z457" s="8" t="str">
        <f>IFERROR(VLOOKUP(A457,Sheet3!B:H,7,false),VLOOKUP(J457,Sheet2!A:C,3,false))</f>
        <v>https://bedgear.com/products/basic-sheet-set</v>
      </c>
    </row>
    <row r="458">
      <c r="A458" s="4">
        <v>5.9915046E7</v>
      </c>
      <c r="B458" s="9">
        <v>2.0</v>
      </c>
      <c r="C458" s="9">
        <v>4.5</v>
      </c>
      <c r="D458" s="2" t="s">
        <v>856</v>
      </c>
      <c r="E458" s="2" t="s">
        <v>836</v>
      </c>
      <c r="F458" s="2" t="s">
        <v>857</v>
      </c>
      <c r="G458" s="9">
        <v>82.0</v>
      </c>
      <c r="H458" s="9">
        <v>4.3</v>
      </c>
      <c r="I458" s="9">
        <v>80.0</v>
      </c>
      <c r="J458" s="1" t="s">
        <v>858</v>
      </c>
      <c r="K458" s="1" t="s">
        <v>889</v>
      </c>
      <c r="L458" s="6">
        <v>74.99</v>
      </c>
      <c r="M458" s="6">
        <v>74.99</v>
      </c>
      <c r="N458" s="1" t="s">
        <v>663</v>
      </c>
      <c r="O458" s="7"/>
      <c r="P458" s="1" t="s">
        <v>899</v>
      </c>
      <c r="Q458" s="7"/>
      <c r="R458" s="1" t="s">
        <v>373</v>
      </c>
      <c r="S458" s="7"/>
      <c r="T458" s="7"/>
      <c r="U458" s="7"/>
      <c r="V458" s="7"/>
      <c r="W458" s="7"/>
      <c r="X458" s="7"/>
      <c r="Y458" s="8" t="str">
        <f>IFERROR(VLOOKUP(A458,Sheet3!B:H,6,false),VLOOKUP(J458,Sheet2!A:C,2,false))</f>
        <v>https://bedgear.com/cdn/shop/files/Medium_Beige-01-ProductShot-Stack_e8704345-f3db-4f47-af72-515431ff0e9a.jpg</v>
      </c>
      <c r="Z458" s="8" t="str">
        <f>IFERROR(VLOOKUP(A458,Sheet3!B:H,7,false),VLOOKUP(J458,Sheet2!A:C,3,false))</f>
        <v>https://bedgear.com/products/basic-sheet-set</v>
      </c>
    </row>
    <row r="459">
      <c r="A459" s="4">
        <v>5.9915058E7</v>
      </c>
      <c r="B459" s="9">
        <v>11.0</v>
      </c>
      <c r="C459" s="9">
        <v>3.91</v>
      </c>
      <c r="D459" s="2" t="s">
        <v>856</v>
      </c>
      <c r="E459" s="2" t="s">
        <v>836</v>
      </c>
      <c r="F459" s="2" t="s">
        <v>857</v>
      </c>
      <c r="G459" s="9">
        <v>82.0</v>
      </c>
      <c r="H459" s="9">
        <v>4.3</v>
      </c>
      <c r="I459" s="9">
        <v>71.0</v>
      </c>
      <c r="J459" s="1" t="s">
        <v>858</v>
      </c>
      <c r="K459" s="1" t="s">
        <v>891</v>
      </c>
      <c r="L459" s="6">
        <v>79.99</v>
      </c>
      <c r="M459" s="6">
        <v>79.99</v>
      </c>
      <c r="N459" s="1" t="s">
        <v>663</v>
      </c>
      <c r="O459" s="7"/>
      <c r="P459" s="1" t="s">
        <v>900</v>
      </c>
      <c r="Q459" s="7"/>
      <c r="R459" s="1" t="s">
        <v>470</v>
      </c>
      <c r="S459" s="7"/>
      <c r="T459" s="7"/>
      <c r="U459" s="7"/>
      <c r="V459" s="7"/>
      <c r="W459" s="7"/>
      <c r="X459" s="7"/>
      <c r="Y459" s="8" t="str">
        <f>IFERROR(VLOOKUP(A459,Sheet3!B:H,6,false),VLOOKUP(J459,Sheet2!A:C,2,false))</f>
        <v>https://bedgear.com/cdn/shop/files/Medium_Beige-01-ProductShot-Stack_e8704345-f3db-4f47-af72-515431ff0e9a.jpg</v>
      </c>
      <c r="Z459" s="8" t="str">
        <f>IFERROR(VLOOKUP(A459,Sheet3!B:H,7,false),VLOOKUP(J459,Sheet2!A:C,3,false))</f>
        <v>https://bedgear.com/products/basic-sheet-set</v>
      </c>
    </row>
    <row r="460">
      <c r="A460" s="4">
        <v>5.991506E7</v>
      </c>
      <c r="B460" s="9">
        <v>8.0</v>
      </c>
      <c r="C460" s="9">
        <v>4.88</v>
      </c>
      <c r="D460" s="2" t="s">
        <v>856</v>
      </c>
      <c r="E460" s="2" t="s">
        <v>836</v>
      </c>
      <c r="F460" s="2" t="s">
        <v>857</v>
      </c>
      <c r="G460" s="9">
        <v>82.0</v>
      </c>
      <c r="H460" s="9">
        <v>4.3</v>
      </c>
      <c r="I460" s="9">
        <v>74.0</v>
      </c>
      <c r="J460" s="1" t="s">
        <v>858</v>
      </c>
      <c r="K460" s="1" t="s">
        <v>893</v>
      </c>
      <c r="L460" s="6">
        <v>99.99</v>
      </c>
      <c r="M460" s="6">
        <v>99.99</v>
      </c>
      <c r="N460" s="1" t="s">
        <v>663</v>
      </c>
      <c r="O460" s="7"/>
      <c r="P460" s="1" t="s">
        <v>901</v>
      </c>
      <c r="Q460" s="7"/>
      <c r="R460" s="1" t="s">
        <v>568</v>
      </c>
      <c r="S460" s="7"/>
      <c r="T460" s="7"/>
      <c r="U460" s="7"/>
      <c r="V460" s="7"/>
      <c r="W460" s="7"/>
      <c r="X460" s="7"/>
      <c r="Y460" s="8" t="str">
        <f>IFERROR(VLOOKUP(A460,Sheet3!B:H,6,false),VLOOKUP(J460,Sheet2!A:C,2,false))</f>
        <v>https://bedgear.com/cdn/shop/files/Medium_Beige-01-ProductShot-Stack_e8704345-f3db-4f47-af72-515431ff0e9a.jpg</v>
      </c>
      <c r="Z460" s="8" t="str">
        <f>IFERROR(VLOOKUP(A460,Sheet3!B:H,7,false),VLOOKUP(J460,Sheet2!A:C,3,false))</f>
        <v>https://bedgear.com/products/basic-sheet-set</v>
      </c>
    </row>
    <row r="461">
      <c r="A461" s="4">
        <v>5.9915072E7</v>
      </c>
      <c r="B461" s="9">
        <v>1.0</v>
      </c>
      <c r="C461" s="9">
        <v>5.0</v>
      </c>
      <c r="D461" s="2" t="s">
        <v>856</v>
      </c>
      <c r="E461" s="2" t="s">
        <v>836</v>
      </c>
      <c r="F461" s="2" t="s">
        <v>857</v>
      </c>
      <c r="G461" s="9">
        <v>82.0</v>
      </c>
      <c r="H461" s="9">
        <v>4.3</v>
      </c>
      <c r="I461" s="9">
        <v>81.0</v>
      </c>
      <c r="J461" s="1" t="s">
        <v>858</v>
      </c>
      <c r="K461" s="1" t="s">
        <v>895</v>
      </c>
      <c r="L461" s="6">
        <v>99.99</v>
      </c>
      <c r="M461" s="6">
        <v>99.99</v>
      </c>
      <c r="N461" s="1" t="s">
        <v>663</v>
      </c>
      <c r="O461" s="7"/>
      <c r="P461" s="1" t="s">
        <v>902</v>
      </c>
      <c r="Q461" s="7"/>
      <c r="R461" s="1" t="s">
        <v>670</v>
      </c>
      <c r="S461" s="7"/>
      <c r="T461" s="7"/>
      <c r="U461" s="7"/>
      <c r="V461" s="7"/>
      <c r="W461" s="7"/>
      <c r="X461" s="7"/>
      <c r="Y461" s="8" t="str">
        <f>IFERROR(VLOOKUP(A461,Sheet3!B:H,6,false),VLOOKUP(J461,Sheet2!A:C,2,false))</f>
        <v>https://bedgear.com/cdn/shop/files/Medium_Beige-01-ProductShot-Stack_e8704345-f3db-4f47-af72-515431ff0e9a.jpg</v>
      </c>
      <c r="Z461" s="8" t="str">
        <f>IFERROR(VLOOKUP(A461,Sheet3!B:H,7,false),VLOOKUP(J461,Sheet2!A:C,3,false))</f>
        <v>https://bedgear.com/products/basic-sheet-set</v>
      </c>
    </row>
    <row r="462">
      <c r="A462" s="4">
        <v>5.9915096E7</v>
      </c>
      <c r="B462" s="9">
        <v>1.0</v>
      </c>
      <c r="C462" s="9">
        <v>5.0</v>
      </c>
      <c r="D462" s="2" t="s">
        <v>856</v>
      </c>
      <c r="E462" s="2" t="s">
        <v>836</v>
      </c>
      <c r="F462" s="2" t="s">
        <v>857</v>
      </c>
      <c r="G462" s="9">
        <v>82.0</v>
      </c>
      <c r="H462" s="9">
        <v>4.3</v>
      </c>
      <c r="I462" s="9">
        <v>81.0</v>
      </c>
      <c r="J462" s="1" t="s">
        <v>858</v>
      </c>
      <c r="K462" s="1" t="s">
        <v>859</v>
      </c>
      <c r="L462" s="6">
        <v>59.99</v>
      </c>
      <c r="M462" s="6">
        <v>59.99</v>
      </c>
      <c r="N462" s="1" t="s">
        <v>663</v>
      </c>
      <c r="O462" s="7"/>
      <c r="P462" s="1" t="s">
        <v>903</v>
      </c>
      <c r="Q462" s="7"/>
      <c r="R462" s="1" t="s">
        <v>242</v>
      </c>
      <c r="S462" s="7"/>
      <c r="T462" s="7"/>
      <c r="U462" s="7"/>
      <c r="V462" s="7"/>
      <c r="W462" s="7"/>
      <c r="X462" s="7"/>
      <c r="Y462" s="8" t="str">
        <f>IFERROR(VLOOKUP(A462,Sheet3!B:H,6,false),VLOOKUP(J462,Sheet2!A:C,2,false))</f>
        <v>https://bedgear.com/cdn/shop/files/Medium_Beige-01-ProductShot-Stack_e8704345-f3db-4f47-af72-515431ff0e9a.jpg</v>
      </c>
      <c r="Z462" s="8" t="str">
        <f>IFERROR(VLOOKUP(A462,Sheet3!B:H,7,false),VLOOKUP(J462,Sheet2!A:C,3,false))</f>
        <v>https://bedgear.com/products/basic-sheet-set</v>
      </c>
    </row>
    <row r="463">
      <c r="A463" s="4">
        <v>5.9915109E7</v>
      </c>
      <c r="B463" s="9">
        <v>1.0</v>
      </c>
      <c r="C463" s="9">
        <v>1.0</v>
      </c>
      <c r="D463" s="2" t="s">
        <v>856</v>
      </c>
      <c r="E463" s="2" t="s">
        <v>836</v>
      </c>
      <c r="F463" s="2" t="s">
        <v>857</v>
      </c>
      <c r="G463" s="9">
        <v>82.0</v>
      </c>
      <c r="H463" s="9">
        <v>4.3</v>
      </c>
      <c r="I463" s="9">
        <v>81.0</v>
      </c>
      <c r="J463" s="1" t="s">
        <v>858</v>
      </c>
      <c r="K463" s="1" t="s">
        <v>861</v>
      </c>
      <c r="L463" s="6">
        <v>64.99</v>
      </c>
      <c r="M463" s="6">
        <v>64.99</v>
      </c>
      <c r="N463" s="1" t="s">
        <v>663</v>
      </c>
      <c r="O463" s="7"/>
      <c r="P463" s="1" t="s">
        <v>903</v>
      </c>
      <c r="Q463" s="7"/>
      <c r="R463" s="1" t="s">
        <v>32</v>
      </c>
      <c r="S463" s="7"/>
      <c r="T463" s="7"/>
      <c r="U463" s="7"/>
      <c r="V463" s="7"/>
      <c r="W463" s="7"/>
      <c r="X463" s="7"/>
      <c r="Y463" s="8" t="str">
        <f>IFERROR(VLOOKUP(A463,Sheet3!B:H,6,false),VLOOKUP(J463,Sheet2!A:C,2,false))</f>
        <v>https://bedgear.com/cdn/shop/files/Medium_Beige-01-ProductShot-Stack_e8704345-f3db-4f47-af72-515431ff0e9a.jpg</v>
      </c>
      <c r="Z463" s="8" t="str">
        <f>IFERROR(VLOOKUP(A463,Sheet3!B:H,7,false),VLOOKUP(J463,Sheet2!A:C,3,false))</f>
        <v>https://bedgear.com/products/basic-sheet-set</v>
      </c>
    </row>
    <row r="464">
      <c r="A464" s="4">
        <v>5.9915111E7</v>
      </c>
      <c r="B464" s="9">
        <v>1.0</v>
      </c>
      <c r="C464" s="9">
        <v>5.0</v>
      </c>
      <c r="D464" s="2" t="s">
        <v>856</v>
      </c>
      <c r="E464" s="2" t="s">
        <v>836</v>
      </c>
      <c r="F464" s="2" t="s">
        <v>857</v>
      </c>
      <c r="G464" s="9">
        <v>82.0</v>
      </c>
      <c r="H464" s="9">
        <v>4.3</v>
      </c>
      <c r="I464" s="9">
        <v>81.0</v>
      </c>
      <c r="J464" s="1" t="s">
        <v>858</v>
      </c>
      <c r="K464" s="1" t="s">
        <v>889</v>
      </c>
      <c r="L464" s="6">
        <v>74.99</v>
      </c>
      <c r="M464" s="6">
        <v>74.99</v>
      </c>
      <c r="N464" s="1" t="s">
        <v>663</v>
      </c>
      <c r="O464" s="7"/>
      <c r="P464" s="1" t="s">
        <v>904</v>
      </c>
      <c r="Q464" s="7"/>
      <c r="R464" s="1" t="s">
        <v>373</v>
      </c>
      <c r="S464" s="7"/>
      <c r="T464" s="7"/>
      <c r="U464" s="7"/>
      <c r="V464" s="7"/>
      <c r="W464" s="7"/>
      <c r="X464" s="7"/>
      <c r="Y464" s="8" t="str">
        <f>IFERROR(VLOOKUP(A464,Sheet3!B:H,6,false),VLOOKUP(J464,Sheet2!A:C,2,false))</f>
        <v>https://bedgear.com/cdn/shop/files/Medium_Beige-01-ProductShot-Stack_e8704345-f3db-4f47-af72-515431ff0e9a.jpg</v>
      </c>
      <c r="Z464" s="8" t="str">
        <f>IFERROR(VLOOKUP(A464,Sheet3!B:H,7,false),VLOOKUP(J464,Sheet2!A:C,3,false))</f>
        <v>https://bedgear.com/products/basic-sheet-set</v>
      </c>
    </row>
    <row r="465">
      <c r="A465" s="4">
        <v>5.9915123E7</v>
      </c>
      <c r="B465" s="9">
        <v>5.0</v>
      </c>
      <c r="C465" s="9">
        <v>4.8</v>
      </c>
      <c r="D465" s="2" t="s">
        <v>856</v>
      </c>
      <c r="E465" s="2" t="s">
        <v>836</v>
      </c>
      <c r="F465" s="2" t="s">
        <v>857</v>
      </c>
      <c r="G465" s="9">
        <v>82.0</v>
      </c>
      <c r="H465" s="9">
        <v>4.3</v>
      </c>
      <c r="I465" s="9">
        <v>77.0</v>
      </c>
      <c r="J465" s="1" t="s">
        <v>858</v>
      </c>
      <c r="K465" s="1" t="s">
        <v>891</v>
      </c>
      <c r="L465" s="6">
        <v>79.99</v>
      </c>
      <c r="M465" s="6">
        <v>79.99</v>
      </c>
      <c r="N465" s="1" t="s">
        <v>663</v>
      </c>
      <c r="O465" s="7"/>
      <c r="P465" s="1" t="s">
        <v>904</v>
      </c>
      <c r="Q465" s="7"/>
      <c r="R465" s="1" t="s">
        <v>470</v>
      </c>
      <c r="S465" s="7"/>
      <c r="T465" s="7"/>
      <c r="U465" s="7"/>
      <c r="V465" s="7"/>
      <c r="W465" s="7"/>
      <c r="X465" s="7"/>
      <c r="Y465" s="8" t="str">
        <f>IFERROR(VLOOKUP(A465,Sheet3!B:H,6,false),VLOOKUP(J465,Sheet2!A:C,2,false))</f>
        <v>https://bedgear.com/cdn/shop/files/Medium_Beige-01-ProductShot-Stack_e8704345-f3db-4f47-af72-515431ff0e9a.jpg</v>
      </c>
      <c r="Z465" s="8" t="str">
        <f>IFERROR(VLOOKUP(A465,Sheet3!B:H,7,false),VLOOKUP(J465,Sheet2!A:C,3,false))</f>
        <v>https://bedgear.com/products/basic-sheet-set</v>
      </c>
    </row>
    <row r="466">
      <c r="A466" s="4">
        <v>5.9915135E7</v>
      </c>
      <c r="B466" s="9">
        <v>4.0</v>
      </c>
      <c r="C466" s="9">
        <v>2.75</v>
      </c>
      <c r="D466" s="2" t="s">
        <v>856</v>
      </c>
      <c r="E466" s="2" t="s">
        <v>836</v>
      </c>
      <c r="F466" s="2" t="s">
        <v>857</v>
      </c>
      <c r="G466" s="9">
        <v>82.0</v>
      </c>
      <c r="H466" s="9">
        <v>4.3</v>
      </c>
      <c r="I466" s="9">
        <v>78.0</v>
      </c>
      <c r="J466" s="1" t="s">
        <v>858</v>
      </c>
      <c r="K466" s="1" t="s">
        <v>893</v>
      </c>
      <c r="L466" s="6">
        <v>99.99</v>
      </c>
      <c r="M466" s="6">
        <v>99.99</v>
      </c>
      <c r="N466" s="1" t="s">
        <v>663</v>
      </c>
      <c r="O466" s="7"/>
      <c r="P466" s="1" t="s">
        <v>904</v>
      </c>
      <c r="Q466" s="7"/>
      <c r="R466" s="1" t="s">
        <v>568</v>
      </c>
      <c r="S466" s="7"/>
      <c r="T466" s="7"/>
      <c r="U466" s="7"/>
      <c r="V466" s="7"/>
      <c r="W466" s="7"/>
      <c r="X466" s="7"/>
      <c r="Y466" s="8" t="str">
        <f>IFERROR(VLOOKUP(A466,Sheet3!B:H,6,false),VLOOKUP(J466,Sheet2!A:C,2,false))</f>
        <v>https://bedgear.com/cdn/shop/files/Medium_Beige-01-ProductShot-Stack_e8704345-f3db-4f47-af72-515431ff0e9a.jpg</v>
      </c>
      <c r="Z466" s="8" t="str">
        <f>IFERROR(VLOOKUP(A466,Sheet3!B:H,7,false),VLOOKUP(J466,Sheet2!A:C,3,false))</f>
        <v>https://bedgear.com/products/basic-sheet-set</v>
      </c>
    </row>
    <row r="467">
      <c r="A467" s="4">
        <v>5.9915147E7</v>
      </c>
      <c r="B467" s="5"/>
      <c r="C467" s="5"/>
      <c r="D467" s="5"/>
      <c r="E467" s="5"/>
      <c r="F467" s="5"/>
      <c r="G467" s="5"/>
      <c r="H467" s="5"/>
      <c r="I467" s="5"/>
      <c r="J467" s="1" t="s">
        <v>858</v>
      </c>
      <c r="K467" s="1" t="s">
        <v>895</v>
      </c>
      <c r="L467" s="6">
        <v>99.99</v>
      </c>
      <c r="M467" s="6">
        <v>99.99</v>
      </c>
      <c r="N467" s="1" t="s">
        <v>663</v>
      </c>
      <c r="O467" s="7"/>
      <c r="P467" s="1" t="s">
        <v>904</v>
      </c>
      <c r="Q467" s="7"/>
      <c r="R467" s="1" t="s">
        <v>670</v>
      </c>
      <c r="S467" s="7"/>
      <c r="T467" s="7"/>
      <c r="U467" s="7"/>
      <c r="V467" s="7"/>
      <c r="W467" s="7"/>
      <c r="X467" s="7"/>
      <c r="Y467" s="8" t="str">
        <f>IFERROR(VLOOKUP(A467,Sheet3!B:H,6,false),VLOOKUP(J467,Sheet2!A:C,2,false))</f>
        <v>https://bedgear.com/cdn/shop/files/Medium_Beige-01-ProductShot-Stack_e8704345-f3db-4f47-af72-515431ff0e9a.jpg</v>
      </c>
      <c r="Z467" s="8" t="str">
        <f>IFERROR(VLOOKUP(A467,Sheet3!B:H,7,false),VLOOKUP(J467,Sheet2!A:C,3,false))</f>
        <v>https://bedgear.com/products/basic-sheet-set</v>
      </c>
    </row>
    <row r="468">
      <c r="A468" s="4">
        <v>5.992577E7</v>
      </c>
      <c r="B468" s="5"/>
      <c r="C468" s="5"/>
      <c r="D468" s="5"/>
      <c r="E468" s="5"/>
      <c r="F468" s="5"/>
      <c r="G468" s="5"/>
      <c r="H468" s="5"/>
      <c r="I468" s="5"/>
      <c r="J468" s="1" t="s">
        <v>838</v>
      </c>
      <c r="K468" s="1" t="s">
        <v>905</v>
      </c>
      <c r="L468" s="6">
        <v>199.99</v>
      </c>
      <c r="M468" s="6">
        <v>199.99</v>
      </c>
      <c r="N468" s="1" t="s">
        <v>663</v>
      </c>
      <c r="O468" s="7"/>
      <c r="P468" s="1" t="s">
        <v>852</v>
      </c>
      <c r="Q468" s="7"/>
      <c r="R468" s="1" t="s">
        <v>845</v>
      </c>
      <c r="S468" s="7"/>
      <c r="T468" s="7"/>
      <c r="U468" s="7"/>
      <c r="V468" s="7"/>
      <c r="W468" s="7"/>
      <c r="X468" s="7"/>
      <c r="Y468" s="8" t="str">
        <f>IFERROR(VLOOKUP(A468,Sheet3!B:H,6,false),VLOOKUP(J468,Sheet2!A:C,2,false))</f>
        <v>https://bedgear.com/cdn/shop/files/01-Grey-ProductShot-Stack_de9d1597-1c50-403a-a9af-2923ed02cd42.jpg</v>
      </c>
      <c r="Z468" s="8" t="str">
        <f>IFERROR(VLOOKUP(A468,Sheet3!B:H,7,false),VLOOKUP(J468,Sheet2!A:C,3,false))</f>
        <v>https://bedgear.com/products/dri-tec-sheet-set</v>
      </c>
    </row>
    <row r="469">
      <c r="A469" s="4">
        <v>5.9925782E7</v>
      </c>
      <c r="B469" s="9">
        <v>1.0</v>
      </c>
      <c r="C469" s="9">
        <v>5.0</v>
      </c>
      <c r="D469" s="2" t="s">
        <v>835</v>
      </c>
      <c r="E469" s="2" t="s">
        <v>836</v>
      </c>
      <c r="F469" s="2" t="s">
        <v>837</v>
      </c>
      <c r="G469" s="9">
        <v>139.0</v>
      </c>
      <c r="H469" s="9">
        <v>4.06</v>
      </c>
      <c r="I469" s="9">
        <v>138.0</v>
      </c>
      <c r="J469" s="1" t="s">
        <v>838</v>
      </c>
      <c r="K469" s="1" t="s">
        <v>906</v>
      </c>
      <c r="L469" s="6">
        <v>229.99</v>
      </c>
      <c r="M469" s="6">
        <v>229.99</v>
      </c>
      <c r="N469" s="1" t="s">
        <v>663</v>
      </c>
      <c r="O469" s="7"/>
      <c r="P469" s="1" t="s">
        <v>853</v>
      </c>
      <c r="Q469" s="7"/>
      <c r="R469" s="1" t="s">
        <v>373</v>
      </c>
      <c r="S469" s="7"/>
      <c r="T469" s="7"/>
      <c r="U469" s="7"/>
      <c r="V469" s="7"/>
      <c r="W469" s="7"/>
      <c r="X469" s="7"/>
      <c r="Y469" s="8" t="str">
        <f>IFERROR(VLOOKUP(A469,Sheet3!B:H,6,false),VLOOKUP(J469,Sheet2!A:C,2,false))</f>
        <v>https://bedgear.com/cdn/shop/files/01-Grey-ProductShot-Stack_de9d1597-1c50-403a-a9af-2923ed02cd42.jpg</v>
      </c>
      <c r="Z469" s="8" t="str">
        <f>IFERROR(VLOOKUP(A469,Sheet3!B:H,7,false),VLOOKUP(J469,Sheet2!A:C,3,false))</f>
        <v>https://bedgear.com/products/dri-tec-sheet-set</v>
      </c>
    </row>
    <row r="470">
      <c r="A470" s="4">
        <v>5.9925845E7</v>
      </c>
      <c r="B470" s="5"/>
      <c r="C470" s="5"/>
      <c r="D470" s="5"/>
      <c r="E470" s="5"/>
      <c r="F470" s="5"/>
      <c r="G470" s="5"/>
      <c r="H470" s="5"/>
      <c r="I470" s="5"/>
      <c r="J470" s="1" t="s">
        <v>838</v>
      </c>
      <c r="K470" s="1" t="s">
        <v>841</v>
      </c>
      <c r="L470" s="6">
        <v>249.99</v>
      </c>
      <c r="M470" s="6">
        <v>249.99</v>
      </c>
      <c r="N470" s="1" t="s">
        <v>663</v>
      </c>
      <c r="O470" s="7"/>
      <c r="P470" s="1" t="s">
        <v>853</v>
      </c>
      <c r="Q470" s="7"/>
      <c r="R470" s="1" t="s">
        <v>470</v>
      </c>
      <c r="S470" s="7"/>
      <c r="T470" s="7"/>
      <c r="U470" s="7"/>
      <c r="V470" s="7"/>
      <c r="W470" s="7"/>
      <c r="X470" s="7"/>
      <c r="Y470" s="8" t="str">
        <f>IFERROR(VLOOKUP(A470,Sheet3!B:H,6,false),VLOOKUP(J470,Sheet2!A:C,2,false))</f>
        <v>https://bedgear.com/cdn/shop/files/01-Grey-ProductShot-Stack_de9d1597-1c50-403a-a9af-2923ed02cd42.jpg</v>
      </c>
      <c r="Z470" s="8" t="str">
        <f>IFERROR(VLOOKUP(A470,Sheet3!B:H,7,false),VLOOKUP(J470,Sheet2!A:C,3,false))</f>
        <v>https://bedgear.com/products/dri-tec-sheet-set</v>
      </c>
    </row>
    <row r="471">
      <c r="A471" s="4">
        <v>5.9925869E7</v>
      </c>
      <c r="B471" s="9">
        <v>3.0</v>
      </c>
      <c r="C471" s="9">
        <v>4.33</v>
      </c>
      <c r="D471" s="2" t="s">
        <v>835</v>
      </c>
      <c r="E471" s="2" t="s">
        <v>836</v>
      </c>
      <c r="F471" s="2" t="s">
        <v>837</v>
      </c>
      <c r="G471" s="9">
        <v>139.0</v>
      </c>
      <c r="H471" s="9">
        <v>4.06</v>
      </c>
      <c r="I471" s="9">
        <v>136.0</v>
      </c>
      <c r="J471" s="1" t="s">
        <v>838</v>
      </c>
      <c r="K471" s="1" t="s">
        <v>907</v>
      </c>
      <c r="L471" s="6">
        <v>279.99</v>
      </c>
      <c r="M471" s="6">
        <v>279.99</v>
      </c>
      <c r="N471" s="1" t="s">
        <v>663</v>
      </c>
      <c r="O471" s="7"/>
      <c r="P471" s="1" t="s">
        <v>853</v>
      </c>
      <c r="Q471" s="7"/>
      <c r="R471" s="1" t="s">
        <v>848</v>
      </c>
      <c r="S471" s="7"/>
      <c r="T471" s="7"/>
      <c r="U471" s="7"/>
      <c r="V471" s="7"/>
      <c r="W471" s="7"/>
      <c r="X471" s="7"/>
      <c r="Y471" s="8" t="str">
        <f>IFERROR(VLOOKUP(A471,Sheet3!B:H,6,false),VLOOKUP(J471,Sheet2!A:C,2,false))</f>
        <v>https://bedgear.com/cdn/shop/files/01-Grey-ProductShot-Stack_de9d1597-1c50-403a-a9af-2923ed02cd42.jpg</v>
      </c>
      <c r="Z471" s="8" t="str">
        <f>IFERROR(VLOOKUP(A471,Sheet3!B:H,7,false),VLOOKUP(J471,Sheet2!A:C,3,false))</f>
        <v>https://bedgear.com/products/dri-tec-sheet-set</v>
      </c>
    </row>
    <row r="472">
      <c r="A472" s="4">
        <v>5.9925871E7</v>
      </c>
      <c r="B472" s="5"/>
      <c r="C472" s="5"/>
      <c r="D472" s="5"/>
      <c r="E472" s="5"/>
      <c r="F472" s="5"/>
      <c r="G472" s="5"/>
      <c r="H472" s="5"/>
      <c r="I472" s="5"/>
      <c r="J472" s="1" t="s">
        <v>838</v>
      </c>
      <c r="K472" s="1" t="s">
        <v>908</v>
      </c>
      <c r="L472" s="6">
        <v>279.99</v>
      </c>
      <c r="M472" s="6">
        <v>279.99</v>
      </c>
      <c r="N472" s="1" t="s">
        <v>663</v>
      </c>
      <c r="O472" s="7"/>
      <c r="P472" s="1" t="s">
        <v>853</v>
      </c>
      <c r="Q472" s="7"/>
      <c r="R472" s="1" t="s">
        <v>851</v>
      </c>
      <c r="S472" s="7"/>
      <c r="T472" s="7"/>
      <c r="U472" s="7"/>
      <c r="V472" s="7"/>
      <c r="W472" s="7"/>
      <c r="X472" s="7"/>
      <c r="Y472" s="8" t="str">
        <f>IFERROR(VLOOKUP(A472,Sheet3!B:H,6,false),VLOOKUP(J472,Sheet2!A:C,2,false))</f>
        <v>https://bedgear.com/cdn/shop/files/01-Grey-ProductShot-Stack_de9d1597-1c50-403a-a9af-2923ed02cd42.jpg</v>
      </c>
      <c r="Z472" s="8" t="str">
        <f>IFERROR(VLOOKUP(A472,Sheet3!B:H,7,false),VLOOKUP(J472,Sheet2!A:C,3,false))</f>
        <v>https://bedgear.com/products/dri-tec-sheet-set</v>
      </c>
    </row>
    <row r="473">
      <c r="A473" s="4">
        <v>5.9940063E7</v>
      </c>
      <c r="B473" s="9">
        <v>76.0</v>
      </c>
      <c r="C473" s="9">
        <v>4.01</v>
      </c>
      <c r="D473" s="2" t="s">
        <v>909</v>
      </c>
      <c r="E473" s="2" t="s">
        <v>794</v>
      </c>
      <c r="F473" s="2" t="s">
        <v>910</v>
      </c>
      <c r="G473" s="9">
        <v>118.0</v>
      </c>
      <c r="H473" s="9">
        <v>3.98</v>
      </c>
      <c r="I473" s="9">
        <v>42.0</v>
      </c>
      <c r="J473" s="1" t="s">
        <v>911</v>
      </c>
      <c r="K473" s="1" t="s">
        <v>912</v>
      </c>
      <c r="L473" s="6">
        <v>143.0</v>
      </c>
      <c r="M473" s="6">
        <v>179.0</v>
      </c>
      <c r="N473" s="1" t="s">
        <v>30</v>
      </c>
      <c r="O473" s="7"/>
      <c r="P473" s="1" t="s">
        <v>913</v>
      </c>
      <c r="Q473" s="1" t="s">
        <v>31</v>
      </c>
      <c r="R473" s="1" t="s">
        <v>470</v>
      </c>
      <c r="S473" s="7"/>
      <c r="T473" s="7"/>
      <c r="U473" s="7"/>
      <c r="V473" s="7"/>
      <c r="W473" s="7"/>
      <c r="X473" s="7"/>
      <c r="Y473" s="8" t="str">
        <f>IFERROR(VLOOKUP(A473,Sheet3!B:H,6,false),VLOOKUP(J473,Sheet2!A:C,2,false))</f>
        <v>https://casper.com/cdn/shop/files/Foam-Snow-Pillow-Feel-Scale.jpg</v>
      </c>
      <c r="Z473" s="8" t="str">
        <f>IFERROR(VLOOKUP(A473,Sheet3!B:H,7,false),VLOOKUP(J473,Sheet2!A:C,3,false))</f>
        <v>https://casper.com/products/foam-snow-pillow</v>
      </c>
    </row>
    <row r="474">
      <c r="A474" s="4">
        <v>5.9940075E7</v>
      </c>
      <c r="B474" s="9">
        <v>42.0</v>
      </c>
      <c r="C474" s="9">
        <v>3.93</v>
      </c>
      <c r="D474" s="2" t="s">
        <v>909</v>
      </c>
      <c r="E474" s="2" t="s">
        <v>794</v>
      </c>
      <c r="F474" s="2" t="s">
        <v>910</v>
      </c>
      <c r="G474" s="9">
        <v>118.0</v>
      </c>
      <c r="H474" s="9">
        <v>3.98</v>
      </c>
      <c r="I474" s="9">
        <v>76.0</v>
      </c>
      <c r="J474" s="1" t="s">
        <v>911</v>
      </c>
      <c r="K474" s="1" t="s">
        <v>914</v>
      </c>
      <c r="L474" s="6">
        <v>167.0</v>
      </c>
      <c r="M474" s="6">
        <v>209.0</v>
      </c>
      <c r="N474" s="1" t="s">
        <v>30</v>
      </c>
      <c r="O474" s="7"/>
      <c r="P474" s="1" t="s">
        <v>913</v>
      </c>
      <c r="Q474" s="1" t="s">
        <v>31</v>
      </c>
      <c r="R474" s="1" t="s">
        <v>568</v>
      </c>
      <c r="S474" s="7"/>
      <c r="T474" s="7"/>
      <c r="U474" s="7"/>
      <c r="V474" s="7"/>
      <c r="W474" s="7"/>
      <c r="X474" s="7"/>
      <c r="Y474" s="8" t="str">
        <f>IFERROR(VLOOKUP(A474,Sheet3!B:H,6,false),VLOOKUP(J474,Sheet2!A:C,2,false))</f>
        <v>https://casper.com/cdn/shop/files/Foam-Snow-Pillow-Feel-Scale.jpg</v>
      </c>
      <c r="Z474" s="8" t="str">
        <f>IFERROR(VLOOKUP(A474,Sheet3!B:H,7,false),VLOOKUP(J474,Sheet2!A:C,3,false))</f>
        <v>https://casper.com/products/foam-snow-pillow</v>
      </c>
    </row>
    <row r="475">
      <c r="A475" s="4">
        <v>5.9951004E7</v>
      </c>
      <c r="B475" s="9">
        <v>11.0</v>
      </c>
      <c r="C475" s="9">
        <v>3.91</v>
      </c>
      <c r="D475" s="2" t="s">
        <v>915</v>
      </c>
      <c r="E475" s="2" t="s">
        <v>916</v>
      </c>
      <c r="F475" s="2" t="s">
        <v>917</v>
      </c>
      <c r="G475" s="9">
        <v>11.0</v>
      </c>
      <c r="H475" s="9">
        <v>3.91</v>
      </c>
      <c r="I475" s="9">
        <v>0.0</v>
      </c>
      <c r="J475" s="1" t="s">
        <v>918</v>
      </c>
      <c r="K475" s="1" t="s">
        <v>919</v>
      </c>
      <c r="L475" s="6">
        <v>59.99</v>
      </c>
      <c r="M475" s="6">
        <v>59.99</v>
      </c>
      <c r="N475" s="1" t="s">
        <v>920</v>
      </c>
      <c r="O475" s="7"/>
      <c r="P475" s="1" t="s">
        <v>921</v>
      </c>
      <c r="Q475" s="1" t="s">
        <v>922</v>
      </c>
      <c r="R475" s="1" t="s">
        <v>923</v>
      </c>
      <c r="S475" s="7"/>
      <c r="T475" s="7"/>
      <c r="U475" s="7"/>
      <c r="V475" s="7"/>
      <c r="W475" s="7"/>
      <c r="X475" s="7"/>
      <c r="Y475" s="11" t="str">
        <f>IFERROR(VLOOKUP(A475,Sheet3!B:H,6,false),VLOOKUP(J475,Sheet2!A:C,2,false))</f>
        <v>#N/A</v>
      </c>
      <c r="Z475" s="11" t="str">
        <f>IFERROR(VLOOKUP(A475,Sheet3!B:H,7,false),VLOOKUP(J475,Sheet2!A:C,3,false))</f>
        <v>#N/A</v>
      </c>
    </row>
    <row r="476">
      <c r="A476" s="4">
        <v>5.9951016E7</v>
      </c>
      <c r="B476" s="9">
        <v>43.0</v>
      </c>
      <c r="C476" s="9">
        <v>4.33</v>
      </c>
      <c r="D476" s="2" t="s">
        <v>924</v>
      </c>
      <c r="E476" s="2" t="s">
        <v>916</v>
      </c>
      <c r="F476" s="2" t="s">
        <v>925</v>
      </c>
      <c r="G476" s="9">
        <v>43.0</v>
      </c>
      <c r="H476" s="9">
        <v>4.33</v>
      </c>
      <c r="I476" s="9">
        <v>0.0</v>
      </c>
      <c r="J476" s="1" t="s">
        <v>918</v>
      </c>
      <c r="K476" s="1" t="s">
        <v>926</v>
      </c>
      <c r="L476" s="6">
        <v>79.99</v>
      </c>
      <c r="M476" s="6">
        <v>79.99</v>
      </c>
      <c r="N476" s="1" t="s">
        <v>920</v>
      </c>
      <c r="O476" s="7"/>
      <c r="P476" s="1" t="s">
        <v>927</v>
      </c>
      <c r="Q476" s="1" t="s">
        <v>922</v>
      </c>
      <c r="R476" s="1" t="s">
        <v>928</v>
      </c>
      <c r="S476" s="7"/>
      <c r="T476" s="7"/>
      <c r="U476" s="7"/>
      <c r="V476" s="7"/>
      <c r="W476" s="7"/>
      <c r="X476" s="7"/>
      <c r="Y476" s="11" t="str">
        <f>IFERROR(VLOOKUP(A476,Sheet3!B:H,6,false),VLOOKUP(J476,Sheet2!A:C,2,false))</f>
        <v>#N/A</v>
      </c>
      <c r="Z476" s="11" t="str">
        <f>IFERROR(VLOOKUP(A476,Sheet3!B:H,7,false),VLOOKUP(J476,Sheet2!A:C,3,false))</f>
        <v>#N/A</v>
      </c>
    </row>
    <row r="477">
      <c r="A477" s="4">
        <v>5.9953084E7</v>
      </c>
      <c r="B477" s="9">
        <v>62.0</v>
      </c>
      <c r="C477" s="9">
        <v>4.34</v>
      </c>
      <c r="D477" s="2" t="s">
        <v>929</v>
      </c>
      <c r="E477" s="2" t="s">
        <v>794</v>
      </c>
      <c r="F477" s="2" t="s">
        <v>930</v>
      </c>
      <c r="G477" s="9">
        <v>62.0</v>
      </c>
      <c r="H477" s="9">
        <v>4.34</v>
      </c>
      <c r="I477" s="9">
        <v>0.0</v>
      </c>
      <c r="J477" s="1" t="s">
        <v>931</v>
      </c>
      <c r="K477" s="1" t="s">
        <v>932</v>
      </c>
      <c r="L477" s="6">
        <v>129.0</v>
      </c>
      <c r="M477" s="6">
        <v>129.0</v>
      </c>
      <c r="N477" s="1" t="s">
        <v>221</v>
      </c>
      <c r="O477" s="7"/>
      <c r="P477" s="1" t="s">
        <v>933</v>
      </c>
      <c r="Q477" s="1" t="s">
        <v>31</v>
      </c>
      <c r="R477" s="1" t="s">
        <v>470</v>
      </c>
      <c r="S477" s="7"/>
      <c r="T477" s="7"/>
      <c r="U477" s="7"/>
      <c r="V477" s="7"/>
      <c r="W477" s="7"/>
      <c r="X477" s="7"/>
      <c r="Y477" s="8" t="str">
        <f>IFERROR(VLOOKUP(A477,Sheet3!B:H,6,false),VLOOKUP(J477,Sheet2!A:C,2,false))</f>
        <v>https://assets.roomstogo.com/product/stearns-and-foster-standard-latex-pillow_59953084_image-item</v>
      </c>
      <c r="Z477" s="8" t="str">
        <f>IFERROR(VLOOKUP(A477,Sheet3!B:H,7,false),VLOOKUP(J477,Sheet2!A:C,3,false))</f>
        <v>https://assets.roomstogo.com/product/stearns-and-foster-standard-latex-pillow_59953084_alt-image-1</v>
      </c>
    </row>
    <row r="478">
      <c r="A478" s="4">
        <v>5.9953503E7</v>
      </c>
      <c r="B478" s="9">
        <v>56.0</v>
      </c>
      <c r="C478" s="9">
        <v>4.13</v>
      </c>
      <c r="D478" s="2" t="s">
        <v>934</v>
      </c>
      <c r="E478" s="2" t="s">
        <v>794</v>
      </c>
      <c r="F478" s="2" t="s">
        <v>935</v>
      </c>
      <c r="G478" s="9">
        <v>80.0</v>
      </c>
      <c r="H478" s="9">
        <v>4.11</v>
      </c>
      <c r="I478" s="9">
        <v>24.0</v>
      </c>
      <c r="J478" s="1" t="s">
        <v>936</v>
      </c>
      <c r="K478" s="1" t="s">
        <v>937</v>
      </c>
      <c r="L478" s="6">
        <v>125.0</v>
      </c>
      <c r="M478" s="6">
        <v>125.0</v>
      </c>
      <c r="N478" s="1" t="s">
        <v>64</v>
      </c>
      <c r="O478" s="7"/>
      <c r="P478" s="1" t="s">
        <v>938</v>
      </c>
      <c r="Q478" s="1" t="s">
        <v>31</v>
      </c>
      <c r="R478" s="1" t="s">
        <v>470</v>
      </c>
      <c r="S478" s="7"/>
      <c r="T478" s="7"/>
      <c r="U478" s="7"/>
      <c r="V478" s="7"/>
      <c r="W478" s="7"/>
      <c r="X478" s="7"/>
      <c r="Y478" s="8" t="str">
        <f>IFERROR(VLOOKUP(A478,Sheet3!B:H,6,false),VLOOKUP(J478,Sheet2!A:C,2,false))</f>
        <v>https://assets-www.tempurpedic.com/media/images/TEMPUR_Pillow_Adapt_ProAdjust_Styled_MAR24_04.original.jpg</v>
      </c>
      <c r="Z478" s="8" t="str">
        <f>IFERROR(VLOOKUP(A478,Sheet3!B:H,7,false),VLOOKUP(J478,Sheet2!A:C,3,false))</f>
        <v>https://www.tempurpedic.com/shop-pillows/adapt-pillows/</v>
      </c>
    </row>
    <row r="479">
      <c r="A479" s="4">
        <v>5.9953515E7</v>
      </c>
      <c r="B479" s="9">
        <v>24.0</v>
      </c>
      <c r="C479" s="9">
        <v>4.08</v>
      </c>
      <c r="D479" s="2" t="s">
        <v>934</v>
      </c>
      <c r="E479" s="2" t="s">
        <v>794</v>
      </c>
      <c r="F479" s="2" t="s">
        <v>935</v>
      </c>
      <c r="G479" s="9">
        <v>80.0</v>
      </c>
      <c r="H479" s="9">
        <v>4.11</v>
      </c>
      <c r="I479" s="9">
        <v>56.0</v>
      </c>
      <c r="J479" s="1" t="s">
        <v>936</v>
      </c>
      <c r="K479" s="1" t="s">
        <v>939</v>
      </c>
      <c r="L479" s="6">
        <v>165.0</v>
      </c>
      <c r="M479" s="6">
        <v>165.0</v>
      </c>
      <c r="N479" s="1" t="s">
        <v>64</v>
      </c>
      <c r="O479" s="7"/>
      <c r="P479" s="1" t="s">
        <v>938</v>
      </c>
      <c r="Q479" s="1" t="s">
        <v>31</v>
      </c>
      <c r="R479" s="1" t="s">
        <v>568</v>
      </c>
      <c r="S479" s="7"/>
      <c r="T479" s="7"/>
      <c r="U479" s="7"/>
      <c r="V479" s="7"/>
      <c r="W479" s="7"/>
      <c r="X479" s="7"/>
      <c r="Y479" s="8" t="str">
        <f>IFERROR(VLOOKUP(A479,Sheet3!B:H,6,false),VLOOKUP(J479,Sheet2!A:C,2,false))</f>
        <v>https://assets-www.tempurpedic.com/media/images/TEMPUR_Pillow_Adapt_ProAdjust_Styled_MAR24_04.original.jpg</v>
      </c>
      <c r="Z479" s="8" t="str">
        <f>IFERROR(VLOOKUP(A479,Sheet3!B:H,7,false),VLOOKUP(J479,Sheet2!A:C,3,false))</f>
        <v>https://www.tempurpedic.com/shop-pillows/adapt-pillows/</v>
      </c>
    </row>
    <row r="480">
      <c r="A480" s="4">
        <v>5.9953527E7</v>
      </c>
      <c r="B480" s="9">
        <v>68.0</v>
      </c>
      <c r="C480" s="9">
        <v>4.0</v>
      </c>
      <c r="D480" s="2" t="s">
        <v>940</v>
      </c>
      <c r="E480" s="2" t="s">
        <v>794</v>
      </c>
      <c r="F480" s="2" t="s">
        <v>941</v>
      </c>
      <c r="G480" s="9">
        <v>111.0</v>
      </c>
      <c r="H480" s="9">
        <v>4.15</v>
      </c>
      <c r="I480" s="9">
        <v>43.0</v>
      </c>
      <c r="J480" s="1" t="s">
        <v>942</v>
      </c>
      <c r="K480" s="1" t="s">
        <v>943</v>
      </c>
      <c r="L480" s="6">
        <v>175.0</v>
      </c>
      <c r="M480" s="6">
        <v>175.0</v>
      </c>
      <c r="N480" s="1" t="s">
        <v>64</v>
      </c>
      <c r="O480" s="7"/>
      <c r="P480" s="1" t="s">
        <v>944</v>
      </c>
      <c r="Q480" s="1" t="s">
        <v>31</v>
      </c>
      <c r="R480" s="1" t="s">
        <v>470</v>
      </c>
      <c r="S480" s="7"/>
      <c r="T480" s="7"/>
      <c r="U480" s="7"/>
      <c r="V480" s="7"/>
      <c r="W480" s="7"/>
      <c r="X480" s="7"/>
      <c r="Y480" s="8" t="str">
        <f>IFERROR(VLOOKUP(A480,Sheet3!B:H,6,false),VLOOKUP(J480,Sheet2!A:C,2,false))</f>
        <v>https://assets-www.tempurpedic.com/media/images/TEMPUR_Pillow_Adapt_ProAdjust_Styled_MAR24_04.original.jpg</v>
      </c>
      <c r="Z480" s="8" t="str">
        <f>IFERROR(VLOOKUP(A480,Sheet3!B:H,7,false),VLOOKUP(J480,Sheet2!A:C,3,false))</f>
        <v>https://www.tempurpedic.com/shop-pillows/adapt-pillows/</v>
      </c>
    </row>
    <row r="481">
      <c r="A481" s="4">
        <v>5.9953539E7</v>
      </c>
      <c r="B481" s="9">
        <v>43.0</v>
      </c>
      <c r="C481" s="9">
        <v>4.4</v>
      </c>
      <c r="D481" s="2" t="s">
        <v>940</v>
      </c>
      <c r="E481" s="2" t="s">
        <v>794</v>
      </c>
      <c r="F481" s="2" t="s">
        <v>941</v>
      </c>
      <c r="G481" s="9">
        <v>111.0</v>
      </c>
      <c r="H481" s="9">
        <v>4.15</v>
      </c>
      <c r="I481" s="9">
        <v>68.0</v>
      </c>
      <c r="J481" s="1" t="s">
        <v>942</v>
      </c>
      <c r="K481" s="1" t="s">
        <v>945</v>
      </c>
      <c r="L481" s="6">
        <v>215.0</v>
      </c>
      <c r="M481" s="6">
        <v>215.0</v>
      </c>
      <c r="N481" s="1" t="s">
        <v>64</v>
      </c>
      <c r="O481" s="7"/>
      <c r="P481" s="1" t="s">
        <v>944</v>
      </c>
      <c r="Q481" s="1" t="s">
        <v>31</v>
      </c>
      <c r="R481" s="1" t="s">
        <v>568</v>
      </c>
      <c r="S481" s="7"/>
      <c r="T481" s="7"/>
      <c r="U481" s="7"/>
      <c r="V481" s="7"/>
      <c r="W481" s="7"/>
      <c r="X481" s="7"/>
      <c r="Y481" s="8" t="str">
        <f>IFERROR(VLOOKUP(A481,Sheet3!B:H,6,false),VLOOKUP(J481,Sheet2!A:C,2,false))</f>
        <v>https://assets-www.tempurpedic.com/media/images/TEMPUR_Pillow_Adapt_ProAdjust_Styled_MAR24_04.original.jpg</v>
      </c>
      <c r="Z481" s="8" t="str">
        <f>IFERROR(VLOOKUP(A481,Sheet3!B:H,7,false),VLOOKUP(J481,Sheet2!A:C,3,false))</f>
        <v>https://www.tempurpedic.com/shop-pillows/adapt-pillows/</v>
      </c>
    </row>
    <row r="482">
      <c r="A482" s="4">
        <v>5.9953541E7</v>
      </c>
      <c r="B482" s="9">
        <v>65.0</v>
      </c>
      <c r="C482" s="9">
        <v>4.22</v>
      </c>
      <c r="D482" s="2" t="s">
        <v>946</v>
      </c>
      <c r="E482" s="2" t="s">
        <v>794</v>
      </c>
      <c r="F482" s="2" t="s">
        <v>947</v>
      </c>
      <c r="G482" s="9">
        <v>111.0</v>
      </c>
      <c r="H482" s="9">
        <v>4.15</v>
      </c>
      <c r="I482" s="9">
        <v>46.0</v>
      </c>
      <c r="J482" s="1" t="s">
        <v>948</v>
      </c>
      <c r="K482" s="1" t="s">
        <v>949</v>
      </c>
      <c r="L482" s="6">
        <v>175.0</v>
      </c>
      <c r="M482" s="6">
        <v>175.0</v>
      </c>
      <c r="N482" s="1" t="s">
        <v>64</v>
      </c>
      <c r="O482" s="7"/>
      <c r="P482" s="1" t="s">
        <v>950</v>
      </c>
      <c r="Q482" s="1" t="s">
        <v>31</v>
      </c>
      <c r="R482" s="1" t="s">
        <v>470</v>
      </c>
      <c r="S482" s="7"/>
      <c r="T482" s="7"/>
      <c r="U482" s="7"/>
      <c r="V482" s="7"/>
      <c r="W482" s="7"/>
      <c r="X482" s="7"/>
      <c r="Y482" s="8" t="str">
        <f>IFERROR(VLOOKUP(A482,Sheet3!B:H,6,false),VLOOKUP(J482,Sheet2!A:C,2,false))</f>
        <v>https://assets-www.tempurpedic.com/media/images/TEMPUR_Pillow_Adapt_ProAdjust_Styled_MAR24_04.original.jpg</v>
      </c>
      <c r="Z482" s="8" t="str">
        <f>IFERROR(VLOOKUP(A482,Sheet3!B:H,7,false),VLOOKUP(J482,Sheet2!A:C,3,false))</f>
        <v>https://www.tempurpedic.com/shop-pillows/adapt-pillows/</v>
      </c>
    </row>
    <row r="483">
      <c r="A483" s="4">
        <v>5.9953553E7</v>
      </c>
      <c r="B483" s="9">
        <v>46.0</v>
      </c>
      <c r="C483" s="9">
        <v>4.07</v>
      </c>
      <c r="D483" s="2" t="s">
        <v>946</v>
      </c>
      <c r="E483" s="2" t="s">
        <v>794</v>
      </c>
      <c r="F483" s="2" t="s">
        <v>947</v>
      </c>
      <c r="G483" s="9">
        <v>111.0</v>
      </c>
      <c r="H483" s="9">
        <v>4.15</v>
      </c>
      <c r="I483" s="9">
        <v>65.0</v>
      </c>
      <c r="J483" s="1" t="s">
        <v>948</v>
      </c>
      <c r="K483" s="1" t="s">
        <v>951</v>
      </c>
      <c r="L483" s="6">
        <v>215.0</v>
      </c>
      <c r="M483" s="6">
        <v>215.0</v>
      </c>
      <c r="N483" s="1" t="s">
        <v>64</v>
      </c>
      <c r="O483" s="7"/>
      <c r="P483" s="1" t="s">
        <v>950</v>
      </c>
      <c r="Q483" s="1" t="s">
        <v>31</v>
      </c>
      <c r="R483" s="1" t="s">
        <v>568</v>
      </c>
      <c r="S483" s="7"/>
      <c r="T483" s="7"/>
      <c r="U483" s="7"/>
      <c r="V483" s="7"/>
      <c r="W483" s="7"/>
      <c r="X483" s="7"/>
      <c r="Y483" s="8" t="str">
        <f>IFERROR(VLOOKUP(A483,Sheet3!B:H,6,false),VLOOKUP(J483,Sheet2!A:C,2,false))</f>
        <v>https://assets-www.tempurpedic.com/media/images/TEMPUR_Pillow_Adapt_ProAdjust_Styled_MAR24_04.original.jpg</v>
      </c>
      <c r="Z483" s="8" t="str">
        <f>IFERROR(VLOOKUP(A483,Sheet3!B:H,7,false),VLOOKUP(J483,Sheet2!A:C,3,false))</f>
        <v>https://www.tempurpedic.com/shop-pillows/adapt-pillows/</v>
      </c>
    </row>
    <row r="484">
      <c r="A484" s="4">
        <v>5.9953565E7</v>
      </c>
      <c r="B484" s="9">
        <v>2.0</v>
      </c>
      <c r="C484" s="9">
        <v>3.5</v>
      </c>
      <c r="D484" s="2" t="s">
        <v>952</v>
      </c>
      <c r="E484" s="2" t="s">
        <v>794</v>
      </c>
      <c r="F484" s="2" t="s">
        <v>953</v>
      </c>
      <c r="G484" s="9">
        <v>3.0</v>
      </c>
      <c r="H484" s="9">
        <v>4.0</v>
      </c>
      <c r="I484" s="9">
        <v>1.0</v>
      </c>
      <c r="J484" s="1" t="s">
        <v>954</v>
      </c>
      <c r="K484" s="1" t="s">
        <v>955</v>
      </c>
      <c r="L484" s="6">
        <v>225.0</v>
      </c>
      <c r="M484" s="6">
        <v>225.0</v>
      </c>
      <c r="N484" s="1" t="s">
        <v>64</v>
      </c>
      <c r="O484" s="7"/>
      <c r="P484" s="7"/>
      <c r="Q484" s="1" t="s">
        <v>31</v>
      </c>
      <c r="R484" s="1" t="s">
        <v>470</v>
      </c>
      <c r="S484" s="7"/>
      <c r="T484" s="7"/>
      <c r="U484" s="7"/>
      <c r="V484" s="7"/>
      <c r="W484" s="7"/>
      <c r="X484" s="7"/>
      <c r="Y484" s="8" t="str">
        <f>IFERROR(VLOOKUP(A484,Sheet3!B:H,6,false),VLOOKUP(J484,Sheet2!A:C,2,false))</f>
        <v>https://assets-www.tempurpedic.com/media/images/TEMPUR_Pillow_Breeze_ProLo_Styled_MAR24_03.original.jpg</v>
      </c>
      <c r="Z484" s="8" t="str">
        <f>IFERROR(VLOOKUP(A484,Sheet3!B:H,7,false),VLOOKUP(J484,Sheet2!A:C,3,false))</f>
        <v>https://www.tempurpedic.com/shop-pillows/breeze-pillows/</v>
      </c>
    </row>
    <row r="485">
      <c r="A485" s="4">
        <v>5.9953577E7</v>
      </c>
      <c r="B485" s="9">
        <v>1.0</v>
      </c>
      <c r="C485" s="9">
        <v>5.0</v>
      </c>
      <c r="D485" s="2" t="s">
        <v>952</v>
      </c>
      <c r="E485" s="2" t="s">
        <v>794</v>
      </c>
      <c r="F485" s="2" t="s">
        <v>953</v>
      </c>
      <c r="G485" s="9">
        <v>3.0</v>
      </c>
      <c r="H485" s="9">
        <v>4.0</v>
      </c>
      <c r="I485" s="9">
        <v>2.0</v>
      </c>
      <c r="J485" s="1" t="s">
        <v>956</v>
      </c>
      <c r="K485" s="1" t="s">
        <v>957</v>
      </c>
      <c r="L485" s="6">
        <v>275.0</v>
      </c>
      <c r="M485" s="6">
        <v>275.0</v>
      </c>
      <c r="N485" s="1" t="s">
        <v>64</v>
      </c>
      <c r="O485" s="7"/>
      <c r="P485" s="7"/>
      <c r="Q485" s="1" t="s">
        <v>31</v>
      </c>
      <c r="R485" s="1" t="s">
        <v>568</v>
      </c>
      <c r="S485" s="7"/>
      <c r="T485" s="7"/>
      <c r="U485" s="7"/>
      <c r="V485" s="7"/>
      <c r="W485" s="7"/>
      <c r="X485" s="7"/>
      <c r="Y485" s="8" t="str">
        <f>IFERROR(VLOOKUP(A485,Sheet3!B:H,6,false),VLOOKUP(J485,Sheet2!A:C,2,false))</f>
        <v>https://assets-www.tempurpedic.com/media/images/TEMPUR_Pillow_Breeze_ProLo_Styled_MAR24_03.original.jpg</v>
      </c>
      <c r="Z485" s="8" t="str">
        <f>IFERROR(VLOOKUP(A485,Sheet3!B:H,7,false),VLOOKUP(J485,Sheet2!A:C,3,false))</f>
        <v>https://www.tempurpedic.com/shop-pillows/breeze-pillows/</v>
      </c>
    </row>
    <row r="486">
      <c r="A486" s="4">
        <v>5.9953589E7</v>
      </c>
      <c r="B486" s="9">
        <v>2.0</v>
      </c>
      <c r="C486" s="9">
        <v>4.0</v>
      </c>
      <c r="D486" s="2" t="s">
        <v>958</v>
      </c>
      <c r="E486" s="2" t="s">
        <v>794</v>
      </c>
      <c r="F486" s="2" t="s">
        <v>959</v>
      </c>
      <c r="G486" s="9">
        <v>2.0</v>
      </c>
      <c r="H486" s="9">
        <v>4.0</v>
      </c>
      <c r="I486" s="9">
        <v>0.0</v>
      </c>
      <c r="J486" s="1" t="s">
        <v>960</v>
      </c>
      <c r="K486" s="1" t="s">
        <v>961</v>
      </c>
      <c r="L486" s="6">
        <v>225.0</v>
      </c>
      <c r="M486" s="6">
        <v>225.0</v>
      </c>
      <c r="N486" s="1" t="s">
        <v>64</v>
      </c>
      <c r="O486" s="7"/>
      <c r="P486" s="7"/>
      <c r="Q486" s="1" t="s">
        <v>31</v>
      </c>
      <c r="R486" s="1" t="s">
        <v>470</v>
      </c>
      <c r="S486" s="7"/>
      <c r="T486" s="7"/>
      <c r="U486" s="7"/>
      <c r="V486" s="7"/>
      <c r="W486" s="7"/>
      <c r="X486" s="7"/>
      <c r="Y486" s="8" t="str">
        <f>IFERROR(VLOOKUP(A486,Sheet3!B:H,6,false),VLOOKUP(J486,Sheet2!A:C,2,false))</f>
        <v>https://assets-www.tempurpedic.com/media/images/TEMPUR_Pillow_Breeze_ProLo_Styled_MAR24_03.original.jpg</v>
      </c>
      <c r="Z486" s="8" t="str">
        <f>IFERROR(VLOOKUP(A486,Sheet3!B:H,7,false),VLOOKUP(J486,Sheet2!A:C,3,false))</f>
        <v>https://www.tempurpedic.com/shop-pillows/breeze-pillows/</v>
      </c>
    </row>
    <row r="487">
      <c r="A487" s="4">
        <v>5.9953591E7</v>
      </c>
      <c r="B487" s="9">
        <v>5.0</v>
      </c>
      <c r="C487" s="9">
        <v>4.2</v>
      </c>
      <c r="D487" s="2" t="s">
        <v>962</v>
      </c>
      <c r="E487" s="2" t="s">
        <v>794</v>
      </c>
      <c r="F487" s="2" t="s">
        <v>963</v>
      </c>
      <c r="G487" s="9">
        <v>5.0</v>
      </c>
      <c r="H487" s="9">
        <v>4.2</v>
      </c>
      <c r="I487" s="9">
        <v>0.0</v>
      </c>
      <c r="J487" s="1" t="s">
        <v>964</v>
      </c>
      <c r="K487" s="1" t="s">
        <v>965</v>
      </c>
      <c r="L487" s="6">
        <v>275.0</v>
      </c>
      <c r="M487" s="6">
        <v>275.0</v>
      </c>
      <c r="N487" s="1" t="s">
        <v>64</v>
      </c>
      <c r="O487" s="7"/>
      <c r="P487" s="7"/>
      <c r="Q487" s="1" t="s">
        <v>31</v>
      </c>
      <c r="R487" s="1" t="s">
        <v>568</v>
      </c>
      <c r="S487" s="7"/>
      <c r="T487" s="7"/>
      <c r="U487" s="7"/>
      <c r="V487" s="7"/>
      <c r="W487" s="7"/>
      <c r="X487" s="7"/>
      <c r="Y487" s="8" t="str">
        <f>IFERROR(VLOOKUP(A487,Sheet3!B:H,6,false),VLOOKUP(J487,Sheet2!A:C,2,false))</f>
        <v>https://assets-www.tempurpedic.com/media/images/TEMPUR_Pillow_Breeze_ProLo_Styled_MAR24_03.original.jpg</v>
      </c>
      <c r="Z487" s="8" t="str">
        <f>IFERROR(VLOOKUP(A487,Sheet3!B:H,7,false),VLOOKUP(J487,Sheet2!A:C,3,false))</f>
        <v>https://www.tempurpedic.com/shop-pillows/breeze-pillows/</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14.25"/>
    <col customWidth="1" min="4" max="4" width="35.38"/>
    <col customWidth="1" min="5" max="5" width="32.63"/>
    <col customWidth="1" min="6" max="6" width="29.63"/>
    <col customWidth="1" min="7" max="7" width="14.0"/>
    <col customWidth="1" min="10" max="10" width="45.88"/>
    <col customWidth="1" min="11" max="11" width="33.13"/>
    <col customWidth="1" min="12" max="13" width="29.75"/>
    <col customWidth="1" min="16" max="16" width="31.5"/>
    <col customWidth="1" min="17" max="17" width="17.75"/>
    <col customWidth="1" min="18" max="18" width="115.25"/>
    <col customWidth="1" min="22" max="22" width="20.5"/>
    <col customWidth="1" min="23" max="23" width="29.38"/>
    <col customWidth="1" min="28" max="28" width="99.13"/>
    <col customWidth="1" min="29" max="29" width="47.5"/>
  </cols>
  <sheetData>
    <row r="1">
      <c r="A1" s="1" t="s">
        <v>0</v>
      </c>
      <c r="B1" s="2" t="s">
        <v>1</v>
      </c>
      <c r="C1" s="2" t="s">
        <v>2</v>
      </c>
      <c r="D1" s="2" t="s">
        <v>3</v>
      </c>
      <c r="E1" s="2" t="s">
        <v>4</v>
      </c>
      <c r="F1" s="2" t="s">
        <v>5</v>
      </c>
      <c r="G1" s="2" t="s">
        <v>6</v>
      </c>
      <c r="H1" s="2" t="s">
        <v>7</v>
      </c>
      <c r="I1" s="2" t="s">
        <v>8</v>
      </c>
      <c r="J1" s="1" t="s">
        <v>9</v>
      </c>
      <c r="K1" s="13" t="s">
        <v>966</v>
      </c>
      <c r="L1" s="13" t="s">
        <v>967</v>
      </c>
      <c r="M1" s="1" t="s">
        <v>10</v>
      </c>
      <c r="N1" s="1" t="s">
        <v>11</v>
      </c>
      <c r="O1" s="1" t="s">
        <v>12</v>
      </c>
      <c r="P1" s="1" t="s">
        <v>13</v>
      </c>
      <c r="Q1" s="1" t="s">
        <v>14</v>
      </c>
      <c r="R1" s="1" t="s">
        <v>15</v>
      </c>
      <c r="S1" s="1" t="s">
        <v>16</v>
      </c>
      <c r="T1" s="1" t="s">
        <v>17</v>
      </c>
      <c r="U1" s="1" t="s">
        <v>18</v>
      </c>
      <c r="V1" s="1" t="s">
        <v>19</v>
      </c>
      <c r="W1" s="1" t="s">
        <v>20</v>
      </c>
      <c r="X1" s="1" t="s">
        <v>21</v>
      </c>
      <c r="Y1" s="1" t="s">
        <v>22</v>
      </c>
      <c r="Z1" s="1" t="s">
        <v>23</v>
      </c>
      <c r="AA1" s="3" t="s">
        <v>24</v>
      </c>
      <c r="AB1" s="3" t="s">
        <v>25</v>
      </c>
      <c r="AC1" s="3" t="s">
        <v>26</v>
      </c>
      <c r="AD1" s="3" t="s">
        <v>27</v>
      </c>
    </row>
    <row r="2">
      <c r="A2" s="4">
        <v>5.0000543E7</v>
      </c>
      <c r="B2" s="5"/>
      <c r="C2" s="5"/>
      <c r="D2" s="5"/>
      <c r="E2" s="5"/>
      <c r="F2" s="5"/>
      <c r="G2" s="5"/>
      <c r="H2" s="5"/>
      <c r="I2" s="5"/>
      <c r="J2" s="1" t="s">
        <v>28</v>
      </c>
      <c r="K2" s="1" t="s">
        <v>968</v>
      </c>
      <c r="L2" s="1" t="str">
        <f t="shared" ref="L2:L487" si="1">K2&amp;T2</f>
        <v>CASPER-CLOUD-ONETwin XL</v>
      </c>
      <c r="M2" s="1" t="s">
        <v>29</v>
      </c>
      <c r="N2" s="6">
        <v>879.0</v>
      </c>
      <c r="O2" s="6">
        <v>1099.0</v>
      </c>
      <c r="P2" s="1" t="s">
        <v>30</v>
      </c>
      <c r="Q2" s="7"/>
      <c r="R2" s="7"/>
      <c r="S2" s="1" t="s">
        <v>31</v>
      </c>
      <c r="T2" s="1" t="s">
        <v>32</v>
      </c>
      <c r="U2" s="1" t="s">
        <v>33</v>
      </c>
      <c r="V2" s="1" t="s">
        <v>34</v>
      </c>
      <c r="W2" s="1" t="s">
        <v>35</v>
      </c>
      <c r="X2" s="1" t="s">
        <v>34</v>
      </c>
      <c r="Y2" s="1" t="s">
        <v>36</v>
      </c>
      <c r="Z2" s="1" t="s">
        <v>37</v>
      </c>
      <c r="AA2" s="8" t="str">
        <f>IFERROR(VLOOKUP(A2,Sheet3!B:H,6,false),VLOOKUP(J2,Sheet2!A:C,2,false))</f>
        <v>https://assets.roomstogo.com/product/casper-cloud-one-twin-xl-mattress_50000543_image-item</v>
      </c>
      <c r="AB2" s="8" t="str">
        <f>IFERROR(VLOOKUP(A2,Sheet3!B:H,7,false),VLOOKUP(J2,Sheet2!A:C,3,false))</f>
        <v>https://assets.roomstogo.com/product/casper-cloud-one-twin-xl-mattress_50000543_alt-image-1</v>
      </c>
      <c r="AC2" s="8" t="str">
        <f t="shared" ref="AC2:AC487" si="2">"https://rtg-275.myshopify.com/products/"&amp;K2</f>
        <v>https://rtg-275.myshopify.com/products/CASPER-CLOUD-ONE</v>
      </c>
      <c r="AD2" s="8" t="str">
        <f>vlookup(L2,'Python sheet'!$E$2:$F$373,2,0)</f>
        <v>https://rtg-275.myshopify.com/products/CASPER-CLOUD-ONE?variant=47915101520010</v>
      </c>
    </row>
    <row r="3">
      <c r="A3" s="4">
        <v>5.0000579E7</v>
      </c>
      <c r="B3" s="5"/>
      <c r="C3" s="5"/>
      <c r="D3" s="5"/>
      <c r="E3" s="5"/>
      <c r="F3" s="5"/>
      <c r="G3" s="5"/>
      <c r="H3" s="5"/>
      <c r="I3" s="5"/>
      <c r="J3" s="1" t="s">
        <v>38</v>
      </c>
      <c r="K3" s="1" t="s">
        <v>969</v>
      </c>
      <c r="L3" s="1" t="str">
        <f t="shared" si="1"/>
        <v>CASPER-SNOW-2-0Twin XL</v>
      </c>
      <c r="M3" s="1" t="s">
        <v>39</v>
      </c>
      <c r="N3" s="6">
        <v>1595.0</v>
      </c>
      <c r="O3" s="6">
        <v>1995.0</v>
      </c>
      <c r="P3" s="1" t="s">
        <v>30</v>
      </c>
      <c r="Q3" s="7"/>
      <c r="R3" s="1" t="s">
        <v>40</v>
      </c>
      <c r="S3" s="1" t="s">
        <v>31</v>
      </c>
      <c r="T3" s="1" t="s">
        <v>32</v>
      </c>
      <c r="U3" s="1" t="s">
        <v>41</v>
      </c>
      <c r="V3" s="1" t="s">
        <v>34</v>
      </c>
      <c r="W3" s="1" t="s">
        <v>35</v>
      </c>
      <c r="X3" s="1" t="s">
        <v>34</v>
      </c>
      <c r="Y3" s="1" t="s">
        <v>42</v>
      </c>
      <c r="Z3" s="1" t="s">
        <v>37</v>
      </c>
      <c r="AA3" s="8" t="str">
        <f>IFERROR(VLOOKUP(A3,Sheet3!B:H,6,false),VLOOKUP(J3,Sheet2!A:C,2,false))</f>
        <v>https://assets.roomstogo.com/product/casper-snow-20-twin-xl-mattress_50000579_image-item</v>
      </c>
      <c r="AB3" s="8" t="str">
        <f>IFERROR(VLOOKUP(A3,Sheet3!B:H,7,false),VLOOKUP(J3,Sheet2!A:C,3,false))</f>
        <v>https://assets.roomstogo.com/product/casper-snow-20-twin-xl-mattress_50000579_alt-image-1</v>
      </c>
      <c r="AC3" s="8" t="str">
        <f t="shared" si="2"/>
        <v>https://rtg-275.myshopify.com/products/CASPER-SNOW-2-0</v>
      </c>
      <c r="AD3" s="8" t="str">
        <f>vlookup(L3,'Python sheet'!$E$2:$F$373,2,0)</f>
        <v>https://rtg-275.myshopify.com/products/CASPER-SNOW-2-0?variant=47915101749386</v>
      </c>
    </row>
    <row r="4">
      <c r="A4" s="4">
        <v>5.0000581E7</v>
      </c>
      <c r="B4" s="9">
        <v>1.0</v>
      </c>
      <c r="C4" s="9">
        <v>5.0</v>
      </c>
      <c r="D4" s="2" t="s">
        <v>43</v>
      </c>
      <c r="E4" s="2" t="s">
        <v>44</v>
      </c>
      <c r="F4" s="2" t="s">
        <v>45</v>
      </c>
      <c r="G4" s="9">
        <v>380.0</v>
      </c>
      <c r="H4" s="9">
        <v>4.42</v>
      </c>
      <c r="I4" s="9">
        <v>379.0</v>
      </c>
      <c r="J4" s="1" t="s">
        <v>46</v>
      </c>
      <c r="K4" s="1" t="s">
        <v>970</v>
      </c>
      <c r="L4" s="1" t="str">
        <f t="shared" si="1"/>
        <v>CASPER-SNOW-MAXTwin XL</v>
      </c>
      <c r="M4" s="1" t="s">
        <v>47</v>
      </c>
      <c r="N4" s="6">
        <v>2595.0</v>
      </c>
      <c r="O4" s="6">
        <v>3245.0</v>
      </c>
      <c r="P4" s="1" t="s">
        <v>30</v>
      </c>
      <c r="Q4" s="7"/>
      <c r="R4" s="1" t="s">
        <v>48</v>
      </c>
      <c r="S4" s="1" t="s">
        <v>31</v>
      </c>
      <c r="T4" s="1" t="s">
        <v>32</v>
      </c>
      <c r="U4" s="1" t="s">
        <v>41</v>
      </c>
      <c r="V4" s="1" t="s">
        <v>42</v>
      </c>
      <c r="W4" s="1" t="s">
        <v>49</v>
      </c>
      <c r="X4" s="1" t="s">
        <v>34</v>
      </c>
      <c r="Y4" s="1" t="s">
        <v>50</v>
      </c>
      <c r="Z4" s="1" t="s">
        <v>51</v>
      </c>
      <c r="AA4" s="8" t="str">
        <f>IFERROR(VLOOKUP(A4,Sheet3!B:H,6,false),VLOOKUP(J4,Sheet2!A:C,2,false))</f>
        <v>https://assets.roomstogo.com/product/casper-snow-max-twin-xl-mattress_50000581_image-item</v>
      </c>
      <c r="AB4" s="8" t="str">
        <f>IFERROR(VLOOKUP(A4,Sheet3!B:H,7,false),VLOOKUP(J4,Sheet2!A:C,3,false))</f>
        <v>https://assets.roomstogo.com/product/casper-snow-max-twin-xl-mattress_50000581_alt-image-1</v>
      </c>
      <c r="AC4" s="8" t="str">
        <f t="shared" si="2"/>
        <v>https://rtg-275.myshopify.com/products/CASPER-SNOW-MAX</v>
      </c>
      <c r="AD4" s="8" t="str">
        <f>vlookup(L4,'Python sheet'!$E$2:$F$373,2,0)</f>
        <v>https://rtg-275.myshopify.com/products/CASPER-SNOW-MAX?variant=47915101978762</v>
      </c>
    </row>
    <row r="5">
      <c r="A5" s="4">
        <v>5.0000682E7</v>
      </c>
      <c r="B5" s="5"/>
      <c r="C5" s="5"/>
      <c r="D5" s="5"/>
      <c r="E5" s="5"/>
      <c r="F5" s="5"/>
      <c r="G5" s="5"/>
      <c r="H5" s="5"/>
      <c r="I5" s="5"/>
      <c r="J5" s="1" t="s">
        <v>52</v>
      </c>
      <c r="K5" s="1" t="s">
        <v>971</v>
      </c>
      <c r="L5" s="1" t="str">
        <f t="shared" si="1"/>
        <v>CASPER-ONYX-2-0Twin XL</v>
      </c>
      <c r="M5" s="1" t="s">
        <v>53</v>
      </c>
      <c r="N5" s="6">
        <v>699.0</v>
      </c>
      <c r="O5" s="6">
        <v>799.0</v>
      </c>
      <c r="P5" s="1" t="s">
        <v>30</v>
      </c>
      <c r="Q5" s="1" t="s">
        <v>54</v>
      </c>
      <c r="R5" s="1" t="s">
        <v>55</v>
      </c>
      <c r="S5" s="1" t="s">
        <v>31</v>
      </c>
      <c r="T5" s="1" t="s">
        <v>32</v>
      </c>
      <c r="U5" s="1" t="s">
        <v>33</v>
      </c>
      <c r="V5" s="1" t="s">
        <v>36</v>
      </c>
      <c r="W5" s="1" t="s">
        <v>35</v>
      </c>
      <c r="X5" s="1" t="s">
        <v>36</v>
      </c>
      <c r="Y5" s="1" t="s">
        <v>36</v>
      </c>
      <c r="Z5" s="1" t="s">
        <v>37</v>
      </c>
      <c r="AA5" s="8" t="str">
        <f>IFERROR(VLOOKUP(A5,Sheet3!B:H,6,false),VLOOKUP(J5,Sheet2!A:C,2,false))</f>
        <v>https://assets.roomstogo.com/product/casper-onyx-20-twin-xl-mattress_50000682_image-item</v>
      </c>
      <c r="AB5" s="8" t="str">
        <f>IFERROR(VLOOKUP(A5,Sheet3!B:H,7,false),VLOOKUP(J5,Sheet2!A:C,3,false))</f>
        <v>https://assets.roomstogo.com/product/casper-onyx-20-twin-xl-mattress_50000682_alt-image-1</v>
      </c>
      <c r="AC5" s="8" t="str">
        <f t="shared" si="2"/>
        <v>https://rtg-275.myshopify.com/products/CASPER-ONYX-2-0</v>
      </c>
      <c r="AD5" s="8" t="str">
        <f>vlookup(L5,'Python sheet'!$E$2:$F$373,2,0)</f>
        <v>https://rtg-275.myshopify.com/products/CASPER-ONYX-2-0?variant=47915102175370</v>
      </c>
    </row>
    <row r="6">
      <c r="A6" s="4">
        <v>5.0001773E7</v>
      </c>
      <c r="B6" s="5"/>
      <c r="C6" s="5"/>
      <c r="D6" s="5"/>
      <c r="E6" s="5"/>
      <c r="F6" s="5"/>
      <c r="G6" s="5"/>
      <c r="H6" s="5"/>
      <c r="I6" s="5"/>
      <c r="J6" s="1" t="s">
        <v>56</v>
      </c>
      <c r="K6" s="1" t="s">
        <v>972</v>
      </c>
      <c r="L6" s="1" t="str">
        <f t="shared" si="1"/>
        <v>SMART-MATCH-2-0Twin XL</v>
      </c>
      <c r="M6" s="1" t="s">
        <v>57</v>
      </c>
      <c r="N6" s="6">
        <v>1077.0</v>
      </c>
      <c r="O6" s="6">
        <v>3199.0</v>
      </c>
      <c r="P6" s="1" t="s">
        <v>58</v>
      </c>
      <c r="Q6" s="7"/>
      <c r="R6" s="7"/>
      <c r="S6" s="7"/>
      <c r="T6" s="1" t="s">
        <v>32</v>
      </c>
      <c r="U6" s="1" t="s">
        <v>59</v>
      </c>
      <c r="V6" s="1" t="s">
        <v>42</v>
      </c>
      <c r="W6" s="1" t="s">
        <v>35</v>
      </c>
      <c r="X6" s="1" t="s">
        <v>42</v>
      </c>
      <c r="Y6" s="1" t="s">
        <v>34</v>
      </c>
      <c r="Z6" s="1" t="s">
        <v>37</v>
      </c>
      <c r="AA6" s="8" t="str">
        <f>IFERROR(VLOOKUP(A6,Sheet3!B:H,6,false),VLOOKUP(J6,Sheet2!A:C,2,false))</f>
        <v>https://assets.roomstogo.com/product/kingsdown-smart-match-20-twin-xl-mattress_50001773_image-item</v>
      </c>
      <c r="AB6" s="8" t="str">
        <f>IFERROR(VLOOKUP(A6,Sheet3!B:H,7,false),VLOOKUP(J6,Sheet2!A:C,3,false))</f>
        <v>https://assets.roomstogo.com/product/kingsdown-smart-match-20-twin-xl-mattress_50001773_alt-image-1</v>
      </c>
      <c r="AC6" s="8" t="str">
        <f t="shared" si="2"/>
        <v>https://rtg-275.myshopify.com/products/SMART-MATCH-2-0</v>
      </c>
      <c r="AD6" s="8" t="str">
        <f>vlookup(L6,'Python sheet'!$E$2:$F$373,2,0)</f>
        <v>https://rtg-275.myshopify.com/products/SMART-MATCH-2-0?variant=47915102470282</v>
      </c>
    </row>
    <row r="7">
      <c r="A7" s="4">
        <v>5.000746E7</v>
      </c>
      <c r="B7" s="9">
        <v>332.0</v>
      </c>
      <c r="C7" s="9">
        <v>4.48</v>
      </c>
      <c r="D7" s="2" t="s">
        <v>60</v>
      </c>
      <c r="E7" s="2" t="s">
        <v>44</v>
      </c>
      <c r="F7" s="2" t="s">
        <v>61</v>
      </c>
      <c r="G7" s="9">
        <v>346.0</v>
      </c>
      <c r="H7" s="9">
        <v>4.43</v>
      </c>
      <c r="I7" s="9">
        <v>14.0</v>
      </c>
      <c r="J7" s="1" t="s">
        <v>62</v>
      </c>
      <c r="K7" s="1" t="s">
        <v>973</v>
      </c>
      <c r="L7" s="1" t="str">
        <f t="shared" si="1"/>
        <v>ADAPT-2-0-MEDIUMTwin XL</v>
      </c>
      <c r="M7" s="1" t="s">
        <v>63</v>
      </c>
      <c r="N7" s="6">
        <v>1699.0</v>
      </c>
      <c r="O7" s="6">
        <v>1699.0</v>
      </c>
      <c r="P7" s="1" t="s">
        <v>64</v>
      </c>
      <c r="Q7" s="7"/>
      <c r="R7" s="1" t="s">
        <v>65</v>
      </c>
      <c r="S7" s="1" t="s">
        <v>31</v>
      </c>
      <c r="T7" s="1" t="s">
        <v>32</v>
      </c>
      <c r="U7" s="1" t="s">
        <v>33</v>
      </c>
      <c r="V7" s="1" t="s">
        <v>42</v>
      </c>
      <c r="W7" s="1" t="s">
        <v>35</v>
      </c>
      <c r="X7" s="1" t="s">
        <v>42</v>
      </c>
      <c r="Y7" s="1" t="s">
        <v>42</v>
      </c>
      <c r="Z7" s="1" t="s">
        <v>37</v>
      </c>
      <c r="AA7" s="8" t="str">
        <f>IFERROR(VLOOKUP(A7,Sheet3!B:H,6,false),VLOOKUP(J7,Sheet2!A:C,2,false))</f>
        <v>https://assets.roomstogo.com/product/tempur-pedic-adapt-20-medium-twin-xl-mattress_50007460_image-item</v>
      </c>
      <c r="AB7" s="8" t="str">
        <f>IFERROR(VLOOKUP(A7,Sheet3!B:H,7,false),VLOOKUP(J7,Sheet2!A:C,3,false))</f>
        <v>https://assets.roomstogo.com/product/tempur-pedic-adapt-20-medium-twin-xl-mattress_50007460_alt-image-1</v>
      </c>
      <c r="AC7" s="8" t="str">
        <f t="shared" si="2"/>
        <v>https://rtg-275.myshopify.com/products/ADAPT-2-0-MEDIUM</v>
      </c>
      <c r="AD7" s="8" t="str">
        <f>vlookup(L7,'Python sheet'!$E$2:$F$373,2,0)</f>
        <v>https://rtg-275.myshopify.com/products/ADAPT-2-0-MEDIUM?variant=47915102765194</v>
      </c>
    </row>
    <row r="8">
      <c r="A8" s="4">
        <v>5.0007472E7</v>
      </c>
      <c r="B8" s="10">
        <v>2576.0</v>
      </c>
      <c r="C8" s="9">
        <v>4.2</v>
      </c>
      <c r="D8" s="2" t="s">
        <v>66</v>
      </c>
      <c r="E8" s="2" t="s">
        <v>44</v>
      </c>
      <c r="F8" s="2" t="s">
        <v>67</v>
      </c>
      <c r="G8" s="9">
        <v>2587.0</v>
      </c>
      <c r="H8" s="9">
        <v>4.2</v>
      </c>
      <c r="I8" s="9">
        <v>11.0</v>
      </c>
      <c r="J8" s="1" t="s">
        <v>68</v>
      </c>
      <c r="K8" s="1" t="s">
        <v>974</v>
      </c>
      <c r="L8" s="1" t="str">
        <f t="shared" si="1"/>
        <v>ADAPT-2-0-MEDIUM-HYBRIDTwin XL</v>
      </c>
      <c r="M8" s="1" t="s">
        <v>69</v>
      </c>
      <c r="N8" s="6">
        <v>1999.0</v>
      </c>
      <c r="O8" s="6">
        <v>1999.0</v>
      </c>
      <c r="P8" s="1" t="s">
        <v>64</v>
      </c>
      <c r="Q8" s="7"/>
      <c r="R8" s="1" t="s">
        <v>70</v>
      </c>
      <c r="S8" s="1" t="s">
        <v>31</v>
      </c>
      <c r="T8" s="1" t="s">
        <v>32</v>
      </c>
      <c r="U8" s="1" t="s">
        <v>41</v>
      </c>
      <c r="V8" s="1" t="s">
        <v>42</v>
      </c>
      <c r="W8" s="1" t="s">
        <v>35</v>
      </c>
      <c r="X8" s="1" t="s">
        <v>42</v>
      </c>
      <c r="Y8" s="1" t="s">
        <v>42</v>
      </c>
      <c r="Z8" s="1" t="s">
        <v>37</v>
      </c>
      <c r="AA8" s="8" t="str">
        <f>IFERROR(VLOOKUP(A8,Sheet3!B:H,6,false),VLOOKUP(J8,Sheet2!A:C,2,false))</f>
        <v>https://assets.roomstogo.com/product/tempur-pedic-adapt-20-medium-hybrid-twin-xl-mattress_50007472_image-item</v>
      </c>
      <c r="AB8" s="8" t="str">
        <f>IFERROR(VLOOKUP(A8,Sheet3!B:H,7,false),VLOOKUP(J8,Sheet2!A:C,3,false))</f>
        <v>https://assets.roomstogo.com/product/tempur-pedic-adapt-20-medium-hybrid-twin-xl-mattress_50007472_alt-image-1</v>
      </c>
      <c r="AC8" s="8" t="str">
        <f t="shared" si="2"/>
        <v>https://rtg-275.myshopify.com/products/ADAPT-2-0-MEDIUM-HYBRID</v>
      </c>
      <c r="AD8" s="8" t="str">
        <f>vlookup(L8,'Python sheet'!$E$2:$F$373,2,0)</f>
        <v>https://rtg-275.myshopify.com/products/ADAPT-2-0-MEDIUM-HYBRID?variant=47915103125642</v>
      </c>
    </row>
    <row r="9">
      <c r="A9" s="4">
        <v>5.0007484E7</v>
      </c>
      <c r="B9" s="9">
        <v>237.0</v>
      </c>
      <c r="C9" s="9">
        <v>4.6</v>
      </c>
      <c r="D9" s="2" t="s">
        <v>71</v>
      </c>
      <c r="E9" s="2" t="s">
        <v>44</v>
      </c>
      <c r="F9" s="2" t="s">
        <v>72</v>
      </c>
      <c r="G9" s="9">
        <v>245.0</v>
      </c>
      <c r="H9" s="9">
        <v>4.62</v>
      </c>
      <c r="I9" s="9">
        <v>8.0</v>
      </c>
      <c r="J9" s="1" t="s">
        <v>73</v>
      </c>
      <c r="K9" s="1" t="s">
        <v>975</v>
      </c>
      <c r="L9" s="1" t="str">
        <f t="shared" si="1"/>
        <v>PROADAPT-2-0-FIRMTwin XL</v>
      </c>
      <c r="M9" s="1" t="s">
        <v>74</v>
      </c>
      <c r="N9" s="6">
        <v>2899.0</v>
      </c>
      <c r="O9" s="6">
        <v>2899.0</v>
      </c>
      <c r="P9" s="1" t="s">
        <v>64</v>
      </c>
      <c r="Q9" s="7"/>
      <c r="R9" s="1" t="s">
        <v>75</v>
      </c>
      <c r="S9" s="1" t="s">
        <v>31</v>
      </c>
      <c r="T9" s="1" t="s">
        <v>32</v>
      </c>
      <c r="U9" s="1" t="s">
        <v>33</v>
      </c>
      <c r="V9" s="1" t="s">
        <v>42</v>
      </c>
      <c r="W9" s="1" t="s">
        <v>76</v>
      </c>
      <c r="X9" s="1" t="s">
        <v>50</v>
      </c>
      <c r="Y9" s="1" t="s">
        <v>42</v>
      </c>
      <c r="Z9" s="1" t="s">
        <v>77</v>
      </c>
      <c r="AA9" s="8" t="str">
        <f>IFERROR(VLOOKUP(A9,Sheet3!B:H,6,false),VLOOKUP(J9,Sheet2!A:C,2,false))</f>
        <v>https://assets.roomstogo.com/product/tempur-pedic-proadapt-20-firm-twin-xl-mattress_50007484_image-item</v>
      </c>
      <c r="AB9" s="8" t="str">
        <f>IFERROR(VLOOKUP(A9,Sheet3!B:H,7,false),VLOOKUP(J9,Sheet2!A:C,3,false))</f>
        <v>https://assets.roomstogo.com/product/tempur-pedic-proadapt-20-firm-twin-xl-mattress_50007484_alt-image-1</v>
      </c>
      <c r="AC9" s="8" t="str">
        <f t="shared" si="2"/>
        <v>https://rtg-275.myshopify.com/products/PROADAPT-2-0-FIRM</v>
      </c>
      <c r="AD9" s="8" t="str">
        <f>vlookup(L9,'Python sheet'!$E$2:$F$373,2,0)</f>
        <v>https://rtg-275.myshopify.com/products/PROADAPT-2-0-FIRM?variant=47915103453322</v>
      </c>
    </row>
    <row r="10">
      <c r="A10" s="4">
        <v>5.0007511E7</v>
      </c>
      <c r="B10" s="9">
        <v>302.0</v>
      </c>
      <c r="C10" s="9">
        <v>4.48</v>
      </c>
      <c r="D10" s="2" t="s">
        <v>78</v>
      </c>
      <c r="E10" s="2" t="s">
        <v>44</v>
      </c>
      <c r="F10" s="2" t="s">
        <v>79</v>
      </c>
      <c r="G10" s="9">
        <v>306.0</v>
      </c>
      <c r="H10" s="9">
        <v>4.48</v>
      </c>
      <c r="I10" s="9">
        <v>4.0</v>
      </c>
      <c r="J10" s="1" t="s">
        <v>80</v>
      </c>
      <c r="K10" s="1" t="s">
        <v>976</v>
      </c>
      <c r="L10" s="1" t="str">
        <f t="shared" si="1"/>
        <v>PROBREEZE-2-0-MEDIUM-HYBRIDTwin XL</v>
      </c>
      <c r="M10" s="1" t="s">
        <v>81</v>
      </c>
      <c r="N10" s="6">
        <v>3899.0</v>
      </c>
      <c r="O10" s="6">
        <v>3899.0</v>
      </c>
      <c r="P10" s="1" t="s">
        <v>64</v>
      </c>
      <c r="Q10" s="7"/>
      <c r="R10" s="1" t="s">
        <v>82</v>
      </c>
      <c r="S10" s="1" t="s">
        <v>31</v>
      </c>
      <c r="T10" s="1" t="s">
        <v>32</v>
      </c>
      <c r="U10" s="1" t="s">
        <v>41</v>
      </c>
      <c r="V10" s="1" t="s">
        <v>42</v>
      </c>
      <c r="W10" s="1" t="s">
        <v>35</v>
      </c>
      <c r="X10" s="1" t="s">
        <v>50</v>
      </c>
      <c r="Y10" s="1" t="s">
        <v>50</v>
      </c>
      <c r="Z10" s="1" t="s">
        <v>37</v>
      </c>
      <c r="AA10" s="8" t="str">
        <f>IFERROR(VLOOKUP(A10,Sheet3!B:H,6,false),VLOOKUP(J10,Sheet2!A:C,2,false))</f>
        <v>https://assets.roomstogo.com/product/tempur-pedic-probreeze-20-medium-hybrid-twin-xl-mattress_50007511_image-item</v>
      </c>
      <c r="AB10" s="8" t="str">
        <f>IFERROR(VLOOKUP(A10,Sheet3!B:H,7,false),VLOOKUP(J10,Sheet2!A:C,3,false))</f>
        <v>https://assets.roomstogo.com/product/tempur-pedic-probreeze-20-medium-hybrid-twin-xl-mattress_50007511_image-item</v>
      </c>
      <c r="AC10" s="8" t="str">
        <f t="shared" si="2"/>
        <v>https://rtg-275.myshopify.com/products/PROBREEZE-2-0-MEDIUM-HYBRID</v>
      </c>
      <c r="AD10" s="8" t="str">
        <f>vlookup(L10,'Python sheet'!$E$2:$F$373,2,0)</f>
        <v>https://rtg-275.myshopify.com/products/PROBREEZE-2-0-MEDIUM-HYBRID?variant=47915104043146</v>
      </c>
    </row>
    <row r="11">
      <c r="A11" s="4">
        <v>5.0007523E7</v>
      </c>
      <c r="B11" s="10">
        <v>5214.0</v>
      </c>
      <c r="C11" s="9">
        <v>4.27</v>
      </c>
      <c r="D11" s="2" t="s">
        <v>83</v>
      </c>
      <c r="E11" s="2" t="s">
        <v>44</v>
      </c>
      <c r="F11" s="2" t="s">
        <v>84</v>
      </c>
      <c r="G11" s="9">
        <v>5219.0</v>
      </c>
      <c r="H11" s="9">
        <v>4.27</v>
      </c>
      <c r="I11" s="9">
        <v>5.0</v>
      </c>
      <c r="J11" s="1" t="s">
        <v>85</v>
      </c>
      <c r="K11" s="1" t="s">
        <v>977</v>
      </c>
      <c r="L11" s="1" t="str">
        <f t="shared" si="1"/>
        <v>PROADAPT-2-0-MEDIUMTwin XL</v>
      </c>
      <c r="M11" s="1" t="s">
        <v>86</v>
      </c>
      <c r="N11" s="6">
        <v>2899.0</v>
      </c>
      <c r="O11" s="6">
        <v>2899.0</v>
      </c>
      <c r="P11" s="1" t="s">
        <v>64</v>
      </c>
      <c r="Q11" s="7"/>
      <c r="R11" s="1" t="s">
        <v>75</v>
      </c>
      <c r="S11" s="1" t="s">
        <v>31</v>
      </c>
      <c r="T11" s="1" t="s">
        <v>32</v>
      </c>
      <c r="U11" s="1" t="s">
        <v>33</v>
      </c>
      <c r="V11" s="1" t="s">
        <v>42</v>
      </c>
      <c r="W11" s="1" t="s">
        <v>35</v>
      </c>
      <c r="X11" s="1" t="s">
        <v>50</v>
      </c>
      <c r="Y11" s="1" t="s">
        <v>42</v>
      </c>
      <c r="Z11" s="1" t="s">
        <v>37</v>
      </c>
      <c r="AA11" s="8" t="str">
        <f>IFERROR(VLOOKUP(A11,Sheet3!B:H,6,false),VLOOKUP(J11,Sheet2!A:C,2,false))</f>
        <v>https://assets.roomstogo.com/product/tempur-pedic-proadapt-20-medium-twin-xl-mattress_50007523_image-item</v>
      </c>
      <c r="AB11" s="8" t="str">
        <f>IFERROR(VLOOKUP(A11,Sheet3!B:H,7,false),VLOOKUP(J11,Sheet2!A:C,3,false))</f>
        <v>https://assets.roomstogo.com/product/tempur-pedic-proadapt-20-medium-twin-xl-mattress_50007523_alt-image-1</v>
      </c>
      <c r="AC11" s="8" t="str">
        <f t="shared" si="2"/>
        <v>https://rtg-275.myshopify.com/products/PROADAPT-2-0-MEDIUM</v>
      </c>
      <c r="AD11" s="8" t="str">
        <f>vlookup(L11,'Python sheet'!$E$2:$F$373,2,0)</f>
        <v>https://rtg-275.myshopify.com/products/PROADAPT-2-0-MEDIUM?variant=47915104305290</v>
      </c>
    </row>
    <row r="12">
      <c r="A12" s="4">
        <v>5.0007535E7</v>
      </c>
      <c r="B12" s="9">
        <v>72.0</v>
      </c>
      <c r="C12" s="9">
        <v>4.31</v>
      </c>
      <c r="D12" s="2" t="s">
        <v>87</v>
      </c>
      <c r="E12" s="2" t="s">
        <v>44</v>
      </c>
      <c r="F12" s="2" t="s">
        <v>88</v>
      </c>
      <c r="G12" s="9">
        <v>77.0</v>
      </c>
      <c r="H12" s="9">
        <v>4.19</v>
      </c>
      <c r="I12" s="9">
        <v>5.0</v>
      </c>
      <c r="J12" s="1" t="s">
        <v>89</v>
      </c>
      <c r="K12" s="1" t="s">
        <v>978</v>
      </c>
      <c r="L12" s="1" t="str">
        <f t="shared" si="1"/>
        <v>PROADAPT-2-0-SOFTTwin XL</v>
      </c>
      <c r="M12" s="1" t="s">
        <v>90</v>
      </c>
      <c r="N12" s="6">
        <v>2899.0</v>
      </c>
      <c r="O12" s="6">
        <v>2899.0</v>
      </c>
      <c r="P12" s="1" t="s">
        <v>64</v>
      </c>
      <c r="Q12" s="7"/>
      <c r="R12" s="1" t="s">
        <v>91</v>
      </c>
      <c r="S12" s="1" t="s">
        <v>31</v>
      </c>
      <c r="T12" s="1" t="s">
        <v>32</v>
      </c>
      <c r="U12" s="1" t="s">
        <v>33</v>
      </c>
      <c r="V12" s="1" t="s">
        <v>50</v>
      </c>
      <c r="W12" s="1" t="s">
        <v>49</v>
      </c>
      <c r="X12" s="1" t="s">
        <v>50</v>
      </c>
      <c r="Y12" s="1" t="s">
        <v>42</v>
      </c>
      <c r="Z12" s="1" t="s">
        <v>51</v>
      </c>
      <c r="AA12" s="8" t="str">
        <f>IFERROR(VLOOKUP(A12,Sheet3!B:H,6,false),VLOOKUP(J12,Sheet2!A:C,2,false))</f>
        <v>https://assets.roomstogo.com/product/tempur-pedic-proadapt-20-soft-twin-xl-mattress_50007535_image-item</v>
      </c>
      <c r="AB12" s="8" t="str">
        <f>IFERROR(VLOOKUP(A12,Sheet3!B:H,7,false),VLOOKUP(J12,Sheet2!A:C,3,false))</f>
        <v>https://assets.roomstogo.com/product/tempur-pedic-proadapt-20-soft-twin-xl-mattress_50007535_alt-image-1</v>
      </c>
      <c r="AC12" s="8" t="str">
        <f t="shared" si="2"/>
        <v>https://rtg-275.myshopify.com/products/PROADAPT-2-0-SOFT</v>
      </c>
      <c r="AD12" s="8" t="str">
        <f>vlookup(L12,'Python sheet'!$E$2:$F$373,2,0)</f>
        <v>https://rtg-275.myshopify.com/products/PROADAPT-2-0-SOFT?variant=47915104567434</v>
      </c>
    </row>
    <row r="13">
      <c r="A13" s="4">
        <v>5.0007559E7</v>
      </c>
      <c r="B13" s="9">
        <v>960.0</v>
      </c>
      <c r="C13" s="9">
        <v>4.38</v>
      </c>
      <c r="D13" s="2" t="s">
        <v>92</v>
      </c>
      <c r="E13" s="2" t="s">
        <v>44</v>
      </c>
      <c r="F13" s="2" t="s">
        <v>93</v>
      </c>
      <c r="G13" s="9">
        <v>975.0</v>
      </c>
      <c r="H13" s="9">
        <v>4.38</v>
      </c>
      <c r="I13" s="9">
        <v>15.0</v>
      </c>
      <c r="J13" s="1" t="s">
        <v>94</v>
      </c>
      <c r="K13" s="1" t="s">
        <v>979</v>
      </c>
      <c r="L13" s="1" t="str">
        <f t="shared" si="1"/>
        <v>PROADAPT-2-0-MEDIUM-HYBRIDTwin XL</v>
      </c>
      <c r="M13" s="1" t="s">
        <v>95</v>
      </c>
      <c r="N13" s="6">
        <v>2899.0</v>
      </c>
      <c r="O13" s="6">
        <v>2899.0</v>
      </c>
      <c r="P13" s="1" t="s">
        <v>64</v>
      </c>
      <c r="Q13" s="7"/>
      <c r="R13" s="1" t="s">
        <v>96</v>
      </c>
      <c r="S13" s="1" t="s">
        <v>31</v>
      </c>
      <c r="T13" s="1" t="s">
        <v>32</v>
      </c>
      <c r="U13" s="1" t="s">
        <v>41</v>
      </c>
      <c r="V13" s="1" t="s">
        <v>42</v>
      </c>
      <c r="W13" s="1" t="s">
        <v>35</v>
      </c>
      <c r="X13" s="1" t="s">
        <v>50</v>
      </c>
      <c r="Y13" s="1" t="s">
        <v>42</v>
      </c>
      <c r="Z13" s="1" t="s">
        <v>37</v>
      </c>
      <c r="AA13" s="8" t="str">
        <f>IFERROR(VLOOKUP(A13,Sheet3!B:H,6,false),VLOOKUP(J13,Sheet2!A:C,2,false))</f>
        <v>https://assets.roomstogo.com/product/tempur-pedic-proadapt-20-medium-hybrid-twin-xl-mattress_50007559_image-item</v>
      </c>
      <c r="AB13" s="8" t="str">
        <f>IFERROR(VLOOKUP(A13,Sheet3!B:H,7,false),VLOOKUP(J13,Sheet2!A:C,3,false))</f>
        <v>https://assets.roomstogo.com/product/tempur-pedic-proadapt-20-medium-hybrid-twin-xl-mattress_50007559_alt-image-1</v>
      </c>
      <c r="AC13" s="8" t="str">
        <f t="shared" si="2"/>
        <v>https://rtg-275.myshopify.com/products/PROADAPT-2-0-MEDIUM-HYBRID</v>
      </c>
      <c r="AD13" s="8" t="str">
        <f>vlookup(L13,'Python sheet'!$E$2:$F$373,2,0)</f>
        <v>https://rtg-275.myshopify.com/products/PROADAPT-2-0-MEDIUM-HYBRID?variant=47915104895114</v>
      </c>
    </row>
    <row r="14">
      <c r="A14" s="4">
        <v>5.0007561E7</v>
      </c>
      <c r="B14" s="10">
        <v>1233.0</v>
      </c>
      <c r="C14" s="9">
        <v>4.24</v>
      </c>
      <c r="D14" s="2" t="s">
        <v>97</v>
      </c>
      <c r="E14" s="2" t="s">
        <v>44</v>
      </c>
      <c r="F14" s="2" t="s">
        <v>98</v>
      </c>
      <c r="G14" s="9">
        <v>1234.0</v>
      </c>
      <c r="H14" s="9">
        <v>4.24</v>
      </c>
      <c r="I14" s="9">
        <v>1.0</v>
      </c>
      <c r="J14" s="1" t="s">
        <v>99</v>
      </c>
      <c r="K14" s="1" t="s">
        <v>980</v>
      </c>
      <c r="L14" s="1" t="str">
        <f t="shared" si="1"/>
        <v>LUXEADAPT-2-0-SOFTTwin XL</v>
      </c>
      <c r="M14" s="1" t="s">
        <v>100</v>
      </c>
      <c r="N14" s="6">
        <v>4199.0</v>
      </c>
      <c r="O14" s="6">
        <v>4199.0</v>
      </c>
      <c r="P14" s="1" t="s">
        <v>64</v>
      </c>
      <c r="Q14" s="7"/>
      <c r="R14" s="1" t="s">
        <v>101</v>
      </c>
      <c r="S14" s="1" t="s">
        <v>31</v>
      </c>
      <c r="T14" s="1" t="s">
        <v>32</v>
      </c>
      <c r="U14" s="1" t="s">
        <v>33</v>
      </c>
      <c r="V14" s="1" t="s">
        <v>50</v>
      </c>
      <c r="W14" s="1" t="s">
        <v>49</v>
      </c>
      <c r="X14" s="1" t="s">
        <v>50</v>
      </c>
      <c r="Y14" s="1" t="s">
        <v>42</v>
      </c>
      <c r="Z14" s="1" t="s">
        <v>51</v>
      </c>
      <c r="AA14" s="8" t="str">
        <f>IFERROR(VLOOKUP(A14,Sheet3!B:H,6,false),VLOOKUP(J14,Sheet2!A:C,2,false))</f>
        <v>https://assets.roomstogo.com/product/tempur-pedic-luxeadapt-20-soft-twin-xl-mattress_50007561_image-item</v>
      </c>
      <c r="AB14" s="8" t="str">
        <f>IFERROR(VLOOKUP(A14,Sheet3!B:H,7,false),VLOOKUP(J14,Sheet2!A:C,3,false))</f>
        <v>https://assets.roomstogo.com/product/tempur-pedic-luxeadapt-20-soft-twin-xl-mattress_50007561_alt-image-1</v>
      </c>
      <c r="AC14" s="8" t="str">
        <f t="shared" si="2"/>
        <v>https://rtg-275.myshopify.com/products/LUXEADAPT-2-0-SOFT</v>
      </c>
      <c r="AD14" s="8" t="str">
        <f>vlookup(L14,'Python sheet'!$E$2:$F$373,2,0)</f>
        <v>https://rtg-275.myshopify.com/products/LUXEADAPT-2-0-SOFT?variant=47915105157258</v>
      </c>
    </row>
    <row r="15">
      <c r="A15" s="4">
        <v>5.0007585E7</v>
      </c>
      <c r="B15" s="9">
        <v>125.0</v>
      </c>
      <c r="C15" s="9">
        <v>4.61</v>
      </c>
      <c r="D15" s="2" t="s">
        <v>102</v>
      </c>
      <c r="E15" s="2" t="s">
        <v>44</v>
      </c>
      <c r="F15" s="2" t="s">
        <v>103</v>
      </c>
      <c r="G15" s="9">
        <v>129.0</v>
      </c>
      <c r="H15" s="9">
        <v>4.62</v>
      </c>
      <c r="I15" s="9">
        <v>4.0</v>
      </c>
      <c r="J15" s="1" t="s">
        <v>104</v>
      </c>
      <c r="K15" s="1" t="s">
        <v>981</v>
      </c>
      <c r="L15" s="1" t="str">
        <f t="shared" si="1"/>
        <v>LUXEADAPT-2-0-MEDIUM-HYBRIDTwin XL</v>
      </c>
      <c r="M15" s="1" t="s">
        <v>105</v>
      </c>
      <c r="N15" s="6">
        <v>4199.0</v>
      </c>
      <c r="O15" s="6">
        <v>4199.0</v>
      </c>
      <c r="P15" s="1" t="s">
        <v>64</v>
      </c>
      <c r="Q15" s="7"/>
      <c r="R15" s="1" t="s">
        <v>106</v>
      </c>
      <c r="S15" s="1" t="s">
        <v>31</v>
      </c>
      <c r="T15" s="1" t="s">
        <v>32</v>
      </c>
      <c r="U15" s="1" t="s">
        <v>41</v>
      </c>
      <c r="V15" s="1" t="s">
        <v>50</v>
      </c>
      <c r="W15" s="1" t="s">
        <v>35</v>
      </c>
      <c r="X15" s="1" t="s">
        <v>50</v>
      </c>
      <c r="Y15" s="1" t="s">
        <v>42</v>
      </c>
      <c r="Z15" s="1" t="s">
        <v>37</v>
      </c>
      <c r="AA15" s="8" t="str">
        <f>IFERROR(VLOOKUP(A15,Sheet3!B:H,6,false),VLOOKUP(J15,Sheet2!A:C,2,false))</f>
        <v>https://assets.roomstogo.com/product/tempur-pedic-luxeadapt-20-medium-hybrid-twin-xl-mattress_50007585_image-item</v>
      </c>
      <c r="AB15" s="8" t="str">
        <f>IFERROR(VLOOKUP(A15,Sheet3!B:H,7,false),VLOOKUP(J15,Sheet2!A:C,3,false))</f>
        <v>https://assets.roomstogo.com/product/tempur-pedic-luxeadapt-20-medium-hybrid-twin-xl-mattress_50007585_alt-image-1</v>
      </c>
      <c r="AC15" s="8" t="str">
        <f t="shared" si="2"/>
        <v>https://rtg-275.myshopify.com/products/LUXEADAPT-2-0-MEDIUM-HYBRID</v>
      </c>
      <c r="AD15" s="8" t="str">
        <f>vlookup(L15,'Python sheet'!$E$2:$F$373,2,0)</f>
        <v>https://rtg-275.myshopify.com/products/LUXEADAPT-2-0-MEDIUM-HYBRID?variant=47915105386634</v>
      </c>
    </row>
    <row r="16">
      <c r="A16" s="4">
        <v>5.0007624E7</v>
      </c>
      <c r="B16" s="9">
        <v>434.0</v>
      </c>
      <c r="C16" s="9">
        <v>4.54</v>
      </c>
      <c r="D16" s="2" t="s">
        <v>107</v>
      </c>
      <c r="E16" s="2" t="s">
        <v>44</v>
      </c>
      <c r="F16" s="2" t="s">
        <v>108</v>
      </c>
      <c r="G16" s="9">
        <v>440.0</v>
      </c>
      <c r="H16" s="9">
        <v>4.54</v>
      </c>
      <c r="I16" s="9">
        <v>6.0</v>
      </c>
      <c r="J16" s="1" t="s">
        <v>109</v>
      </c>
      <c r="K16" s="1" t="s">
        <v>982</v>
      </c>
      <c r="L16" s="1" t="str">
        <f t="shared" si="1"/>
        <v>LUXEBREEZE-2-0-FIRMTwin XL</v>
      </c>
      <c r="M16" s="1" t="s">
        <v>110</v>
      </c>
      <c r="N16" s="6">
        <v>5199.0</v>
      </c>
      <c r="O16" s="6">
        <v>5199.0</v>
      </c>
      <c r="P16" s="1" t="s">
        <v>64</v>
      </c>
      <c r="Q16" s="7"/>
      <c r="R16" s="1" t="s">
        <v>111</v>
      </c>
      <c r="S16" s="1" t="s">
        <v>31</v>
      </c>
      <c r="T16" s="1" t="s">
        <v>32</v>
      </c>
      <c r="U16" s="1" t="s">
        <v>33</v>
      </c>
      <c r="V16" s="1" t="s">
        <v>50</v>
      </c>
      <c r="W16" s="1" t="s">
        <v>76</v>
      </c>
      <c r="X16" s="1" t="s">
        <v>50</v>
      </c>
      <c r="Y16" s="1" t="s">
        <v>50</v>
      </c>
      <c r="Z16" s="1" t="s">
        <v>77</v>
      </c>
      <c r="AA16" s="8" t="str">
        <f>IFERROR(VLOOKUP(A16,Sheet3!B:H,6,false),VLOOKUP(J16,Sheet2!A:C,2,false))</f>
        <v>https://assets.roomstogo.com/product/tempur-pedic-luxebreeze-20-firm-twin-xl-mattress_50007624_image-item</v>
      </c>
      <c r="AB16" s="8" t="str">
        <f>IFERROR(VLOOKUP(A16,Sheet3!B:H,7,false),VLOOKUP(J16,Sheet2!A:C,3,false))</f>
        <v>https://assets.roomstogo.com/product/tempur-pedic-luxebreeze-20-firm-twin-xl-mattress_50007624_image-item</v>
      </c>
      <c r="AC16" s="8" t="str">
        <f t="shared" si="2"/>
        <v>https://rtg-275.myshopify.com/products/LUXEBREEZE-2-0-FIRM</v>
      </c>
      <c r="AD16" s="8" t="str">
        <f>vlookup(L16,'Python sheet'!$E$2:$F$373,2,0)</f>
        <v>https://rtg-275.myshopify.com/products/LUXEBREEZE-2-0-FIRM?variant=47915105583242</v>
      </c>
    </row>
    <row r="17">
      <c r="A17" s="4">
        <v>5.000987E7</v>
      </c>
      <c r="B17" s="5"/>
      <c r="C17" s="5"/>
      <c r="D17" s="5"/>
      <c r="E17" s="5"/>
      <c r="F17" s="5"/>
      <c r="G17" s="5"/>
      <c r="H17" s="5"/>
      <c r="I17" s="5"/>
      <c r="J17" s="1" t="s">
        <v>112</v>
      </c>
      <c r="K17" s="1" t="s">
        <v>983</v>
      </c>
      <c r="L17" s="1" t="str">
        <f t="shared" si="1"/>
        <v>TUFT-NEEDLE-STITCH-TN3-1Twin XL</v>
      </c>
      <c r="M17" s="1" t="s">
        <v>113</v>
      </c>
      <c r="N17" s="6">
        <v>797.0</v>
      </c>
      <c r="O17" s="6">
        <v>999.0</v>
      </c>
      <c r="P17" s="1" t="s">
        <v>114</v>
      </c>
      <c r="Q17" s="1" t="s">
        <v>54</v>
      </c>
      <c r="R17" s="7"/>
      <c r="S17" s="1" t="s">
        <v>31</v>
      </c>
      <c r="T17" s="1" t="s">
        <v>32</v>
      </c>
      <c r="U17" s="1" t="s">
        <v>41</v>
      </c>
      <c r="V17" s="1" t="s">
        <v>34</v>
      </c>
      <c r="W17" s="1" t="s">
        <v>35</v>
      </c>
      <c r="X17" s="1" t="s">
        <v>34</v>
      </c>
      <c r="Y17" s="1" t="s">
        <v>34</v>
      </c>
      <c r="Z17" s="1" t="s">
        <v>37</v>
      </c>
      <c r="AA17" s="8" t="str">
        <f>IFERROR(VLOOKUP(A17,Sheet3!B:H,6,false),VLOOKUP(J17,Sheet2!A:C,2,false))</f>
        <v>https://assets.roomstogo.com/product/tuft-needle-stitch-tn31-twin-xl-mattress_50009870_image-item</v>
      </c>
      <c r="AB17" s="8" t="str">
        <f>IFERROR(VLOOKUP(A17,Sheet3!B:H,7,false),VLOOKUP(J17,Sheet2!A:C,3,false))</f>
        <v>https://assets.roomstogo.com/product/tuft-needle-stitch-tn31-twin-xl-mattress_50009870_alt-image-1</v>
      </c>
      <c r="AC17" s="8" t="str">
        <f t="shared" si="2"/>
        <v>https://rtg-275.myshopify.com/products/TUFT-NEEDLE-STITCH-TN3-1</v>
      </c>
      <c r="AD17" s="8" t="str">
        <f>vlookup(L17,'Python sheet'!$E$2:$F$373,2,0)</f>
        <v>https://rtg-275.myshopify.com/products/TUFT-NEEDLE-STITCH-TN3-1?variant=47915105910922</v>
      </c>
    </row>
    <row r="18">
      <c r="A18" s="4">
        <v>5.0009882E7</v>
      </c>
      <c r="B18" s="5"/>
      <c r="C18" s="5"/>
      <c r="D18" s="5"/>
      <c r="E18" s="5"/>
      <c r="F18" s="5"/>
      <c r="G18" s="5"/>
      <c r="H18" s="5"/>
      <c r="I18" s="5"/>
      <c r="J18" s="1" t="s">
        <v>115</v>
      </c>
      <c r="K18" s="1" t="s">
        <v>984</v>
      </c>
      <c r="L18" s="1" t="str">
        <f t="shared" si="1"/>
        <v>TUFT-NEEDLE-STITCH-TN5-1Twin XL</v>
      </c>
      <c r="M18" s="1" t="s">
        <v>116</v>
      </c>
      <c r="N18" s="6">
        <v>795.0</v>
      </c>
      <c r="O18" s="6">
        <v>1399.0</v>
      </c>
      <c r="P18" s="1" t="s">
        <v>114</v>
      </c>
      <c r="Q18" s="1" t="s">
        <v>54</v>
      </c>
      <c r="R18" s="7"/>
      <c r="S18" s="1" t="s">
        <v>31</v>
      </c>
      <c r="T18" s="1" t="s">
        <v>32</v>
      </c>
      <c r="U18" s="1" t="s">
        <v>41</v>
      </c>
      <c r="V18" s="1" t="s">
        <v>42</v>
      </c>
      <c r="W18" s="1" t="s">
        <v>76</v>
      </c>
      <c r="X18" s="1" t="s">
        <v>42</v>
      </c>
      <c r="Y18" s="1" t="s">
        <v>42</v>
      </c>
      <c r="Z18" s="1" t="s">
        <v>77</v>
      </c>
      <c r="AA18" s="8" t="str">
        <f>IFERROR(VLOOKUP(A18,Sheet3!B:H,6,false),VLOOKUP(J18,Sheet2!A:C,2,false))</f>
        <v>https://assets.roomstogo.com/product/tuft-needle-stitch-tn51-twin-xl-mattress_50009882_image-item</v>
      </c>
      <c r="AB18" s="8" t="str">
        <f>IFERROR(VLOOKUP(A18,Sheet3!B:H,7,false),VLOOKUP(J18,Sheet2!A:C,3,false))</f>
        <v>https://assets.roomstogo.com/product/tuft-needle-stitch-tn51-twin-xl-mattress_50009882_alt-image-1</v>
      </c>
      <c r="AC18" s="8" t="str">
        <f t="shared" si="2"/>
        <v>https://rtg-275.myshopify.com/products/TUFT-NEEDLE-STITCH-TN5-1</v>
      </c>
      <c r="AD18" s="8" t="str">
        <f>vlookup(L18,'Python sheet'!$E$2:$F$373,2,0)</f>
        <v>https://rtg-275.myshopify.com/products/TUFT-NEEDLE-STITCH-TN5-1?variant=47915106140298</v>
      </c>
    </row>
    <row r="19">
      <c r="A19" s="4">
        <v>5.0009907E7</v>
      </c>
      <c r="B19" s="5"/>
      <c r="C19" s="5"/>
      <c r="D19" s="5"/>
      <c r="E19" s="5"/>
      <c r="F19" s="5"/>
      <c r="G19" s="5"/>
      <c r="H19" s="5"/>
      <c r="I19" s="5"/>
      <c r="J19" s="1" t="s">
        <v>117</v>
      </c>
      <c r="K19" s="1" t="s">
        <v>985</v>
      </c>
      <c r="L19" s="1" t="str">
        <f t="shared" si="1"/>
        <v>TUFT-NEEDLE-STITCH-TN9-1Twin XL</v>
      </c>
      <c r="M19" s="1" t="s">
        <v>118</v>
      </c>
      <c r="N19" s="6">
        <v>1597.0</v>
      </c>
      <c r="O19" s="6">
        <v>2099.0</v>
      </c>
      <c r="P19" s="1" t="s">
        <v>114</v>
      </c>
      <c r="Q19" s="1" t="s">
        <v>54</v>
      </c>
      <c r="R19" s="7"/>
      <c r="S19" s="1" t="s">
        <v>31</v>
      </c>
      <c r="T19" s="1" t="s">
        <v>32</v>
      </c>
      <c r="U19" s="1" t="s">
        <v>41</v>
      </c>
      <c r="V19" s="1" t="s">
        <v>50</v>
      </c>
      <c r="W19" s="1" t="s">
        <v>49</v>
      </c>
      <c r="X19" s="1" t="s">
        <v>42</v>
      </c>
      <c r="Y19" s="1" t="s">
        <v>42</v>
      </c>
      <c r="Z19" s="1" t="s">
        <v>51</v>
      </c>
      <c r="AA19" s="8" t="str">
        <f>IFERROR(VLOOKUP(A19,Sheet3!B:H,6,false),VLOOKUP(J19,Sheet2!A:C,2,false))</f>
        <v>https://assets.roomstogo.com/product/tuft-needle-stitch-tn91-twin-xl-mattress_50009907_image-item</v>
      </c>
      <c r="AB19" s="8" t="str">
        <f>IFERROR(VLOOKUP(A19,Sheet3!B:H,7,false),VLOOKUP(J19,Sheet2!A:C,3,false))</f>
        <v>https://assets.roomstogo.com/product/tuft-needle-stitch-tn91-twin-xl-mattress_50009907_alt-image-1</v>
      </c>
      <c r="AC19" s="8" t="str">
        <f t="shared" si="2"/>
        <v>https://rtg-275.myshopify.com/products/TUFT-NEEDLE-STITCH-TN9-1</v>
      </c>
      <c r="AD19" s="8" t="str">
        <f>vlookup(L19,'Python sheet'!$E$2:$F$373,2,0)</f>
        <v>https://rtg-275.myshopify.com/products/TUFT-NEEDLE-STITCH-TN9-1?variant=47915106566282</v>
      </c>
    </row>
    <row r="20">
      <c r="A20" s="4">
        <v>5.0009933E7</v>
      </c>
      <c r="B20" s="5"/>
      <c r="C20" s="5"/>
      <c r="D20" s="5"/>
      <c r="E20" s="5"/>
      <c r="F20" s="5"/>
      <c r="G20" s="5"/>
      <c r="H20" s="5"/>
      <c r="I20" s="5"/>
      <c r="J20" s="1" t="s">
        <v>119</v>
      </c>
      <c r="K20" s="1" t="s">
        <v>986</v>
      </c>
      <c r="L20" s="1" t="str">
        <f t="shared" si="1"/>
        <v>TUFT-NEEDLE-TN1Twin XL</v>
      </c>
      <c r="M20" s="1" t="s">
        <v>120</v>
      </c>
      <c r="N20" s="6">
        <v>577.0</v>
      </c>
      <c r="O20" s="6">
        <v>699.0</v>
      </c>
      <c r="P20" s="1" t="s">
        <v>114</v>
      </c>
      <c r="Q20" s="1" t="s">
        <v>54</v>
      </c>
      <c r="R20" s="1" t="s">
        <v>121</v>
      </c>
      <c r="S20" s="1" t="s">
        <v>31</v>
      </c>
      <c r="T20" s="1" t="s">
        <v>32</v>
      </c>
      <c r="U20" s="1" t="s">
        <v>33</v>
      </c>
      <c r="V20" s="1" t="s">
        <v>36</v>
      </c>
      <c r="W20" s="1" t="s">
        <v>76</v>
      </c>
      <c r="X20" s="1" t="s">
        <v>36</v>
      </c>
      <c r="Y20" s="1" t="s">
        <v>36</v>
      </c>
      <c r="Z20" s="1" t="s">
        <v>77</v>
      </c>
      <c r="AA20" s="8" t="str">
        <f>IFERROR(VLOOKUP(A20,Sheet3!B:H,6,false),VLOOKUP(J20,Sheet2!A:C,2,false))</f>
        <v>https://assets.roomstogo.com/product/tuft-needle-tn1-twin-xl-mattress_50009933_image-item</v>
      </c>
      <c r="AB20" s="8" t="str">
        <f>IFERROR(VLOOKUP(A20,Sheet3!B:H,7,false),VLOOKUP(J20,Sheet2!A:C,3,false))</f>
        <v>https://assets.roomstogo.com/product/tuft-needle-tn1-twin-xl-mattress_50009933_alt-image-1</v>
      </c>
      <c r="AC20" s="8" t="str">
        <f t="shared" si="2"/>
        <v>https://rtg-275.myshopify.com/products/TUFT-NEEDLE-TN1</v>
      </c>
      <c r="AD20" s="8" t="str">
        <f>vlookup(L20,'Python sheet'!$E$2:$F$373,2,0)</f>
        <v>https://rtg-275.myshopify.com/products/TUFT-NEEDLE-TN1?variant=47915106828426</v>
      </c>
    </row>
    <row r="21">
      <c r="A21" s="4">
        <v>5.001057E7</v>
      </c>
      <c r="B21" s="5"/>
      <c r="C21" s="5"/>
      <c r="D21" s="5"/>
      <c r="E21" s="5"/>
      <c r="F21" s="5"/>
      <c r="G21" s="5"/>
      <c r="H21" s="5"/>
      <c r="I21" s="5"/>
      <c r="J21" s="1" t="s">
        <v>122</v>
      </c>
      <c r="K21" s="1" t="s">
        <v>987</v>
      </c>
      <c r="L21" s="1" t="str">
        <f t="shared" si="1"/>
        <v>MOLECULE-CORETwin XL</v>
      </c>
      <c r="M21" s="1" t="s">
        <v>123</v>
      </c>
      <c r="N21" s="6">
        <v>447.0</v>
      </c>
      <c r="O21" s="6">
        <v>949.0</v>
      </c>
      <c r="P21" s="1" t="s">
        <v>124</v>
      </c>
      <c r="Q21" s="7"/>
      <c r="R21" s="7"/>
      <c r="S21" s="7"/>
      <c r="T21" s="1" t="s">
        <v>32</v>
      </c>
      <c r="U21" s="1" t="s">
        <v>33</v>
      </c>
      <c r="V21" s="1" t="s">
        <v>34</v>
      </c>
      <c r="W21" s="1" t="s">
        <v>35</v>
      </c>
      <c r="X21" s="1" t="s">
        <v>34</v>
      </c>
      <c r="Y21" s="1" t="s">
        <v>34</v>
      </c>
      <c r="Z21" s="1" t="s">
        <v>37</v>
      </c>
      <c r="AA21" s="8" t="str">
        <f>IFERROR(VLOOKUP(A21,Sheet3!B:H,6,false),VLOOKUP(J21,Sheet2!A:C,2,false))</f>
        <v>https://assets.roomstogo.com/product/molecule-core-twin-xl-mattress_50010570_image-item</v>
      </c>
      <c r="AB21" s="8" t="str">
        <f>IFERROR(VLOOKUP(A21,Sheet3!B:H,7,false),VLOOKUP(J21,Sheet2!A:C,3,false))</f>
        <v>https://assets.roomstogo.com/product/molecule-core-twin-xl-mattress_50010570_alt-image-1</v>
      </c>
      <c r="AC21" s="8" t="str">
        <f t="shared" si="2"/>
        <v>https://rtg-275.myshopify.com/products/MOLECULE-CORE</v>
      </c>
      <c r="AD21" s="8" t="str">
        <f>vlookup(L21,'Python sheet'!$E$2:$F$373,2,0)</f>
        <v>https://rtg-275.myshopify.com/products/MOLECULE-CORE?variant=47915107090570</v>
      </c>
    </row>
    <row r="22">
      <c r="A22" s="4">
        <v>5.0010671E7</v>
      </c>
      <c r="B22" s="9">
        <v>2.0</v>
      </c>
      <c r="C22" s="9">
        <v>3.0</v>
      </c>
      <c r="D22" s="2" t="s">
        <v>125</v>
      </c>
      <c r="E22" s="2" t="s">
        <v>44</v>
      </c>
      <c r="F22" s="2" t="s">
        <v>126</v>
      </c>
      <c r="G22" s="9">
        <v>192.0</v>
      </c>
      <c r="H22" s="9">
        <v>4.4</v>
      </c>
      <c r="I22" s="9">
        <v>190.0</v>
      </c>
      <c r="J22" s="1" t="s">
        <v>127</v>
      </c>
      <c r="K22" s="1" t="s">
        <v>988</v>
      </c>
      <c r="L22" s="1" t="str">
        <f t="shared" si="1"/>
        <v>BROAD-PEAK-MEDIUM-HYBRIDTwin XL</v>
      </c>
      <c r="M22" s="1" t="s">
        <v>128</v>
      </c>
      <c r="N22" s="6">
        <v>695.0</v>
      </c>
      <c r="O22" s="6">
        <v>849.99</v>
      </c>
      <c r="P22" s="1" t="s">
        <v>129</v>
      </c>
      <c r="Q22" s="1" t="s">
        <v>54</v>
      </c>
      <c r="R22" s="1" t="s">
        <v>130</v>
      </c>
      <c r="S22" s="1" t="s">
        <v>31</v>
      </c>
      <c r="T22" s="1" t="s">
        <v>32</v>
      </c>
      <c r="U22" s="1" t="s">
        <v>41</v>
      </c>
      <c r="V22" s="1" t="s">
        <v>34</v>
      </c>
      <c r="W22" s="1" t="s">
        <v>35</v>
      </c>
      <c r="X22" s="1" t="s">
        <v>34</v>
      </c>
      <c r="Y22" s="1" t="s">
        <v>34</v>
      </c>
      <c r="Z22" s="1" t="s">
        <v>37</v>
      </c>
      <c r="AA22" s="8" t="str">
        <f>IFERROR(VLOOKUP(A22,Sheet3!B:H,6,false),VLOOKUP(J22,Sheet2!A:C,2,false))</f>
        <v>https://assets.roomstogo.com/product/beautyrest-select-broad-peak-medium-hybrid-twin-xl-mattress_50010671_image-item</v>
      </c>
      <c r="AB22" s="8" t="str">
        <f>IFERROR(VLOOKUP(A22,Sheet3!B:H,7,false),VLOOKUP(J22,Sheet2!A:C,3,false))</f>
        <v>https://assets.roomstogo.com/product/beautyrest-select-broad-peak-medium-hybrid-twin-xl-mattress_50010671_alt-image-1</v>
      </c>
      <c r="AC22" s="8" t="str">
        <f t="shared" si="2"/>
        <v>https://rtg-275.myshopify.com/products/BROAD-PEAK-MEDIUM-HYBRID</v>
      </c>
      <c r="AD22" s="8" t="str">
        <f>vlookup(L22,'Python sheet'!$E$2:$F$373,2,0)</f>
        <v>https://rtg-275.myshopify.com/products/BROAD-PEAK-MEDIUM-HYBRID?variant=47915107287178</v>
      </c>
    </row>
    <row r="23">
      <c r="A23" s="4">
        <v>5.0011053E7</v>
      </c>
      <c r="B23" s="5"/>
      <c r="C23" s="5"/>
      <c r="D23" s="5"/>
      <c r="E23" s="5"/>
      <c r="F23" s="5"/>
      <c r="G23" s="5"/>
      <c r="H23" s="5"/>
      <c r="I23" s="5"/>
      <c r="J23" s="1" t="s">
        <v>131</v>
      </c>
      <c r="K23" s="1" t="s">
        <v>989</v>
      </c>
      <c r="L23" s="1" t="str">
        <f t="shared" si="1"/>
        <v>BAY-DREAMERTwin XL</v>
      </c>
      <c r="M23" s="1" t="s">
        <v>132</v>
      </c>
      <c r="N23" s="6">
        <v>445.0</v>
      </c>
      <c r="O23" s="6">
        <v>549.99</v>
      </c>
      <c r="P23" s="1" t="s">
        <v>133</v>
      </c>
      <c r="Q23" s="1" t="s">
        <v>54</v>
      </c>
      <c r="R23" s="7"/>
      <c r="S23" s="1" t="s">
        <v>134</v>
      </c>
      <c r="T23" s="1" t="s">
        <v>32</v>
      </c>
      <c r="U23" s="1" t="s">
        <v>59</v>
      </c>
      <c r="V23" s="1" t="s">
        <v>36</v>
      </c>
      <c r="W23" s="1" t="s">
        <v>49</v>
      </c>
      <c r="X23" s="1" t="s">
        <v>42</v>
      </c>
      <c r="Y23" s="1" t="s">
        <v>36</v>
      </c>
      <c r="Z23" s="1" t="s">
        <v>51</v>
      </c>
      <c r="AA23" s="8" t="str">
        <f>IFERROR(VLOOKUP(A23,Sheet3!B:H,6,false),VLOOKUP(J23,Sheet2!A:C,2,false))</f>
        <v>https://assets.roomstogo.com/product/tommy-bahama-bay-dreamer-twin-mattress_50111055_image-item</v>
      </c>
      <c r="AB23" s="8" t="str">
        <f>IFERROR(VLOOKUP(A23,Sheet3!B:H,7,false),VLOOKUP(J23,Sheet2!A:C,3,false))</f>
        <v>https://assets.roomstogo.com/product/tommy-bahama-bay-dreamer-twin-mattress_50111055_alt-image-1</v>
      </c>
      <c r="AC23" s="8" t="str">
        <f t="shared" si="2"/>
        <v>https://rtg-275.myshopify.com/products/BAY-DREAMER</v>
      </c>
      <c r="AD23" s="8" t="str">
        <f>vlookup(L23,'Python sheet'!$E$2:$F$373,2,0)</f>
        <v>https://rtg-275.myshopify.com/products/BAY-DREAMER?variant=47915107516554</v>
      </c>
    </row>
    <row r="24">
      <c r="A24" s="4">
        <v>5.0011065E7</v>
      </c>
      <c r="B24" s="5"/>
      <c r="C24" s="5"/>
      <c r="D24" s="5"/>
      <c r="E24" s="5"/>
      <c r="F24" s="5"/>
      <c r="G24" s="5"/>
      <c r="H24" s="5"/>
      <c r="I24" s="5"/>
      <c r="J24" s="1" t="s">
        <v>135</v>
      </c>
      <c r="K24" s="1" t="s">
        <v>990</v>
      </c>
      <c r="L24" s="1" t="str">
        <f t="shared" si="1"/>
        <v>MAKE-WAVESTwin XL</v>
      </c>
      <c r="M24" s="1" t="s">
        <v>136</v>
      </c>
      <c r="N24" s="6">
        <v>495.0</v>
      </c>
      <c r="O24" s="6">
        <v>599.99</v>
      </c>
      <c r="P24" s="1" t="s">
        <v>133</v>
      </c>
      <c r="Q24" s="1" t="s">
        <v>54</v>
      </c>
      <c r="R24" s="7"/>
      <c r="S24" s="1" t="s">
        <v>134</v>
      </c>
      <c r="T24" s="1" t="s">
        <v>32</v>
      </c>
      <c r="U24" s="1" t="s">
        <v>41</v>
      </c>
      <c r="V24" s="1" t="s">
        <v>36</v>
      </c>
      <c r="W24" s="1" t="s">
        <v>76</v>
      </c>
      <c r="X24" s="1" t="s">
        <v>42</v>
      </c>
      <c r="Y24" s="1" t="s">
        <v>36</v>
      </c>
      <c r="Z24" s="1" t="s">
        <v>77</v>
      </c>
      <c r="AA24" s="8" t="str">
        <f>IFERROR(VLOOKUP(A24,Sheet3!B:H,6,false),VLOOKUP(J24,Sheet2!A:C,2,false))</f>
        <v>https://assets.roomstogo.com/product/tommy-bahama-make-waves-twin-mattress_50111067_image-item</v>
      </c>
      <c r="AB24" s="8" t="str">
        <f>IFERROR(VLOOKUP(A24,Sheet3!B:H,7,false),VLOOKUP(J24,Sheet2!A:C,3,false))</f>
        <v>https://assets.roomstogo.com/product/tommy-bahama-make-waves-twin-mattress_50111067_alt-image-1</v>
      </c>
      <c r="AC24" s="8" t="str">
        <f t="shared" si="2"/>
        <v>https://rtg-275.myshopify.com/products/MAKE-WAVES</v>
      </c>
      <c r="AD24" s="8" t="str">
        <f>vlookup(L24,'Python sheet'!$E$2:$F$373,2,0)</f>
        <v>https://rtg-275.myshopify.com/products/MAKE-WAVES?variant=47915107713162</v>
      </c>
    </row>
    <row r="25">
      <c r="A25" s="4">
        <v>5.0011077E7</v>
      </c>
      <c r="B25" s="5"/>
      <c r="C25" s="5"/>
      <c r="D25" s="5"/>
      <c r="E25" s="5"/>
      <c r="F25" s="5"/>
      <c r="G25" s="5"/>
      <c r="H25" s="5"/>
      <c r="I25" s="5"/>
      <c r="J25" s="1" t="s">
        <v>137</v>
      </c>
      <c r="K25" s="1" t="s">
        <v>991</v>
      </c>
      <c r="L25" s="1" t="str">
        <f t="shared" si="1"/>
        <v>SEASIDE-SERENITYTwin XL</v>
      </c>
      <c r="M25" s="1" t="s">
        <v>138</v>
      </c>
      <c r="N25" s="6">
        <v>595.0</v>
      </c>
      <c r="O25" s="6">
        <v>699.99</v>
      </c>
      <c r="P25" s="1" t="s">
        <v>133</v>
      </c>
      <c r="Q25" s="1" t="s">
        <v>54</v>
      </c>
      <c r="R25" s="7"/>
      <c r="S25" s="1" t="s">
        <v>134</v>
      </c>
      <c r="T25" s="1" t="s">
        <v>32</v>
      </c>
      <c r="U25" s="1" t="s">
        <v>59</v>
      </c>
      <c r="V25" s="1" t="s">
        <v>36</v>
      </c>
      <c r="W25" s="1" t="s">
        <v>35</v>
      </c>
      <c r="X25" s="1" t="s">
        <v>42</v>
      </c>
      <c r="Y25" s="1" t="s">
        <v>36</v>
      </c>
      <c r="Z25" s="1" t="s">
        <v>37</v>
      </c>
      <c r="AA25" s="8" t="str">
        <f>IFERROR(VLOOKUP(A25,Sheet3!B:H,6,false),VLOOKUP(J25,Sheet2!A:C,2,false))</f>
        <v>https://assets.roomstogo.com/product/tommy-bahama-seaside-serenity-twin-mattress_50111079_image-item</v>
      </c>
      <c r="AB25" s="8" t="str">
        <f>IFERROR(VLOOKUP(A25,Sheet3!B:H,7,false),VLOOKUP(J25,Sheet2!A:C,3,false))</f>
        <v>https://assets.roomstogo.com/product/tommy-bahama-seaside-serenity-twin-mattress_50111079_alt-image-1</v>
      </c>
      <c r="AC25" s="8" t="str">
        <f t="shared" si="2"/>
        <v>https://rtg-275.myshopify.com/products/SEASIDE-SERENITY</v>
      </c>
      <c r="AD25" s="8" t="str">
        <f>vlookup(L25,'Python sheet'!$E$2:$F$373,2,0)</f>
        <v>https://rtg-275.myshopify.com/products/SEASIDE-SERENITY?variant=47915107877002</v>
      </c>
    </row>
    <row r="26">
      <c r="A26" s="4">
        <v>5.0011344E7</v>
      </c>
      <c r="B26" s="9">
        <v>1.0</v>
      </c>
      <c r="C26" s="9">
        <v>5.0</v>
      </c>
      <c r="D26" s="2" t="s">
        <v>139</v>
      </c>
      <c r="E26" s="2" t="s">
        <v>44</v>
      </c>
      <c r="F26" s="2" t="s">
        <v>140</v>
      </c>
      <c r="G26" s="9">
        <v>10.0</v>
      </c>
      <c r="H26" s="9">
        <v>4.2</v>
      </c>
      <c r="I26" s="9">
        <v>9.0</v>
      </c>
      <c r="J26" s="1" t="s">
        <v>141</v>
      </c>
      <c r="K26" s="1" t="s">
        <v>141</v>
      </c>
      <c r="L26" s="1" t="str">
        <f t="shared" si="1"/>
        <v>FORESTERTwin XL</v>
      </c>
      <c r="M26" s="1" t="s">
        <v>142</v>
      </c>
      <c r="N26" s="6">
        <v>647.0</v>
      </c>
      <c r="O26" s="6">
        <v>849.99</v>
      </c>
      <c r="P26" s="1" t="s">
        <v>143</v>
      </c>
      <c r="Q26" s="1" t="s">
        <v>54</v>
      </c>
      <c r="R26" s="7"/>
      <c r="S26" s="1" t="s">
        <v>31</v>
      </c>
      <c r="T26" s="1" t="s">
        <v>32</v>
      </c>
      <c r="U26" s="1" t="s">
        <v>59</v>
      </c>
      <c r="V26" s="1" t="s">
        <v>36</v>
      </c>
      <c r="W26" s="1" t="s">
        <v>76</v>
      </c>
      <c r="X26" s="1" t="s">
        <v>34</v>
      </c>
      <c r="Y26" s="1" t="s">
        <v>36</v>
      </c>
      <c r="Z26" s="1" t="s">
        <v>144</v>
      </c>
      <c r="AA26" s="8" t="str">
        <f>IFERROR(VLOOKUP(A26,Sheet3!B:H,6,false),VLOOKUP(J26,Sheet2!A:C,2,false))</f>
        <v>https://assets.roomstogo.com/product/therapedic-forester-twin-xl-mattress_50011344_image-item</v>
      </c>
      <c r="AB26" s="8" t="str">
        <f>IFERROR(VLOOKUP(A26,Sheet3!B:H,7,false),VLOOKUP(J26,Sheet2!A:C,3,false))</f>
        <v>https://assets.roomstogo.com/product/therapedic-forester-twin-xl-mattress_50011344_alt-image-1</v>
      </c>
      <c r="AC26" s="8" t="str">
        <f t="shared" si="2"/>
        <v>https://rtg-275.myshopify.com/products/FORESTER</v>
      </c>
      <c r="AD26" s="8" t="str">
        <f>vlookup(L26,'Python sheet'!$E$2:$F$373,2,0)</f>
        <v>https://rtg-275.myshopify.com/products/FORESTER?variant=47915108073610</v>
      </c>
    </row>
    <row r="27">
      <c r="A27" s="4">
        <v>5.0011368E7</v>
      </c>
      <c r="B27" s="5"/>
      <c r="C27" s="5"/>
      <c r="D27" s="5"/>
      <c r="E27" s="5"/>
      <c r="F27" s="5"/>
      <c r="G27" s="5"/>
      <c r="H27" s="5"/>
      <c r="I27" s="5"/>
      <c r="J27" s="1" t="s">
        <v>145</v>
      </c>
      <c r="K27" s="1" t="s">
        <v>145</v>
      </c>
      <c r="L27" s="1" t="str">
        <f t="shared" si="1"/>
        <v>DARLINGTONTwin XL</v>
      </c>
      <c r="M27" s="1" t="s">
        <v>146</v>
      </c>
      <c r="N27" s="6">
        <v>547.0</v>
      </c>
      <c r="O27" s="6">
        <v>649.99</v>
      </c>
      <c r="P27" s="1" t="s">
        <v>143</v>
      </c>
      <c r="Q27" s="1" t="s">
        <v>54</v>
      </c>
      <c r="R27" s="7"/>
      <c r="S27" s="1" t="s">
        <v>31</v>
      </c>
      <c r="T27" s="1" t="s">
        <v>32</v>
      </c>
      <c r="U27" s="1" t="s">
        <v>59</v>
      </c>
      <c r="V27" s="1" t="s">
        <v>36</v>
      </c>
      <c r="W27" s="1" t="s">
        <v>35</v>
      </c>
      <c r="X27" s="1" t="s">
        <v>36</v>
      </c>
      <c r="Y27" s="1" t="s">
        <v>34</v>
      </c>
      <c r="Z27" s="1" t="s">
        <v>37</v>
      </c>
      <c r="AA27" s="8" t="str">
        <f>IFERROR(VLOOKUP(A27,Sheet3!B:H,6,false),VLOOKUP(J27,Sheet2!A:C,2,false))</f>
        <v>https://assets.roomstogo.com/product/therapedic-darlington-twin-xl-mattress_50011368_image-item</v>
      </c>
      <c r="AB27" s="8" t="str">
        <f>IFERROR(VLOOKUP(A27,Sheet3!B:H,7,false),VLOOKUP(J27,Sheet2!A:C,3,false))</f>
        <v>https://assets.roomstogo.com/product/therapedic-darlington-twin-xl-mattress_50011368_alt-image-1</v>
      </c>
      <c r="AC27" s="8" t="str">
        <f t="shared" si="2"/>
        <v>https://rtg-275.myshopify.com/products/DARLINGTON</v>
      </c>
      <c r="AD27" s="8" t="str">
        <f>vlookup(L27,'Python sheet'!$E$2:$F$373,2,0)</f>
        <v>https://rtg-275.myshopify.com/products/DARLINGTON?variant=47915108302986</v>
      </c>
    </row>
    <row r="28">
      <c r="A28" s="4">
        <v>5.0011382E7</v>
      </c>
      <c r="B28" s="5"/>
      <c r="C28" s="5"/>
      <c r="D28" s="5"/>
      <c r="E28" s="5"/>
      <c r="F28" s="5"/>
      <c r="G28" s="5"/>
      <c r="H28" s="5"/>
      <c r="I28" s="5"/>
      <c r="J28" s="1" t="s">
        <v>147</v>
      </c>
      <c r="K28" s="1" t="s">
        <v>147</v>
      </c>
      <c r="L28" s="1" t="str">
        <f t="shared" si="1"/>
        <v>HASTINGSTwin XL</v>
      </c>
      <c r="M28" s="1" t="s">
        <v>148</v>
      </c>
      <c r="N28" s="6">
        <v>627.0</v>
      </c>
      <c r="O28" s="6">
        <v>949.99</v>
      </c>
      <c r="P28" s="1" t="s">
        <v>149</v>
      </c>
      <c r="Q28" s="1" t="s">
        <v>54</v>
      </c>
      <c r="R28" s="7"/>
      <c r="S28" s="7"/>
      <c r="T28" s="1" t="s">
        <v>32</v>
      </c>
      <c r="U28" s="1" t="s">
        <v>41</v>
      </c>
      <c r="V28" s="1" t="s">
        <v>36</v>
      </c>
      <c r="W28" s="1" t="s">
        <v>49</v>
      </c>
      <c r="X28" s="1" t="s">
        <v>34</v>
      </c>
      <c r="Y28" s="1" t="s">
        <v>34</v>
      </c>
      <c r="Z28" s="1" t="s">
        <v>51</v>
      </c>
      <c r="AA28" s="8" t="str">
        <f>IFERROR(VLOOKUP(A28,Sheet3!B:H,6,false),VLOOKUP(J28,Sheet2!A:C,2,false))</f>
        <v>https://assets.roomstogo.com/product/therapedic-hastings-twin-xl-mattress_50011382_image-item</v>
      </c>
      <c r="AB28" s="8" t="str">
        <f>IFERROR(VLOOKUP(A28,Sheet3!B:H,7,false),VLOOKUP(J28,Sheet2!A:C,3,false))</f>
        <v>https://assets.roomstogo.com/product/therapedic-hastings-twin-xl-mattress_50011382_alt-image-1</v>
      </c>
      <c r="AC28" s="8" t="str">
        <f t="shared" si="2"/>
        <v>https://rtg-275.myshopify.com/products/HASTINGS</v>
      </c>
      <c r="AD28" s="8" t="str">
        <f>vlookup(L28,'Python sheet'!$E$2:$F$373,2,0)</f>
        <v>https://rtg-275.myshopify.com/products/HASTINGS?variant=47915108532362</v>
      </c>
    </row>
    <row r="29">
      <c r="A29" s="4">
        <v>5.0011457E7</v>
      </c>
      <c r="B29" s="5"/>
      <c r="C29" s="5"/>
      <c r="D29" s="5"/>
      <c r="E29" s="5"/>
      <c r="F29" s="5"/>
      <c r="G29" s="5"/>
      <c r="H29" s="5"/>
      <c r="I29" s="5"/>
      <c r="J29" s="1" t="s">
        <v>150</v>
      </c>
      <c r="K29" s="1" t="s">
        <v>150</v>
      </c>
      <c r="L29" s="1" t="str">
        <f t="shared" si="1"/>
        <v>KAANAPALITwin XL</v>
      </c>
      <c r="M29" s="1" t="s">
        <v>151</v>
      </c>
      <c r="N29" s="6">
        <v>1249.99</v>
      </c>
      <c r="O29" s="6">
        <v>1249.99</v>
      </c>
      <c r="P29" s="1" t="s">
        <v>149</v>
      </c>
      <c r="Q29" s="1" t="s">
        <v>54</v>
      </c>
      <c r="R29" s="7"/>
      <c r="S29" s="1" t="s">
        <v>31</v>
      </c>
      <c r="T29" s="1" t="s">
        <v>32</v>
      </c>
      <c r="U29" s="1" t="s">
        <v>41</v>
      </c>
      <c r="V29" s="1" t="s">
        <v>34</v>
      </c>
      <c r="W29" s="1" t="s">
        <v>76</v>
      </c>
      <c r="X29" s="1" t="s">
        <v>42</v>
      </c>
      <c r="Y29" s="1" t="s">
        <v>34</v>
      </c>
      <c r="Z29" s="1" t="s">
        <v>77</v>
      </c>
      <c r="AA29" s="8" t="str">
        <f>IFERROR(VLOOKUP(A29,Sheet3!B:H,6,false),VLOOKUP(J29,Sheet2!A:C,2,false))</f>
        <v>https://assets.roomstogo.com/product/therapedic-kaanapali-twin-xl-mattress_50011457_image-item</v>
      </c>
      <c r="AB29" s="8" t="str">
        <f>IFERROR(VLOOKUP(A29,Sheet3!B:H,7,false),VLOOKUP(J29,Sheet2!A:C,3,false))</f>
        <v>https://assets.roomstogo.com/product/therapedic-kaanapali-twin-xl-mattress_50011457_alt-image-1</v>
      </c>
      <c r="AC29" s="8" t="str">
        <f t="shared" si="2"/>
        <v>https://rtg-275.myshopify.com/products/KAANAPALI</v>
      </c>
      <c r="AD29" s="8" t="str">
        <f>vlookup(L29,'Python sheet'!$E$2:$F$373,2,0)</f>
        <v>https://rtg-275.myshopify.com/products/KAANAPALI?variant=47915108630666</v>
      </c>
    </row>
    <row r="30">
      <c r="A30" s="4">
        <v>5.0011495E7</v>
      </c>
      <c r="B30" s="9">
        <v>1.0</v>
      </c>
      <c r="C30" s="9">
        <v>5.0</v>
      </c>
      <c r="D30" s="2" t="s">
        <v>152</v>
      </c>
      <c r="E30" s="2" t="s">
        <v>44</v>
      </c>
      <c r="F30" s="2" t="s">
        <v>153</v>
      </c>
      <c r="G30" s="9">
        <v>13.0</v>
      </c>
      <c r="H30" s="9">
        <v>3.92</v>
      </c>
      <c r="I30" s="9">
        <v>12.0</v>
      </c>
      <c r="J30" s="1" t="s">
        <v>154</v>
      </c>
      <c r="K30" s="1" t="s">
        <v>154</v>
      </c>
      <c r="L30" s="1" t="str">
        <f t="shared" si="1"/>
        <v>LEDOTwin XL</v>
      </c>
      <c r="M30" s="1" t="s">
        <v>155</v>
      </c>
      <c r="N30" s="6">
        <v>1449.99</v>
      </c>
      <c r="O30" s="6">
        <v>1449.99</v>
      </c>
      <c r="P30" s="1" t="s">
        <v>149</v>
      </c>
      <c r="Q30" s="1" t="s">
        <v>54</v>
      </c>
      <c r="R30" s="7"/>
      <c r="S30" s="1" t="s">
        <v>31</v>
      </c>
      <c r="T30" s="1" t="s">
        <v>32</v>
      </c>
      <c r="U30" s="1" t="s">
        <v>41</v>
      </c>
      <c r="V30" s="1" t="s">
        <v>42</v>
      </c>
      <c r="W30" s="1" t="s">
        <v>35</v>
      </c>
      <c r="X30" s="1" t="s">
        <v>42</v>
      </c>
      <c r="Y30" s="1" t="s">
        <v>34</v>
      </c>
      <c r="Z30" s="1" t="s">
        <v>37</v>
      </c>
      <c r="AA30" s="8" t="str">
        <f>IFERROR(VLOOKUP(A30,Sheet3!B:H,6,false),VLOOKUP(J30,Sheet2!A:C,2,false))</f>
        <v>https://assets.roomstogo.com/product/therapedic-ledo-twin-xl-mattress_50011495_image-item</v>
      </c>
      <c r="AB30" s="8" t="str">
        <f>IFERROR(VLOOKUP(A30,Sheet3!B:H,7,false),VLOOKUP(J30,Sheet2!A:C,3,false))</f>
        <v>https://assets.roomstogo.com/product/therapedic-ledo-twin-xl-mattress_50011495_alt-image-1</v>
      </c>
      <c r="AC30" s="8" t="str">
        <f t="shared" si="2"/>
        <v>https://rtg-275.myshopify.com/products/LEDO</v>
      </c>
      <c r="AD30" s="8" t="str">
        <f>vlookup(L30,'Python sheet'!$E$2:$F$373,2,0)</f>
        <v>https://rtg-275.myshopify.com/products/LEDO?variant=47915108728970</v>
      </c>
    </row>
    <row r="31">
      <c r="A31" s="4">
        <v>5.0020862E7</v>
      </c>
      <c r="B31" s="5"/>
      <c r="C31" s="5"/>
      <c r="D31" s="5"/>
      <c r="E31" s="5"/>
      <c r="F31" s="5"/>
      <c r="G31" s="5"/>
      <c r="H31" s="5"/>
      <c r="I31" s="5"/>
      <c r="J31" s="1" t="s">
        <v>156</v>
      </c>
      <c r="K31" s="1" t="s">
        <v>156</v>
      </c>
      <c r="L31" s="1" t="str">
        <f t="shared" si="1"/>
        <v>CAPERTEETwin XL</v>
      </c>
      <c r="M31" s="1" t="s">
        <v>157</v>
      </c>
      <c r="N31" s="6">
        <v>797.0</v>
      </c>
      <c r="O31" s="6">
        <v>1099.99</v>
      </c>
      <c r="P31" s="1" t="s">
        <v>158</v>
      </c>
      <c r="Q31" s="1" t="s">
        <v>54</v>
      </c>
      <c r="R31" s="7"/>
      <c r="S31" s="1" t="s">
        <v>31</v>
      </c>
      <c r="T31" s="1" t="s">
        <v>32</v>
      </c>
      <c r="U31" s="1" t="s">
        <v>59</v>
      </c>
      <c r="V31" s="1" t="s">
        <v>34</v>
      </c>
      <c r="W31" s="1" t="s">
        <v>35</v>
      </c>
      <c r="X31" s="1" t="s">
        <v>34</v>
      </c>
      <c r="Y31" s="1" t="s">
        <v>34</v>
      </c>
      <c r="Z31" s="1" t="s">
        <v>37</v>
      </c>
      <c r="AA31" s="8" t="str">
        <f>IFERROR(VLOOKUP(A31,Sheet3!B:H,6,false),VLOOKUP(J31,Sheet2!A:C,2,false))</f>
        <v>https://assets.roomstogo.com/product/drew-jonathan-capertee-twin-xl-mattress_50020862_image-item</v>
      </c>
      <c r="AB31" s="8" t="str">
        <f>IFERROR(VLOOKUP(A31,Sheet3!B:H,7,false),VLOOKUP(J31,Sheet2!A:C,3,false))</f>
        <v>https://assets.roomstogo.com/product/drew-jonathan-capertee-twin-xl-mattress_50020862_alt-image-1</v>
      </c>
      <c r="AC31" s="8" t="str">
        <f t="shared" si="2"/>
        <v>https://rtg-275.myshopify.com/products/CAPERTEE</v>
      </c>
      <c r="AD31" s="8" t="str">
        <f>vlookup(L31,'Python sheet'!$E$2:$F$373,2,0)</f>
        <v>https://rtg-275.myshopify.com/products/CAPERTEE?variant=47915108827274</v>
      </c>
    </row>
    <row r="32">
      <c r="A32" s="4">
        <v>5.0020925E7</v>
      </c>
      <c r="B32" s="5"/>
      <c r="C32" s="5"/>
      <c r="D32" s="5"/>
      <c r="E32" s="5"/>
      <c r="F32" s="5"/>
      <c r="G32" s="5"/>
      <c r="H32" s="5"/>
      <c r="I32" s="5"/>
      <c r="J32" s="1" t="s">
        <v>159</v>
      </c>
      <c r="K32" s="1" t="s">
        <v>992</v>
      </c>
      <c r="L32" s="1" t="str">
        <f t="shared" si="1"/>
        <v>ARADA-CANYONTwin XL</v>
      </c>
      <c r="M32" s="1" t="s">
        <v>160</v>
      </c>
      <c r="N32" s="6">
        <v>1297.0</v>
      </c>
      <c r="O32" s="6">
        <v>1599.99</v>
      </c>
      <c r="P32" s="1" t="s">
        <v>158</v>
      </c>
      <c r="Q32" s="1" t="s">
        <v>54</v>
      </c>
      <c r="R32" s="7"/>
      <c r="S32" s="1" t="s">
        <v>31</v>
      </c>
      <c r="T32" s="1" t="s">
        <v>32</v>
      </c>
      <c r="U32" s="1" t="s">
        <v>59</v>
      </c>
      <c r="V32" s="1" t="s">
        <v>42</v>
      </c>
      <c r="W32" s="1" t="s">
        <v>49</v>
      </c>
      <c r="X32" s="1" t="s">
        <v>34</v>
      </c>
      <c r="Y32" s="1" t="s">
        <v>34</v>
      </c>
      <c r="Z32" s="1" t="s">
        <v>51</v>
      </c>
      <c r="AA32" s="8" t="str">
        <f>IFERROR(VLOOKUP(A32,Sheet3!B:H,6,false),VLOOKUP(J32,Sheet2!A:C,2,false))</f>
        <v>https://assets.roomstogo.com/product/drew-jonathan-arada-canyon-twin-xl-mattress_50020925_image-item</v>
      </c>
      <c r="AB32" s="8" t="str">
        <f>IFERROR(VLOOKUP(A32,Sheet3!B:H,7,false),VLOOKUP(J32,Sheet2!A:C,3,false))</f>
        <v>https://assets.roomstogo.com/product/drew-jonathan-arada-canyon-twin-xl-mattress_50020925_alt-image-1</v>
      </c>
      <c r="AC32" s="8" t="str">
        <f t="shared" si="2"/>
        <v>https://rtg-275.myshopify.com/products/ARADA-CANYON</v>
      </c>
      <c r="AD32" s="8" t="str">
        <f>vlookup(L32,'Python sheet'!$E$2:$F$373,2,0)</f>
        <v>https://rtg-275.myshopify.com/products/ARADA-CANYON?variant=47915108925578</v>
      </c>
    </row>
    <row r="33">
      <c r="A33" s="4">
        <v>5.002221E7</v>
      </c>
      <c r="B33" s="9">
        <v>2.0</v>
      </c>
      <c r="C33" s="9">
        <v>5.0</v>
      </c>
      <c r="D33" s="2" t="s">
        <v>161</v>
      </c>
      <c r="E33" s="2" t="s">
        <v>44</v>
      </c>
      <c r="F33" s="2" t="s">
        <v>162</v>
      </c>
      <c r="G33" s="9">
        <v>28.0</v>
      </c>
      <c r="H33" s="9">
        <v>4.71</v>
      </c>
      <c r="I33" s="9">
        <v>26.0</v>
      </c>
      <c r="J33" s="1" t="s">
        <v>163</v>
      </c>
      <c r="K33" s="1" t="s">
        <v>993</v>
      </c>
      <c r="L33" s="1" t="str">
        <f t="shared" si="1"/>
        <v>OCEANA-MISTTwin XL</v>
      </c>
      <c r="M33" s="1" t="s">
        <v>164</v>
      </c>
      <c r="N33" s="6">
        <v>377.0</v>
      </c>
      <c r="O33" s="6">
        <v>679.99</v>
      </c>
      <c r="P33" s="1" t="s">
        <v>165</v>
      </c>
      <c r="Q33" s="1" t="s">
        <v>54</v>
      </c>
      <c r="R33" s="1" t="s">
        <v>166</v>
      </c>
      <c r="S33" s="1" t="s">
        <v>31</v>
      </c>
      <c r="T33" s="1" t="s">
        <v>32</v>
      </c>
      <c r="U33" s="1" t="s">
        <v>41</v>
      </c>
      <c r="V33" s="1" t="s">
        <v>36</v>
      </c>
      <c r="W33" s="1" t="s">
        <v>35</v>
      </c>
      <c r="X33" s="1" t="s">
        <v>34</v>
      </c>
      <c r="Y33" s="1" t="s">
        <v>36</v>
      </c>
      <c r="Z33" s="1" t="s">
        <v>37</v>
      </c>
      <c r="AA33" s="8" t="str">
        <f>IFERROR(VLOOKUP(A33,Sheet3!B:H,6,false),VLOOKUP(J33,Sheet2!A:C,2,false))</f>
        <v>https://assets.roomstogo.com/product/beauty-sleep-oceana-mist-medium-hybrid-twin-xl-mattress_50022210_image-item</v>
      </c>
      <c r="AB33" s="8" t="str">
        <f>IFERROR(VLOOKUP(A33,Sheet3!B:H,7,false),VLOOKUP(J33,Sheet2!A:C,3,false))</f>
        <v>https://assets.roomstogo.com/product/beauty-sleep-oceana-mist-medium-hybrid-twin-xl-mattress_50022210_alt-image-8</v>
      </c>
      <c r="AC33" s="8" t="str">
        <f t="shared" si="2"/>
        <v>https://rtg-275.myshopify.com/products/OCEANA-MIST</v>
      </c>
      <c r="AD33" s="8" t="str">
        <f>vlookup(L33,'Python sheet'!$E$2:$F$373,2,0)</f>
        <v>https://rtg-275.myshopify.com/products/OCEANA-MIST?variant=47915109023882</v>
      </c>
    </row>
    <row r="34">
      <c r="A34" s="4">
        <v>5.0025747E7</v>
      </c>
      <c r="B34" s="9">
        <v>1.0</v>
      </c>
      <c r="C34" s="9">
        <v>1.0</v>
      </c>
      <c r="D34" s="2" t="s">
        <v>167</v>
      </c>
      <c r="E34" s="2" t="s">
        <v>44</v>
      </c>
      <c r="F34" s="2" t="s">
        <v>168</v>
      </c>
      <c r="G34" s="9">
        <v>13.0</v>
      </c>
      <c r="H34" s="9">
        <v>4.08</v>
      </c>
      <c r="I34" s="9">
        <v>12.0</v>
      </c>
      <c r="J34" s="1" t="s">
        <v>169</v>
      </c>
      <c r="K34" s="1" t="s">
        <v>994</v>
      </c>
      <c r="L34" s="1" t="str">
        <f t="shared" si="1"/>
        <v>LEVEL-THREE-PLUSHTwin XL</v>
      </c>
      <c r="M34" s="1" t="s">
        <v>170</v>
      </c>
      <c r="N34" s="6">
        <v>1329.0</v>
      </c>
      <c r="O34" s="6">
        <v>1329.0</v>
      </c>
      <c r="P34" s="1" t="s">
        <v>171</v>
      </c>
      <c r="Q34" s="7"/>
      <c r="R34" s="1" t="s">
        <v>172</v>
      </c>
      <c r="S34" s="1" t="s">
        <v>31</v>
      </c>
      <c r="T34" s="1" t="s">
        <v>32</v>
      </c>
      <c r="U34" s="1" t="s">
        <v>59</v>
      </c>
      <c r="V34" s="1" t="s">
        <v>42</v>
      </c>
      <c r="W34" s="1" t="s">
        <v>49</v>
      </c>
      <c r="X34" s="1" t="s">
        <v>42</v>
      </c>
      <c r="Y34" s="1" t="s">
        <v>42</v>
      </c>
      <c r="Z34" s="1" t="s">
        <v>51</v>
      </c>
      <c r="AA34" s="8" t="str">
        <f>IFERROR(VLOOKUP(A34,Sheet3!B:H,6,false),VLOOKUP(J34,Sheet2!A:C,2,false))</f>
        <v>https://assets.roomstogo.com/product/beautyrest-world-class-level-three-plush-twin-xl-mattress_50025747_image-item</v>
      </c>
      <c r="AB34" s="8" t="str">
        <f>IFERROR(VLOOKUP(A34,Sheet3!B:H,7,false),VLOOKUP(J34,Sheet2!A:C,3,false))</f>
        <v>https://assets.roomstogo.com/product/beautyrest-world-class-level-three-plush-twin-xl-mattress_50025747_alt-image-13</v>
      </c>
      <c r="AC34" s="8" t="str">
        <f t="shared" si="2"/>
        <v>https://rtg-275.myshopify.com/products/LEVEL-THREE-PLUSH</v>
      </c>
      <c r="AD34" s="8" t="str">
        <f>vlookup(L34,'Python sheet'!$E$2:$F$373,2,0)</f>
        <v>https://rtg-275.myshopify.com/products/LEVEL-THREE-PLUSH?variant=47915109220490</v>
      </c>
    </row>
    <row r="35">
      <c r="A35" s="4">
        <v>5.0025759E7</v>
      </c>
      <c r="B35" s="5"/>
      <c r="C35" s="5"/>
      <c r="D35" s="5"/>
      <c r="E35" s="5"/>
      <c r="F35" s="5"/>
      <c r="G35" s="5"/>
      <c r="H35" s="5"/>
      <c r="I35" s="5"/>
      <c r="J35" s="1" t="s">
        <v>173</v>
      </c>
      <c r="K35" s="1" t="s">
        <v>995</v>
      </c>
      <c r="L35" s="1" t="str">
        <f t="shared" si="1"/>
        <v>LEVEL-THREE-MEDIUM-PILLOWTOPTwin XL</v>
      </c>
      <c r="M35" s="1" t="s">
        <v>174</v>
      </c>
      <c r="N35" s="6">
        <v>1529.0</v>
      </c>
      <c r="O35" s="6">
        <v>1529.0</v>
      </c>
      <c r="P35" s="1" t="s">
        <v>171</v>
      </c>
      <c r="Q35" s="7"/>
      <c r="R35" s="1" t="s">
        <v>175</v>
      </c>
      <c r="S35" s="1" t="s">
        <v>31</v>
      </c>
      <c r="T35" s="1" t="s">
        <v>32</v>
      </c>
      <c r="U35" s="1" t="s">
        <v>59</v>
      </c>
      <c r="V35" s="1" t="s">
        <v>42</v>
      </c>
      <c r="W35" s="1" t="s">
        <v>35</v>
      </c>
      <c r="X35" s="1" t="s">
        <v>42</v>
      </c>
      <c r="Y35" s="1" t="s">
        <v>42</v>
      </c>
      <c r="Z35" s="1" t="s">
        <v>37</v>
      </c>
      <c r="AA35" s="8" t="str">
        <f>IFERROR(VLOOKUP(A35,Sheet3!B:H,6,false),VLOOKUP(J35,Sheet2!A:C,2,false))</f>
        <v>https://assets.roomstogo.com/product/beautyrest-world-class-level-three-medium-pillow-top-twin-xl-mattress_50025759_image-item</v>
      </c>
      <c r="AB35" s="8" t="str">
        <f>IFERROR(VLOOKUP(A35,Sheet3!B:H,7,false),VLOOKUP(J35,Sheet2!A:C,3,false))</f>
        <v>https://assets.roomstogo.com/product/beautyrest-world-class-level-three-medium-pillow-top-twin-xl-mattress_50025759_alt-image-13</v>
      </c>
      <c r="AC35" s="8" t="str">
        <f t="shared" si="2"/>
        <v>https://rtg-275.myshopify.com/products/LEVEL-THREE-MEDIUM-PILLOWTOP</v>
      </c>
      <c r="AD35" s="8" t="str">
        <f>vlookup(L35,'Python sheet'!$E$2:$F$373,2,0)</f>
        <v>https://rtg-275.myshopify.com/products/LEVEL-THREE-MEDIUM-PILLOWTOP?variant=47915109417098</v>
      </c>
    </row>
    <row r="36">
      <c r="A36" s="4">
        <v>5.00258E7</v>
      </c>
      <c r="B36" s="5"/>
      <c r="C36" s="5"/>
      <c r="D36" s="5"/>
      <c r="E36" s="5"/>
      <c r="F36" s="5"/>
      <c r="G36" s="5"/>
      <c r="H36" s="5"/>
      <c r="I36" s="5"/>
      <c r="J36" s="1" t="s">
        <v>176</v>
      </c>
      <c r="K36" s="1" t="s">
        <v>996</v>
      </c>
      <c r="L36" s="1" t="str">
        <f t="shared" si="1"/>
        <v>LEVEL-FOUR-PLUSH-PILLOWTOPTwin XL</v>
      </c>
      <c r="M36" s="1" t="s">
        <v>177</v>
      </c>
      <c r="N36" s="6">
        <v>1829.0</v>
      </c>
      <c r="O36" s="6">
        <v>1829.0</v>
      </c>
      <c r="P36" s="1" t="s">
        <v>171</v>
      </c>
      <c r="Q36" s="7"/>
      <c r="R36" s="1" t="s">
        <v>178</v>
      </c>
      <c r="S36" s="1" t="s">
        <v>31</v>
      </c>
      <c r="T36" s="1" t="s">
        <v>32</v>
      </c>
      <c r="U36" s="1" t="s">
        <v>59</v>
      </c>
      <c r="V36" s="1" t="s">
        <v>50</v>
      </c>
      <c r="W36" s="1" t="s">
        <v>49</v>
      </c>
      <c r="X36" s="1" t="s">
        <v>42</v>
      </c>
      <c r="Y36" s="1" t="s">
        <v>42</v>
      </c>
      <c r="Z36" s="1" t="s">
        <v>51</v>
      </c>
      <c r="AA36" s="8" t="str">
        <f>IFERROR(VLOOKUP(A36,Sheet3!B:H,6,false),VLOOKUP(J36,Sheet2!A:C,2,false))</f>
        <v>https://assets.roomstogo.com/product/beautyrest-world-class-level-four-plush-pillow-top-twin-xl-mattress_50025800_image-item</v>
      </c>
      <c r="AB36" s="8" t="str">
        <f>IFERROR(VLOOKUP(A36,Sheet3!B:H,7,false),VLOOKUP(J36,Sheet2!A:C,3,false))</f>
        <v>https://assets.roomstogo.com/product/beautyrest-world-class-level-four-plush-pillow-top-twin-xl-mattress_50025800_alt-image-13</v>
      </c>
      <c r="AC36" s="8" t="str">
        <f t="shared" si="2"/>
        <v>https://rtg-275.myshopify.com/products/LEVEL-FOUR-PLUSH-PILLOWTOP</v>
      </c>
      <c r="AD36" s="8" t="str">
        <f>vlookup(L36,'Python sheet'!$E$2:$F$373,2,0)</f>
        <v>https://rtg-275.myshopify.com/products/LEVEL-FOUR-PLUSH-PILLOWTOP?variant=47915109613706</v>
      </c>
    </row>
    <row r="37">
      <c r="A37" s="4">
        <v>5.0028957E7</v>
      </c>
      <c r="B37" s="5"/>
      <c r="C37" s="5"/>
      <c r="D37" s="5"/>
      <c r="E37" s="5"/>
      <c r="F37" s="5"/>
      <c r="G37" s="5"/>
      <c r="H37" s="5"/>
      <c r="I37" s="5"/>
      <c r="J37" s="1" t="s">
        <v>179</v>
      </c>
      <c r="K37" s="1" t="s">
        <v>997</v>
      </c>
      <c r="L37" s="1" t="str">
        <f t="shared" si="1"/>
        <v>KERRY-PARKTwin XL</v>
      </c>
      <c r="M37" s="1" t="s">
        <v>180</v>
      </c>
      <c r="N37" s="6">
        <v>877.0</v>
      </c>
      <c r="O37" s="6">
        <v>1479.0</v>
      </c>
      <c r="P37" s="1" t="s">
        <v>181</v>
      </c>
      <c r="Q37" s="1" t="s">
        <v>54</v>
      </c>
      <c r="R37" s="7"/>
      <c r="S37" s="1" t="s">
        <v>31</v>
      </c>
      <c r="T37" s="1" t="s">
        <v>32</v>
      </c>
      <c r="U37" s="1" t="s">
        <v>59</v>
      </c>
      <c r="V37" s="1" t="s">
        <v>42</v>
      </c>
      <c r="W37" s="1" t="s">
        <v>49</v>
      </c>
      <c r="X37" s="1" t="s">
        <v>34</v>
      </c>
      <c r="Y37" s="1" t="s">
        <v>34</v>
      </c>
      <c r="Z37" s="1" t="s">
        <v>182</v>
      </c>
      <c r="AA37" s="8" t="str">
        <f>IFERROR(VLOOKUP(A37,Sheet3!B:H,6,false),VLOOKUP(J37,Sheet2!A:C,2,false))</f>
        <v>https://assets.roomstogo.com/product/sealy-correct-comfort-kerry-park-twin-xl-mattress_50028957_image-item</v>
      </c>
      <c r="AB37" s="8" t="str">
        <f>IFERROR(VLOOKUP(A37,Sheet3!B:H,7,false),VLOOKUP(J37,Sheet2!A:C,3,false))</f>
        <v>https://assets.roomstogo.com/product/sealy-correct-comfort-kerry-park-twin-xl-mattress_50028957_alt-image-1</v>
      </c>
      <c r="AC37" s="8" t="str">
        <f t="shared" si="2"/>
        <v>https://rtg-275.myshopify.com/products/KERRY-PARK</v>
      </c>
      <c r="AD37" s="8" t="str">
        <f>vlookup(L37,'Python sheet'!$E$2:$F$373,2,0)</f>
        <v>https://rtg-275.myshopify.com/products/KERRY-PARK?variant=47915109843082</v>
      </c>
    </row>
    <row r="38">
      <c r="A38" s="4">
        <v>5.0028969E7</v>
      </c>
      <c r="B38" s="9">
        <v>1.0</v>
      </c>
      <c r="C38" s="9">
        <v>5.0</v>
      </c>
      <c r="D38" s="2" t="s">
        <v>183</v>
      </c>
      <c r="E38" s="2" t="s">
        <v>44</v>
      </c>
      <c r="F38" s="2" t="s">
        <v>184</v>
      </c>
      <c r="G38" s="9">
        <v>12.0</v>
      </c>
      <c r="H38" s="9">
        <v>4.83</v>
      </c>
      <c r="I38" s="9">
        <v>11.0</v>
      </c>
      <c r="J38" s="1" t="s">
        <v>185</v>
      </c>
      <c r="K38" s="1" t="s">
        <v>998</v>
      </c>
      <c r="L38" s="1" t="str">
        <f t="shared" si="1"/>
        <v>BRADFORD-HILLTwin XL</v>
      </c>
      <c r="M38" s="1" t="s">
        <v>186</v>
      </c>
      <c r="N38" s="6">
        <v>645.0</v>
      </c>
      <c r="O38" s="6">
        <v>749.0</v>
      </c>
      <c r="P38" s="1" t="s">
        <v>181</v>
      </c>
      <c r="Q38" s="1" t="s">
        <v>54</v>
      </c>
      <c r="R38" s="7"/>
      <c r="S38" s="1" t="s">
        <v>31</v>
      </c>
      <c r="T38" s="1" t="s">
        <v>32</v>
      </c>
      <c r="U38" s="1" t="s">
        <v>33</v>
      </c>
      <c r="V38" s="1" t="s">
        <v>34</v>
      </c>
      <c r="W38" s="1" t="s">
        <v>35</v>
      </c>
      <c r="X38" s="1" t="s">
        <v>34</v>
      </c>
      <c r="Y38" s="1" t="s">
        <v>36</v>
      </c>
      <c r="Z38" s="1" t="s">
        <v>37</v>
      </c>
      <c r="AA38" s="8" t="str">
        <f>IFERROR(VLOOKUP(A38,Sheet3!B:H,6,false),VLOOKUP(J38,Sheet2!A:C,2,false))</f>
        <v>https://assets.roomstogo.com/product/sealy-correct-comfort-bradford-hill-twin-xl-mattress_50028969_image-item</v>
      </c>
      <c r="AB38" s="8" t="str">
        <f>IFERROR(VLOOKUP(A38,Sheet3!B:H,7,false),VLOOKUP(J38,Sheet2!A:C,3,false))</f>
        <v>https://assets.roomstogo.com/product/sealy-correct-comfort-bradford-hill-twin-xl-mattress_50028969_alt-image-1</v>
      </c>
      <c r="AC38" s="8" t="str">
        <f t="shared" si="2"/>
        <v>https://rtg-275.myshopify.com/products/BRADFORD-HILL</v>
      </c>
      <c r="AD38" s="8" t="str">
        <f>vlookup(L38,'Python sheet'!$E$2:$F$373,2,0)</f>
        <v>https://rtg-275.myshopify.com/products/BRADFORD-HILL?variant=47915110039690</v>
      </c>
    </row>
    <row r="39">
      <c r="A39" s="4">
        <v>5.0028971E7</v>
      </c>
      <c r="B39" s="5"/>
      <c r="C39" s="5"/>
      <c r="D39" s="5"/>
      <c r="E39" s="5"/>
      <c r="F39" s="5"/>
      <c r="G39" s="5"/>
      <c r="H39" s="5"/>
      <c r="I39" s="5"/>
      <c r="J39" s="1" t="s">
        <v>187</v>
      </c>
      <c r="K39" s="1" t="s">
        <v>187</v>
      </c>
      <c r="L39" s="1" t="str">
        <f t="shared" si="1"/>
        <v>NORTHGATETwin XL</v>
      </c>
      <c r="M39" s="1" t="s">
        <v>188</v>
      </c>
      <c r="N39" s="6">
        <v>977.0</v>
      </c>
      <c r="O39" s="6">
        <v>1779.0</v>
      </c>
      <c r="P39" s="1" t="s">
        <v>181</v>
      </c>
      <c r="Q39" s="1" t="s">
        <v>54</v>
      </c>
      <c r="R39" s="7"/>
      <c r="S39" s="7"/>
      <c r="T39" s="1" t="s">
        <v>32</v>
      </c>
      <c r="U39" s="1" t="s">
        <v>33</v>
      </c>
      <c r="V39" s="1" t="s">
        <v>42</v>
      </c>
      <c r="W39" s="1" t="s">
        <v>35</v>
      </c>
      <c r="X39" s="1" t="s">
        <v>34</v>
      </c>
      <c r="Y39" s="1" t="s">
        <v>34</v>
      </c>
      <c r="Z39" s="1" t="s">
        <v>37</v>
      </c>
      <c r="AA39" s="8" t="str">
        <f>IFERROR(VLOOKUP(A39,Sheet3!B:H,6,false),VLOOKUP(J39,Sheet2!A:C,2,false))</f>
        <v>https://assets.roomstogo.com/product/posturepedic-northgate-twin-xl-mattress_50028971_image-item</v>
      </c>
      <c r="AB39" s="8" t="str">
        <f>IFERROR(VLOOKUP(A39,Sheet3!B:H,7,false),VLOOKUP(J39,Sheet2!A:C,3,false))</f>
        <v>https://assets.roomstogo.com/product/posturepedic-northgate-twin-xl-mattress_50028971_alt-image-1</v>
      </c>
      <c r="AC39" s="8" t="str">
        <f t="shared" si="2"/>
        <v>https://rtg-275.myshopify.com/products/NORTHGATE</v>
      </c>
      <c r="AD39" s="8" t="str">
        <f>vlookup(L39,'Python sheet'!$E$2:$F$373,2,0)</f>
        <v>https://rtg-275.myshopify.com/products/NORTHGATE?variant=47915110203530</v>
      </c>
    </row>
    <row r="40">
      <c r="A40" s="4">
        <v>5.0029175E7</v>
      </c>
      <c r="B40" s="5"/>
      <c r="C40" s="5"/>
      <c r="D40" s="5"/>
      <c r="E40" s="5"/>
      <c r="F40" s="5"/>
      <c r="G40" s="5"/>
      <c r="H40" s="5"/>
      <c r="I40" s="5"/>
      <c r="J40" s="1" t="s">
        <v>189</v>
      </c>
      <c r="K40" s="1" t="s">
        <v>189</v>
      </c>
      <c r="L40" s="1" t="str">
        <f t="shared" si="1"/>
        <v>BRIERWOODTwin XL</v>
      </c>
      <c r="M40" s="1" t="s">
        <v>190</v>
      </c>
      <c r="N40" s="6">
        <v>597.0</v>
      </c>
      <c r="O40" s="6">
        <v>719.0</v>
      </c>
      <c r="P40" s="1" t="s">
        <v>191</v>
      </c>
      <c r="Q40" s="1" t="s">
        <v>54</v>
      </c>
      <c r="R40" s="1" t="s">
        <v>192</v>
      </c>
      <c r="S40" s="1" t="s">
        <v>31</v>
      </c>
      <c r="T40" s="1" t="s">
        <v>32</v>
      </c>
      <c r="U40" s="1" t="s">
        <v>59</v>
      </c>
      <c r="V40" s="1" t="s">
        <v>36</v>
      </c>
      <c r="W40" s="1" t="s">
        <v>35</v>
      </c>
      <c r="X40" s="1" t="s">
        <v>36</v>
      </c>
      <c r="Y40" s="1" t="s">
        <v>36</v>
      </c>
      <c r="Z40" s="1" t="s">
        <v>37</v>
      </c>
      <c r="AA40" s="8" t="str">
        <f>IFERROR(VLOOKUP(A40,Sheet3!B:H,6,false),VLOOKUP(J40,Sheet2!A:C,2,false))</f>
        <v>https://assets.roomstogo.com/product/sealy-posturepedic-brierwood-twin-xl-mattress_50029175_image-item</v>
      </c>
      <c r="AB40" s="8" t="str">
        <f>IFERROR(VLOOKUP(A40,Sheet3!B:H,7,false),VLOOKUP(J40,Sheet2!A:C,3,false))</f>
        <v>https://assets.roomstogo.com/product/sealy-posturepedic-brierwood-twin-xl-mattress_50029175_alt-image-1</v>
      </c>
      <c r="AC40" s="8" t="str">
        <f t="shared" si="2"/>
        <v>https://rtg-275.myshopify.com/products/BRIERWOOD</v>
      </c>
      <c r="AD40" s="8" t="str">
        <f>vlookup(L40,'Python sheet'!$E$2:$F$373,2,0)</f>
        <v>https://rtg-275.myshopify.com/products/BRIERWOOD?variant=47915110334602</v>
      </c>
    </row>
    <row r="41">
      <c r="A41" s="4">
        <v>5.0029202E7</v>
      </c>
      <c r="B41" s="5"/>
      <c r="C41" s="5"/>
      <c r="D41" s="5"/>
      <c r="E41" s="5"/>
      <c r="F41" s="5"/>
      <c r="G41" s="5"/>
      <c r="H41" s="5"/>
      <c r="I41" s="5"/>
      <c r="J41" s="1" t="s">
        <v>193</v>
      </c>
      <c r="K41" s="1" t="s">
        <v>999</v>
      </c>
      <c r="L41" s="1" t="str">
        <f t="shared" si="1"/>
        <v>CASTLE-ROCKTwin XL</v>
      </c>
      <c r="M41" s="1" t="s">
        <v>194</v>
      </c>
      <c r="N41" s="6">
        <v>917.0</v>
      </c>
      <c r="O41" s="6">
        <v>1119.0</v>
      </c>
      <c r="P41" s="1" t="s">
        <v>195</v>
      </c>
      <c r="Q41" s="1" t="s">
        <v>54</v>
      </c>
      <c r="R41" s="1" t="s">
        <v>196</v>
      </c>
      <c r="S41" s="1" t="s">
        <v>31</v>
      </c>
      <c r="T41" s="1" t="s">
        <v>32</v>
      </c>
      <c r="U41" s="1" t="s">
        <v>59</v>
      </c>
      <c r="V41" s="1" t="s">
        <v>34</v>
      </c>
      <c r="W41" s="1" t="s">
        <v>35</v>
      </c>
      <c r="X41" s="1" t="s">
        <v>34</v>
      </c>
      <c r="Y41" s="1" t="s">
        <v>36</v>
      </c>
      <c r="Z41" s="1" t="s">
        <v>37</v>
      </c>
      <c r="AA41" s="8" t="str">
        <f>IFERROR(VLOOKUP(A41,Sheet3!B:H,6,false),VLOOKUP(J41,Sheet2!A:C,2,false))</f>
        <v>https://assets.roomstogo.com/product/sealy-posturepedic-castle-rock-twin-xl-mattress_50029202_image-item</v>
      </c>
      <c r="AB41" s="8" t="str">
        <f>IFERROR(VLOOKUP(A41,Sheet3!B:H,7,false),VLOOKUP(J41,Sheet2!A:C,3,false))</f>
        <v>https://assets.roomstogo.com/product/sealy-posturepedic-castle-rock-twin-xl-mattress_50029202_alt-image-1</v>
      </c>
      <c r="AC41" s="8" t="str">
        <f t="shared" si="2"/>
        <v>https://rtg-275.myshopify.com/products/CASTLE-ROCK</v>
      </c>
      <c r="AD41" s="8" t="str">
        <f>vlookup(L41,'Python sheet'!$E$2:$F$373,2,0)</f>
        <v>https://rtg-275.myshopify.com/products/CASTLE-ROCK?variant=47915110629514</v>
      </c>
    </row>
    <row r="42">
      <c r="A42" s="4">
        <v>5.0029214E7</v>
      </c>
      <c r="B42" s="5"/>
      <c r="C42" s="5"/>
      <c r="D42" s="5"/>
      <c r="E42" s="5"/>
      <c r="F42" s="5"/>
      <c r="G42" s="5"/>
      <c r="H42" s="5"/>
      <c r="I42" s="5"/>
      <c r="J42" s="1" t="s">
        <v>197</v>
      </c>
      <c r="K42" s="1" t="s">
        <v>197</v>
      </c>
      <c r="L42" s="1" t="str">
        <f t="shared" si="1"/>
        <v>PEBBLEBROOKTwin XL</v>
      </c>
      <c r="M42" s="1" t="s">
        <v>198</v>
      </c>
      <c r="N42" s="6">
        <v>997.0</v>
      </c>
      <c r="O42" s="6">
        <v>1219.0</v>
      </c>
      <c r="P42" s="1" t="s">
        <v>199</v>
      </c>
      <c r="Q42" s="7"/>
      <c r="R42" s="1" t="s">
        <v>200</v>
      </c>
      <c r="S42" s="1" t="s">
        <v>31</v>
      </c>
      <c r="T42" s="1" t="s">
        <v>32</v>
      </c>
      <c r="U42" s="1" t="s">
        <v>59</v>
      </c>
      <c r="V42" s="1" t="s">
        <v>34</v>
      </c>
      <c r="W42" s="1" t="s">
        <v>35</v>
      </c>
      <c r="X42" s="1" t="s">
        <v>42</v>
      </c>
      <c r="Y42" s="1" t="s">
        <v>34</v>
      </c>
      <c r="Z42" s="1" t="s">
        <v>37</v>
      </c>
      <c r="AA42" s="8" t="str">
        <f>IFERROR(VLOOKUP(A42,Sheet3!B:H,6,false),VLOOKUP(J42,Sheet2!A:C,2,false))</f>
        <v>https://assets.roomstogo.com/product/sealy-posturepedic-pebblebrook-twin-xl-mattress_50029214_image-item</v>
      </c>
      <c r="AB42" s="8" t="str">
        <f>IFERROR(VLOOKUP(A42,Sheet3!B:H,7,false),VLOOKUP(J42,Sheet2!A:C,3,false))</f>
        <v>https://assets.roomstogo.com/product/sealy-posturepedic-pebblebrook-twin-xl-mattress_50029214_alt-image-1</v>
      </c>
      <c r="AC42" s="8" t="str">
        <f t="shared" si="2"/>
        <v>https://rtg-275.myshopify.com/products/PEBBLEBROOK</v>
      </c>
      <c r="AD42" s="8" t="str">
        <f>vlookup(L42,'Python sheet'!$E$2:$F$373,2,0)</f>
        <v>https://rtg-275.myshopify.com/products/PEBBLEBROOK?variant=47915110858890</v>
      </c>
    </row>
    <row r="43">
      <c r="A43" s="4">
        <v>5.0037057E7</v>
      </c>
      <c r="B43" s="9">
        <v>330.0</v>
      </c>
      <c r="C43" s="9">
        <v>4.55</v>
      </c>
      <c r="D43" s="2" t="s">
        <v>201</v>
      </c>
      <c r="E43" s="2" t="s">
        <v>44</v>
      </c>
      <c r="F43" s="2" t="s">
        <v>202</v>
      </c>
      <c r="G43" s="9">
        <v>347.0</v>
      </c>
      <c r="H43" s="9">
        <v>4.52</v>
      </c>
      <c r="I43" s="9">
        <v>17.0</v>
      </c>
      <c r="J43" s="1" t="s">
        <v>203</v>
      </c>
      <c r="K43" s="1" t="s">
        <v>1000</v>
      </c>
      <c r="L43" s="1" t="str">
        <f t="shared" si="1"/>
        <v>SERIES-ONE-EXTRA-FIRMTwin XL</v>
      </c>
      <c r="M43" s="1" t="s">
        <v>204</v>
      </c>
      <c r="N43" s="6">
        <v>1549.0</v>
      </c>
      <c r="O43" s="6">
        <v>1549.0</v>
      </c>
      <c r="P43" s="1" t="s">
        <v>205</v>
      </c>
      <c r="Q43" s="7"/>
      <c r="R43" s="1" t="s">
        <v>206</v>
      </c>
      <c r="S43" s="1" t="s">
        <v>31</v>
      </c>
      <c r="T43" s="1" t="s">
        <v>32</v>
      </c>
      <c r="U43" s="1" t="s">
        <v>59</v>
      </c>
      <c r="V43" s="1" t="s">
        <v>34</v>
      </c>
      <c r="W43" s="1" t="s">
        <v>76</v>
      </c>
      <c r="X43" s="1" t="s">
        <v>50</v>
      </c>
      <c r="Y43" s="1" t="s">
        <v>42</v>
      </c>
      <c r="Z43" s="1" t="s">
        <v>144</v>
      </c>
      <c r="AA43" s="8" t="str">
        <f>IFERROR(VLOOKUP(A43,Sheet3!B:H,6,false),VLOOKUP(J43,Sheet2!A:C,2,false))</f>
        <v>https://assets.roomstogo.com/product/beautyrest-black-series-one-extra-firm-twin-xl-mattress_50037057_image-item</v>
      </c>
      <c r="AB43" s="8" t="str">
        <f>IFERROR(VLOOKUP(A43,Sheet3!B:H,7,false),VLOOKUP(J43,Sheet2!A:C,3,false))</f>
        <v>https://assets.roomstogo.com/product/beautyrest-black-series-one-extra-firm-twin-xl-mattress_50037057_alt-image-1</v>
      </c>
      <c r="AC43" s="8" t="str">
        <f t="shared" si="2"/>
        <v>https://rtg-275.myshopify.com/products/SERIES-ONE-EXTRA-FIRM</v>
      </c>
      <c r="AD43" s="8" t="str">
        <f>vlookup(L43,'Python sheet'!$E$2:$F$373,2,0)</f>
        <v>https://rtg-275.myshopify.com/products/SERIES-ONE-EXTRA-FIRM?variant=47915111088266</v>
      </c>
    </row>
    <row r="44">
      <c r="A44" s="4">
        <v>5.0037134E7</v>
      </c>
      <c r="B44" s="9">
        <v>130.0</v>
      </c>
      <c r="C44" s="9">
        <v>4.62</v>
      </c>
      <c r="D44" s="2" t="s">
        <v>207</v>
      </c>
      <c r="E44" s="2" t="s">
        <v>44</v>
      </c>
      <c r="F44" s="2" t="s">
        <v>208</v>
      </c>
      <c r="G44" s="9">
        <v>137.0</v>
      </c>
      <c r="H44" s="9">
        <v>4.58</v>
      </c>
      <c r="I44" s="9">
        <v>7.0</v>
      </c>
      <c r="J44" s="1" t="s">
        <v>209</v>
      </c>
      <c r="K44" s="1" t="s">
        <v>1001</v>
      </c>
      <c r="L44" s="1" t="str">
        <f t="shared" si="1"/>
        <v>SERIES-TWO-MEDIUMTwin XL</v>
      </c>
      <c r="M44" s="1" t="s">
        <v>210</v>
      </c>
      <c r="N44" s="6">
        <v>2549.0</v>
      </c>
      <c r="O44" s="6">
        <v>2549.0</v>
      </c>
      <c r="P44" s="1" t="s">
        <v>205</v>
      </c>
      <c r="Q44" s="7"/>
      <c r="R44" s="1" t="s">
        <v>211</v>
      </c>
      <c r="S44" s="1" t="s">
        <v>31</v>
      </c>
      <c r="T44" s="1" t="s">
        <v>32</v>
      </c>
      <c r="U44" s="1" t="s">
        <v>59</v>
      </c>
      <c r="V44" s="1" t="s">
        <v>42</v>
      </c>
      <c r="W44" s="1" t="s">
        <v>35</v>
      </c>
      <c r="X44" s="1" t="s">
        <v>50</v>
      </c>
      <c r="Y44" s="1" t="s">
        <v>42</v>
      </c>
      <c r="Z44" s="1" t="s">
        <v>37</v>
      </c>
      <c r="AA44" s="8" t="str">
        <f>IFERROR(VLOOKUP(A44,Sheet3!B:H,6,false),VLOOKUP(J44,Sheet2!A:C,2,false))</f>
        <v>https://assets.roomstogo.com/product/beautyrest-black-series-two-medium-twin-xl-mattress_50037134_image-item</v>
      </c>
      <c r="AB44" s="8" t="str">
        <f>IFERROR(VLOOKUP(A44,Sheet3!B:H,7,false),VLOOKUP(J44,Sheet2!A:C,3,false))</f>
        <v>https://assets.roomstogo.com/product/beautyrest-black-series-two-medium-twin-xl-mattress_50037134_alt-image-1</v>
      </c>
      <c r="AC44" s="8" t="str">
        <f t="shared" si="2"/>
        <v>https://rtg-275.myshopify.com/products/SERIES-TWO-MEDIUM</v>
      </c>
      <c r="AD44" s="8" t="str">
        <f>vlookup(L44,'Python sheet'!$E$2:$F$373,2,0)</f>
        <v>https://rtg-275.myshopify.com/products/SERIES-TWO-MEDIUM?variant=47915111284874</v>
      </c>
    </row>
    <row r="45">
      <c r="A45" s="4">
        <v>5.0037223E7</v>
      </c>
      <c r="B45" s="9">
        <v>285.0</v>
      </c>
      <c r="C45" s="9">
        <v>4.72</v>
      </c>
      <c r="D45" s="2" t="s">
        <v>212</v>
      </c>
      <c r="E45" s="2" t="s">
        <v>44</v>
      </c>
      <c r="F45" s="2" t="s">
        <v>213</v>
      </c>
      <c r="G45" s="9">
        <v>290.0</v>
      </c>
      <c r="H45" s="9">
        <v>4.72</v>
      </c>
      <c r="I45" s="9">
        <v>5.0</v>
      </c>
      <c r="J45" s="1" t="s">
        <v>214</v>
      </c>
      <c r="K45" s="1" t="s">
        <v>1002</v>
      </c>
      <c r="L45" s="1" t="str">
        <f t="shared" si="1"/>
        <v>SERIES-THREE-PLUSH-PILLOW-TOPTwin XL</v>
      </c>
      <c r="M45" s="1" t="s">
        <v>215</v>
      </c>
      <c r="N45" s="6">
        <v>3649.0</v>
      </c>
      <c r="O45" s="6">
        <v>3649.0</v>
      </c>
      <c r="P45" s="1" t="s">
        <v>205</v>
      </c>
      <c r="Q45" s="7"/>
      <c r="R45" s="1" t="s">
        <v>216</v>
      </c>
      <c r="S45" s="1" t="s">
        <v>31</v>
      </c>
      <c r="T45" s="1" t="s">
        <v>32</v>
      </c>
      <c r="U45" s="1" t="s">
        <v>59</v>
      </c>
      <c r="V45" s="1" t="s">
        <v>50</v>
      </c>
      <c r="W45" s="1" t="s">
        <v>49</v>
      </c>
      <c r="X45" s="1" t="s">
        <v>50</v>
      </c>
      <c r="Y45" s="1" t="s">
        <v>42</v>
      </c>
      <c r="Z45" s="1" t="s">
        <v>51</v>
      </c>
      <c r="AA45" s="8" t="str">
        <f>IFERROR(VLOOKUP(A45,Sheet3!B:H,6,false),VLOOKUP(J45,Sheet2!A:C,2,false))</f>
        <v>https://assets.roomstogo.com/product/beautyrest-black-series-three-plush-pillow-top-twin-xl-mattress_50037223_image-item</v>
      </c>
      <c r="AB45" s="8" t="str">
        <f>IFERROR(VLOOKUP(A45,Sheet3!B:H,7,false),VLOOKUP(J45,Sheet2!A:C,3,false))</f>
        <v>https://assets.roomstogo.com/product/beautyrest-black-series-three-plush-pillow-top-twin-xl-mattress_50037223_alt-image-1</v>
      </c>
      <c r="AC45" s="8" t="str">
        <f t="shared" si="2"/>
        <v>https://rtg-275.myshopify.com/products/SERIES-THREE-PLUSH-PILLOW-TOP</v>
      </c>
      <c r="AD45" s="8" t="str">
        <f>vlookup(L45,'Python sheet'!$E$2:$F$373,2,0)</f>
        <v>https://rtg-275.myshopify.com/products/SERIES-THREE-PLUSH-PILLOW-TOP?variant=47915111514250</v>
      </c>
    </row>
    <row r="46">
      <c r="A46" s="4">
        <v>5.0048036E7</v>
      </c>
      <c r="B46" s="9">
        <v>424.0</v>
      </c>
      <c r="C46" s="9">
        <v>4.53</v>
      </c>
      <c r="D46" s="2" t="s">
        <v>217</v>
      </c>
      <c r="E46" s="2" t="s">
        <v>44</v>
      </c>
      <c r="F46" s="2" t="s">
        <v>218</v>
      </c>
      <c r="G46" s="9">
        <v>438.0</v>
      </c>
      <c r="H46" s="9">
        <v>4.52</v>
      </c>
      <c r="I46" s="9">
        <v>14.0</v>
      </c>
      <c r="J46" s="1" t="s">
        <v>219</v>
      </c>
      <c r="K46" s="1" t="s">
        <v>1003</v>
      </c>
      <c r="L46" s="1" t="str">
        <f t="shared" si="1"/>
        <v>ESTATE-FIRM-TTTwin XL</v>
      </c>
      <c r="M46" s="1" t="s">
        <v>220</v>
      </c>
      <c r="N46" s="6">
        <v>2299.0</v>
      </c>
      <c r="O46" s="6">
        <v>2299.0</v>
      </c>
      <c r="P46" s="1" t="s">
        <v>221</v>
      </c>
      <c r="Q46" s="7"/>
      <c r="R46" s="1" t="s">
        <v>222</v>
      </c>
      <c r="S46" s="1" t="s">
        <v>31</v>
      </c>
      <c r="T46" s="1" t="s">
        <v>32</v>
      </c>
      <c r="U46" s="1" t="s">
        <v>59</v>
      </c>
      <c r="V46" s="1" t="s">
        <v>34</v>
      </c>
      <c r="W46" s="1" t="s">
        <v>76</v>
      </c>
      <c r="X46" s="1" t="s">
        <v>42</v>
      </c>
      <c r="Y46" s="1" t="s">
        <v>34</v>
      </c>
      <c r="Z46" s="1" t="s">
        <v>77</v>
      </c>
      <c r="AA46" s="8" t="str">
        <f>IFERROR(VLOOKUP(A46,Sheet3!B:H,6,false),VLOOKUP(J46,Sheet2!A:C,2,false))</f>
        <v>https://assets.roomstogo.com/product/stearns-and-foster-estate-firm-tight-top-twin-xl-mattress_50048036_image-item</v>
      </c>
      <c r="AB46" s="8" t="str">
        <f>IFERROR(VLOOKUP(A46,Sheet3!B:H,7,false),VLOOKUP(J46,Sheet2!A:C,3,false))</f>
        <v>https://assets.roomstogo.com/product/stearns-and-foster-estate-firm-tight-top-twin-xl-mattress_50048036_alt-image-1</v>
      </c>
      <c r="AC46" s="8" t="str">
        <f t="shared" si="2"/>
        <v>https://rtg-275.myshopify.com/products/ESTATE-FIRM-TT</v>
      </c>
      <c r="AD46" s="8" t="str">
        <f>vlookup(L46,'Python sheet'!$E$2:$F$373,2,0)</f>
        <v>https://rtg-275.myshopify.com/products/ESTATE-FIRM-TT?variant=47915111710858</v>
      </c>
    </row>
    <row r="47">
      <c r="A47" s="4">
        <v>5.004805E7</v>
      </c>
      <c r="B47" s="5"/>
      <c r="C47" s="5"/>
      <c r="D47" s="5"/>
      <c r="E47" s="5"/>
      <c r="F47" s="5"/>
      <c r="G47" s="5"/>
      <c r="H47" s="5"/>
      <c r="I47" s="5"/>
      <c r="J47" s="1" t="s">
        <v>223</v>
      </c>
      <c r="K47" s="1" t="s">
        <v>1004</v>
      </c>
      <c r="L47" s="1" t="str">
        <f t="shared" si="1"/>
        <v>ESTATE-FIRM-PTTwin XL</v>
      </c>
      <c r="M47" s="1" t="s">
        <v>224</v>
      </c>
      <c r="N47" s="6">
        <v>2499.0</v>
      </c>
      <c r="O47" s="6">
        <v>2499.0</v>
      </c>
      <c r="P47" s="1" t="s">
        <v>221</v>
      </c>
      <c r="Q47" s="7"/>
      <c r="R47" s="1" t="s">
        <v>222</v>
      </c>
      <c r="S47" s="1" t="s">
        <v>31</v>
      </c>
      <c r="T47" s="1" t="s">
        <v>32</v>
      </c>
      <c r="U47" s="1" t="s">
        <v>59</v>
      </c>
      <c r="V47" s="1" t="s">
        <v>34</v>
      </c>
      <c r="W47" s="1" t="s">
        <v>76</v>
      </c>
      <c r="X47" s="1" t="s">
        <v>42</v>
      </c>
      <c r="Y47" s="1" t="s">
        <v>34</v>
      </c>
      <c r="Z47" s="1" t="s">
        <v>77</v>
      </c>
      <c r="AA47" s="8" t="str">
        <f>IFERROR(VLOOKUP(A47,Sheet3!B:H,6,false),VLOOKUP(J47,Sheet2!A:C,2,false))</f>
        <v>https://assets.roomstogo.com/product/stearns-and-foster-estate-firm-pillow-top-twin-xl-mattress_50048050_image-item</v>
      </c>
      <c r="AB47" s="8" t="str">
        <f>IFERROR(VLOOKUP(A47,Sheet3!B:H,7,false),VLOOKUP(J47,Sheet2!A:C,3,false))</f>
        <v>https://assets.roomstogo.com/product/stearns-and-foster-estate-firm-pillow-top-twin-xl-mattress_50048050_alt-image-1</v>
      </c>
      <c r="AC47" s="8" t="str">
        <f t="shared" si="2"/>
        <v>https://rtg-275.myshopify.com/products/ESTATE-FIRM-PT</v>
      </c>
      <c r="AD47" s="8" t="str">
        <f>vlookup(L47,'Python sheet'!$E$2:$F$373,2,0)</f>
        <v>https://rtg-275.myshopify.com/products/ESTATE-FIRM-PT?variant=47915111907466</v>
      </c>
    </row>
    <row r="48">
      <c r="A48" s="4">
        <v>5.0048276E7</v>
      </c>
      <c r="B48" s="9">
        <v>1.0</v>
      </c>
      <c r="C48" s="9">
        <v>5.0</v>
      </c>
      <c r="D48" s="2" t="s">
        <v>225</v>
      </c>
      <c r="E48" s="2" t="s">
        <v>44</v>
      </c>
      <c r="F48" s="2" t="s">
        <v>226</v>
      </c>
      <c r="G48" s="9">
        <v>1.0</v>
      </c>
      <c r="H48" s="9">
        <v>5.0</v>
      </c>
      <c r="I48" s="9">
        <v>0.0</v>
      </c>
      <c r="J48" s="1" t="s">
        <v>227</v>
      </c>
      <c r="K48" s="1" t="s">
        <v>1005</v>
      </c>
      <c r="L48" s="1" t="str">
        <f t="shared" si="1"/>
        <v>LUX-ESTATE-ELITETwin XL</v>
      </c>
      <c r="M48" s="1" t="s">
        <v>228</v>
      </c>
      <c r="N48" s="6">
        <v>4099.0</v>
      </c>
      <c r="O48" s="6">
        <v>4099.0</v>
      </c>
      <c r="P48" s="1" t="s">
        <v>221</v>
      </c>
      <c r="Q48" s="7"/>
      <c r="R48" s="1" t="s">
        <v>229</v>
      </c>
      <c r="S48" s="1" t="s">
        <v>31</v>
      </c>
      <c r="T48" s="1" t="s">
        <v>32</v>
      </c>
      <c r="U48" s="1" t="s">
        <v>59</v>
      </c>
      <c r="V48" s="1" t="s">
        <v>42</v>
      </c>
      <c r="W48" s="1" t="s">
        <v>35</v>
      </c>
      <c r="X48" s="1" t="s">
        <v>50</v>
      </c>
      <c r="Y48" s="1" t="s">
        <v>42</v>
      </c>
      <c r="Z48" s="1" t="s">
        <v>37</v>
      </c>
      <c r="AA48" s="8" t="str">
        <f>IFERROR(VLOOKUP(A48,Sheet3!B:H,6,false),VLOOKUP(J48,Sheet2!A:C,2,false))</f>
        <v>https://assets.roomstogo.com/product/stearns-and-foster-lux-estate-elite-medium-pillow-top-twin-xl-mattress_50048276_image-item</v>
      </c>
      <c r="AB48" s="8" t="str">
        <f>IFERROR(VLOOKUP(A48,Sheet3!B:H,7,false),VLOOKUP(J48,Sheet2!A:C,3,false))</f>
        <v>https://assets.roomstogo.com/product/stearns-and-foster-lux-estate-elite-medium-pillow-top-twin-xl-mattress_50048276_alt-image-1</v>
      </c>
      <c r="AC48" s="8" t="str">
        <f t="shared" si="2"/>
        <v>https://rtg-275.myshopify.com/products/LUX-ESTATE-ELITE</v>
      </c>
      <c r="AD48" s="8" t="str">
        <f>vlookup(L48,'Python sheet'!$E$2:$F$373,2,0)</f>
        <v>https://rtg-275.myshopify.com/products/LUX-ESTATE-ELITE?variant=47915112038538</v>
      </c>
    </row>
    <row r="49">
      <c r="A49" s="4">
        <v>5.007011E7</v>
      </c>
      <c r="B49" s="9">
        <v>1.0</v>
      </c>
      <c r="C49" s="9">
        <v>5.0</v>
      </c>
      <c r="D49" s="2" t="s">
        <v>230</v>
      </c>
      <c r="E49" s="2" t="s">
        <v>44</v>
      </c>
      <c r="F49" s="2" t="s">
        <v>231</v>
      </c>
      <c r="G49" s="9">
        <v>9006.0</v>
      </c>
      <c r="H49" s="9">
        <v>4.32</v>
      </c>
      <c r="I49" s="9">
        <v>9005.0</v>
      </c>
      <c r="J49" s="1" t="s">
        <v>232</v>
      </c>
      <c r="K49" s="1" t="s">
        <v>1006</v>
      </c>
      <c r="L49" s="1" t="str">
        <f t="shared" si="1"/>
        <v>HELIX-MIDNIGHT-LUXETwin XL</v>
      </c>
      <c r="M49" s="1" t="s">
        <v>233</v>
      </c>
      <c r="N49" s="6">
        <v>1548.0</v>
      </c>
      <c r="O49" s="6">
        <v>1935.0</v>
      </c>
      <c r="P49" s="1" t="s">
        <v>234</v>
      </c>
      <c r="Q49" s="7"/>
      <c r="R49" s="7"/>
      <c r="S49" s="1" t="s">
        <v>31</v>
      </c>
      <c r="T49" s="1" t="s">
        <v>32</v>
      </c>
      <c r="U49" s="1" t="s">
        <v>59</v>
      </c>
      <c r="V49" s="1" t="s">
        <v>42</v>
      </c>
      <c r="W49" s="1" t="s">
        <v>35</v>
      </c>
      <c r="X49" s="1" t="s">
        <v>42</v>
      </c>
      <c r="Y49" s="1" t="s">
        <v>34</v>
      </c>
      <c r="Z49" s="1" t="s">
        <v>37</v>
      </c>
      <c r="AA49" s="8" t="str">
        <f>IFERROR(VLOOKUP(A49,Sheet3!B:H,6,false),VLOOKUP(J49,Sheet2!A:C,2,false))</f>
        <v>https://assets.roomstogo.com/product/helix-midnight-luxe-twin-xl-mattress_50070110_image-item</v>
      </c>
      <c r="AB49" s="8" t="str">
        <f>IFERROR(VLOOKUP(A49,Sheet3!B:H,7,false),VLOOKUP(J49,Sheet2!A:C,3,false))</f>
        <v>https://assets.roomstogo.com/product/helix-midnight-luxe-twin-xl-mattress_50070110_alt-image-1</v>
      </c>
      <c r="AC49" s="8" t="str">
        <f t="shared" si="2"/>
        <v>https://rtg-275.myshopify.com/products/HELIX-MIDNIGHT-LUXE</v>
      </c>
      <c r="AD49" s="8" t="str">
        <f>vlookup(L49,'Python sheet'!$E$2:$F$373,2,0)</f>
        <v>https://rtg-275.myshopify.com/products/HELIX-MIDNIGHT-LUXE?variant=47915112169610</v>
      </c>
    </row>
    <row r="50">
      <c r="A50" s="4">
        <v>5.0070122E7</v>
      </c>
      <c r="B50" s="9">
        <v>2.0</v>
      </c>
      <c r="C50" s="9">
        <v>2.5</v>
      </c>
      <c r="D50" s="2" t="s">
        <v>235</v>
      </c>
      <c r="E50" s="2" t="s">
        <v>44</v>
      </c>
      <c r="F50" s="2" t="s">
        <v>236</v>
      </c>
      <c r="G50" s="9">
        <v>501.0</v>
      </c>
      <c r="H50" s="9">
        <v>4.22</v>
      </c>
      <c r="I50" s="9">
        <v>499.0</v>
      </c>
      <c r="J50" s="1" t="s">
        <v>237</v>
      </c>
      <c r="K50" s="1" t="s">
        <v>1007</v>
      </c>
      <c r="L50" s="1" t="str">
        <f t="shared" si="1"/>
        <v>HELIX-MIDNIGHT-ELITETwin XL</v>
      </c>
      <c r="M50" s="1" t="s">
        <v>238</v>
      </c>
      <c r="N50" s="6">
        <v>2199.0</v>
      </c>
      <c r="O50" s="6">
        <v>2748.75</v>
      </c>
      <c r="P50" s="1" t="s">
        <v>234</v>
      </c>
      <c r="Q50" s="7"/>
      <c r="R50" s="7"/>
      <c r="S50" s="1" t="s">
        <v>31</v>
      </c>
      <c r="T50" s="1" t="s">
        <v>32</v>
      </c>
      <c r="U50" s="1" t="s">
        <v>59</v>
      </c>
      <c r="V50" s="1" t="s">
        <v>50</v>
      </c>
      <c r="W50" s="1" t="s">
        <v>35</v>
      </c>
      <c r="X50" s="1" t="s">
        <v>42</v>
      </c>
      <c r="Y50" s="1" t="s">
        <v>42</v>
      </c>
      <c r="Z50" s="1" t="s">
        <v>37</v>
      </c>
      <c r="AA50" s="8" t="str">
        <f>IFERROR(VLOOKUP(A50,Sheet3!B:H,6,false),VLOOKUP(J50,Sheet2!A:C,2,false))</f>
        <v>https://assets.roomstogo.com/product/helix-midnight-elite-twin-xl-mattress_50070122_image-item</v>
      </c>
      <c r="AB50" s="8" t="str">
        <f>IFERROR(VLOOKUP(A50,Sheet3!B:H,7,false),VLOOKUP(J50,Sheet2!A:C,3,false))</f>
        <v>https://assets.roomstogo.com/product/helix-midnight-elite-twin-xl-mattress_50070122_alt-image-1</v>
      </c>
      <c r="AC50" s="8" t="str">
        <f t="shared" si="2"/>
        <v>https://rtg-275.myshopify.com/products/HELIX-MIDNIGHT-ELITE</v>
      </c>
      <c r="AD50" s="8" t="str">
        <f>vlookup(L50,'Python sheet'!$E$2:$F$373,2,0)</f>
        <v>https://rtg-275.myshopify.com/products/HELIX-MIDNIGHT-ELITE?variant=47915112398986</v>
      </c>
    </row>
    <row r="51">
      <c r="A51" s="4">
        <v>5.0100545E7</v>
      </c>
      <c r="B51" s="9">
        <v>1.0</v>
      </c>
      <c r="C51" s="9">
        <v>5.0</v>
      </c>
      <c r="D51" s="2" t="s">
        <v>239</v>
      </c>
      <c r="E51" s="2" t="s">
        <v>44</v>
      </c>
      <c r="F51" s="2" t="s">
        <v>240</v>
      </c>
      <c r="G51" s="9">
        <v>81.0</v>
      </c>
      <c r="H51" s="9">
        <v>4.23</v>
      </c>
      <c r="I51" s="9">
        <v>80.0</v>
      </c>
      <c r="J51" s="1" t="s">
        <v>28</v>
      </c>
      <c r="K51" s="1" t="s">
        <v>968</v>
      </c>
      <c r="L51" s="1" t="str">
        <f t="shared" si="1"/>
        <v>CASPER-CLOUD-ONETwin</v>
      </c>
      <c r="M51" s="1" t="s">
        <v>241</v>
      </c>
      <c r="N51" s="6">
        <v>799.0</v>
      </c>
      <c r="O51" s="6">
        <v>999.0</v>
      </c>
      <c r="P51" s="1" t="s">
        <v>30</v>
      </c>
      <c r="Q51" s="7"/>
      <c r="R51" s="7"/>
      <c r="S51" s="1" t="s">
        <v>31</v>
      </c>
      <c r="T51" s="1" t="s">
        <v>242</v>
      </c>
      <c r="U51" s="1" t="s">
        <v>33</v>
      </c>
      <c r="V51" s="1" t="s">
        <v>34</v>
      </c>
      <c r="W51" s="1" t="s">
        <v>35</v>
      </c>
      <c r="X51" s="1" t="s">
        <v>34</v>
      </c>
      <c r="Y51" s="1" t="s">
        <v>36</v>
      </c>
      <c r="Z51" s="1" t="s">
        <v>37</v>
      </c>
      <c r="AA51" s="8" t="str">
        <f>IFERROR(VLOOKUP(A51,Sheet3!B:H,6,false),VLOOKUP(J51,Sheet2!A:C,2,false))</f>
        <v>https://assets.roomstogo.com/product/casper-cloud-one-twin-xl-mattress_50000543_image-item</v>
      </c>
      <c r="AB51" s="8" t="str">
        <f>IFERROR(VLOOKUP(A51,Sheet3!B:H,7,false),VLOOKUP(J51,Sheet2!A:C,3,false))</f>
        <v>https://assets.roomstogo.com/product/casper-cloud-one-twin-xl-mattress_50000543_alt-image-1</v>
      </c>
      <c r="AC51" s="8" t="str">
        <f t="shared" si="2"/>
        <v>https://rtg-275.myshopify.com/products/CASPER-CLOUD-ONE</v>
      </c>
      <c r="AD51" s="8" t="str">
        <f>vlookup(L51,'Python sheet'!$E$2:$F$373,2,0)</f>
        <v>https://rtg-275.myshopify.com/products/CASPER-CLOUD-ONE?variant=47915101552778</v>
      </c>
    </row>
    <row r="52">
      <c r="A52" s="4">
        <v>5.0100684E7</v>
      </c>
      <c r="B52" s="5"/>
      <c r="C52" s="5"/>
      <c r="D52" s="5"/>
      <c r="E52" s="5"/>
      <c r="F52" s="5"/>
      <c r="G52" s="5"/>
      <c r="H52" s="5"/>
      <c r="I52" s="5"/>
      <c r="J52" s="1" t="s">
        <v>52</v>
      </c>
      <c r="K52" s="1" t="s">
        <v>971</v>
      </c>
      <c r="L52" s="1" t="str">
        <f t="shared" si="1"/>
        <v>CASPER-ONYX-2-0Twin</v>
      </c>
      <c r="M52" s="1" t="s">
        <v>243</v>
      </c>
      <c r="N52" s="6">
        <v>649.0</v>
      </c>
      <c r="O52" s="6">
        <v>749.0</v>
      </c>
      <c r="P52" s="1" t="s">
        <v>30</v>
      </c>
      <c r="Q52" s="1" t="s">
        <v>54</v>
      </c>
      <c r="R52" s="1" t="s">
        <v>244</v>
      </c>
      <c r="S52" s="1" t="s">
        <v>31</v>
      </c>
      <c r="T52" s="1" t="s">
        <v>242</v>
      </c>
      <c r="U52" s="1" t="s">
        <v>33</v>
      </c>
      <c r="V52" s="1" t="s">
        <v>36</v>
      </c>
      <c r="W52" s="1" t="s">
        <v>35</v>
      </c>
      <c r="X52" s="1" t="s">
        <v>36</v>
      </c>
      <c r="Y52" s="1" t="s">
        <v>36</v>
      </c>
      <c r="Z52" s="1" t="s">
        <v>37</v>
      </c>
      <c r="AA52" s="8" t="str">
        <f>IFERROR(VLOOKUP(A52,Sheet3!B:H,6,false),VLOOKUP(J52,Sheet2!A:C,2,false))</f>
        <v>https://assets.roomstogo.com/product/casper-onyx-20-twin-xl-mattress_50000682_image-item</v>
      </c>
      <c r="AB52" s="8" t="str">
        <f>IFERROR(VLOOKUP(A52,Sheet3!B:H,7,false),VLOOKUP(J52,Sheet2!A:C,3,false))</f>
        <v>https://assets.roomstogo.com/product/casper-onyx-20-twin-xl-mattress_50000682_alt-image-1</v>
      </c>
      <c r="AC52" s="8" t="str">
        <f t="shared" si="2"/>
        <v>https://rtg-275.myshopify.com/products/CASPER-ONYX-2-0</v>
      </c>
      <c r="AD52" s="8" t="str">
        <f>vlookup(L52,'Python sheet'!$E$2:$F$373,2,0)</f>
        <v>https://rtg-275.myshopify.com/products/CASPER-ONYX-2-0?variant=47915102208138</v>
      </c>
    </row>
    <row r="53">
      <c r="A53" s="4">
        <v>5.0101775E7</v>
      </c>
      <c r="B53" s="5"/>
      <c r="C53" s="5"/>
      <c r="D53" s="5"/>
      <c r="E53" s="5"/>
      <c r="F53" s="5"/>
      <c r="G53" s="5"/>
      <c r="H53" s="5"/>
      <c r="I53" s="5"/>
      <c r="J53" s="1" t="s">
        <v>56</v>
      </c>
      <c r="K53" s="1" t="s">
        <v>972</v>
      </c>
      <c r="L53" s="1" t="str">
        <f t="shared" si="1"/>
        <v>SMART-MATCH-2-0Twin</v>
      </c>
      <c r="M53" s="1" t="s">
        <v>245</v>
      </c>
      <c r="N53" s="6">
        <v>977.0</v>
      </c>
      <c r="O53" s="6">
        <v>2999.0</v>
      </c>
      <c r="P53" s="1" t="s">
        <v>58</v>
      </c>
      <c r="Q53" s="7"/>
      <c r="R53" s="7"/>
      <c r="S53" s="7"/>
      <c r="T53" s="1" t="s">
        <v>242</v>
      </c>
      <c r="U53" s="1" t="s">
        <v>59</v>
      </c>
      <c r="V53" s="1" t="s">
        <v>42</v>
      </c>
      <c r="W53" s="1" t="s">
        <v>35</v>
      </c>
      <c r="X53" s="1" t="s">
        <v>42</v>
      </c>
      <c r="Y53" s="1" t="s">
        <v>34</v>
      </c>
      <c r="Z53" s="1" t="s">
        <v>37</v>
      </c>
      <c r="AA53" s="8" t="str">
        <f>IFERROR(VLOOKUP(A53,Sheet3!B:H,6,false),VLOOKUP(J53,Sheet2!A:C,2,false))</f>
        <v>https://assets.roomstogo.com/product/kingsdown-smart-match-20-twin-xl-mattress_50001773_image-item</v>
      </c>
      <c r="AB53" s="8" t="str">
        <f>IFERROR(VLOOKUP(A53,Sheet3!B:H,7,false),VLOOKUP(J53,Sheet2!A:C,3,false))</f>
        <v>https://assets.roomstogo.com/product/kingsdown-smart-match-20-twin-xl-mattress_50001773_alt-image-1</v>
      </c>
      <c r="AC53" s="8" t="str">
        <f t="shared" si="2"/>
        <v>https://rtg-275.myshopify.com/products/SMART-MATCH-2-0</v>
      </c>
      <c r="AD53" s="8" t="str">
        <f>vlookup(L53,'Python sheet'!$E$2:$F$373,2,0)</f>
        <v>https://rtg-275.myshopify.com/products/SMART-MATCH-2-0?variant=47915102503050</v>
      </c>
    </row>
    <row r="54">
      <c r="A54" s="4">
        <v>5.010226E7</v>
      </c>
      <c r="B54" s="9">
        <v>33.0</v>
      </c>
      <c r="C54" s="9">
        <v>4.48</v>
      </c>
      <c r="D54" s="2" t="s">
        <v>246</v>
      </c>
      <c r="E54" s="2" t="s">
        <v>44</v>
      </c>
      <c r="F54" s="2" t="s">
        <v>247</v>
      </c>
      <c r="G54" s="9">
        <v>43.0</v>
      </c>
      <c r="H54" s="9">
        <v>4.37</v>
      </c>
      <c r="I54" s="9">
        <v>10.0</v>
      </c>
      <c r="J54" s="1" t="s">
        <v>248</v>
      </c>
      <c r="K54" s="1" t="s">
        <v>248</v>
      </c>
      <c r="L54" s="1" t="str">
        <f t="shared" si="1"/>
        <v>TURNBULLTwin</v>
      </c>
      <c r="M54" s="1" t="s">
        <v>249</v>
      </c>
      <c r="N54" s="6">
        <v>238.0</v>
      </c>
      <c r="O54" s="6">
        <v>249.99</v>
      </c>
      <c r="P54" s="1" t="s">
        <v>58</v>
      </c>
      <c r="Q54" s="1" t="s">
        <v>54</v>
      </c>
      <c r="R54" s="1" t="s">
        <v>250</v>
      </c>
      <c r="S54" s="1" t="s">
        <v>134</v>
      </c>
      <c r="T54" s="1" t="s">
        <v>242</v>
      </c>
      <c r="U54" s="1" t="s">
        <v>59</v>
      </c>
      <c r="V54" s="1" t="s">
        <v>36</v>
      </c>
      <c r="W54" s="1" t="s">
        <v>35</v>
      </c>
      <c r="X54" s="1" t="s">
        <v>251</v>
      </c>
      <c r="Y54" s="1" t="s">
        <v>36</v>
      </c>
      <c r="Z54" s="1" t="s">
        <v>37</v>
      </c>
      <c r="AA54" s="8" t="str">
        <f>IFERROR(VLOOKUP(A54,Sheet3!B:H,6,false),VLOOKUP(J54,Sheet2!A:C,2,false))</f>
        <v>https://assets.roomstogo.com/product/kingsdown-turnbull-twin-mattress_50102260_image-item</v>
      </c>
      <c r="AB54" s="8" t="str">
        <f>IFERROR(VLOOKUP(A54,Sheet3!B:H,7,false),VLOOKUP(J54,Sheet2!A:C,3,false))</f>
        <v>https://assets.roomstogo.com/product/kingsdown-turnbull-twin-mattress_50102260_alt-image-1</v>
      </c>
      <c r="AC54" s="8" t="str">
        <f t="shared" si="2"/>
        <v>https://rtg-275.myshopify.com/products/TURNBULL</v>
      </c>
      <c r="AD54" s="8" t="str">
        <f>vlookup(L54,'Python sheet'!$E$2:$F$373,2,0)</f>
        <v>https://rtg-275.myshopify.com/products/TURNBULL?variant=47915112595594</v>
      </c>
    </row>
    <row r="55">
      <c r="A55" s="4">
        <v>5.0102284E7</v>
      </c>
      <c r="B55" s="9">
        <v>11.0</v>
      </c>
      <c r="C55" s="9">
        <v>4.27</v>
      </c>
      <c r="D55" s="2" t="s">
        <v>252</v>
      </c>
      <c r="E55" s="2" t="s">
        <v>44</v>
      </c>
      <c r="F55" s="2" t="s">
        <v>253</v>
      </c>
      <c r="G55" s="9">
        <v>26.0</v>
      </c>
      <c r="H55" s="9">
        <v>4.46</v>
      </c>
      <c r="I55" s="9">
        <v>15.0</v>
      </c>
      <c r="J55" s="1" t="s">
        <v>254</v>
      </c>
      <c r="K55" s="1" t="s">
        <v>254</v>
      </c>
      <c r="L55" s="1" t="str">
        <f t="shared" si="1"/>
        <v>HAWKETwin</v>
      </c>
      <c r="M55" s="1" t="s">
        <v>255</v>
      </c>
      <c r="N55" s="6">
        <v>298.0</v>
      </c>
      <c r="O55" s="6">
        <v>349.99</v>
      </c>
      <c r="P55" s="1" t="s">
        <v>58</v>
      </c>
      <c r="Q55" s="1" t="s">
        <v>54</v>
      </c>
      <c r="R55" s="1" t="s">
        <v>256</v>
      </c>
      <c r="S55" s="1" t="s">
        <v>134</v>
      </c>
      <c r="T55" s="1" t="s">
        <v>242</v>
      </c>
      <c r="U55" s="1" t="s">
        <v>59</v>
      </c>
      <c r="V55" s="1" t="s">
        <v>34</v>
      </c>
      <c r="W55" s="1" t="s">
        <v>35</v>
      </c>
      <c r="X55" s="1" t="s">
        <v>42</v>
      </c>
      <c r="Y55" s="1" t="s">
        <v>36</v>
      </c>
      <c r="Z55" s="1" t="s">
        <v>37</v>
      </c>
      <c r="AA55" s="8" t="str">
        <f>IFERROR(VLOOKUP(A55,Sheet3!B:H,6,false),VLOOKUP(J55,Sheet2!A:C,2,false))</f>
        <v>https://assets.roomstogo.com/product/kingsdown-hawke-twin-mattress_50102284_image-item</v>
      </c>
      <c r="AB55" s="8" t="str">
        <f>IFERROR(VLOOKUP(A55,Sheet3!B:H,7,false),VLOOKUP(J55,Sheet2!A:C,3,false))</f>
        <v>https://assets.roomstogo.com/product/kingsdown-hawke-twin-mattress_50102284_alt-image-1</v>
      </c>
      <c r="AC55" s="8" t="str">
        <f t="shared" si="2"/>
        <v>https://rtg-275.myshopify.com/products/HAWKE</v>
      </c>
      <c r="AD55" s="8" t="str">
        <f>vlookup(L55,'Python sheet'!$E$2:$F$373,2,0)</f>
        <v>https://rtg-275.myshopify.com/products/HAWKE?variant=47915112693898</v>
      </c>
    </row>
    <row r="56">
      <c r="A56" s="4">
        <v>5.0102296E7</v>
      </c>
      <c r="B56" s="9">
        <v>3.0</v>
      </c>
      <c r="C56" s="9">
        <v>4.33</v>
      </c>
      <c r="D56" s="2" t="s">
        <v>257</v>
      </c>
      <c r="E56" s="2" t="s">
        <v>44</v>
      </c>
      <c r="F56" s="2" t="s">
        <v>258</v>
      </c>
      <c r="G56" s="9">
        <v>9.0</v>
      </c>
      <c r="H56" s="9">
        <v>4.56</v>
      </c>
      <c r="I56" s="9">
        <v>6.0</v>
      </c>
      <c r="J56" s="1" t="s">
        <v>259</v>
      </c>
      <c r="K56" s="1" t="s">
        <v>259</v>
      </c>
      <c r="L56" s="1" t="str">
        <f t="shared" si="1"/>
        <v>GRENSONTwin</v>
      </c>
      <c r="M56" s="1" t="s">
        <v>260</v>
      </c>
      <c r="N56" s="6">
        <v>377.0</v>
      </c>
      <c r="O56" s="6">
        <v>449.99</v>
      </c>
      <c r="P56" s="1" t="s">
        <v>58</v>
      </c>
      <c r="Q56" s="1" t="s">
        <v>54</v>
      </c>
      <c r="R56" s="1" t="s">
        <v>261</v>
      </c>
      <c r="S56" s="1" t="s">
        <v>134</v>
      </c>
      <c r="T56" s="1" t="s">
        <v>242</v>
      </c>
      <c r="U56" s="1" t="s">
        <v>33</v>
      </c>
      <c r="V56" s="1" t="s">
        <v>42</v>
      </c>
      <c r="W56" s="1" t="s">
        <v>49</v>
      </c>
      <c r="X56" s="1" t="s">
        <v>34</v>
      </c>
      <c r="Y56" s="1" t="s">
        <v>36</v>
      </c>
      <c r="Z56" s="1" t="s">
        <v>51</v>
      </c>
      <c r="AA56" s="8" t="str">
        <f>IFERROR(VLOOKUP(A56,Sheet3!B:H,6,false),VLOOKUP(J56,Sheet2!A:C,2,false))</f>
        <v>https://assets.roomstogo.com/product/kingsdown-grenson-twin-mattress_50102296_image-item</v>
      </c>
      <c r="AB56" s="8" t="str">
        <f>IFERROR(VLOOKUP(A56,Sheet3!B:H,7,false),VLOOKUP(J56,Sheet2!A:C,3,false))</f>
        <v>https://assets.roomstogo.com/product/kingsdown-grenson-twin-mattress_50102296_alt-image-1</v>
      </c>
      <c r="AC56" s="8" t="str">
        <f t="shared" si="2"/>
        <v>https://rtg-275.myshopify.com/products/GRENSON</v>
      </c>
      <c r="AD56" s="8" t="str">
        <f>vlookup(L56,'Python sheet'!$E$2:$F$373,2,0)</f>
        <v>https://rtg-275.myshopify.com/products/GRENSON?variant=47915112759434</v>
      </c>
    </row>
    <row r="57">
      <c r="A57" s="4">
        <v>5.0107462E7</v>
      </c>
      <c r="B57" s="5"/>
      <c r="C57" s="5"/>
      <c r="D57" s="5"/>
      <c r="E57" s="5"/>
      <c r="F57" s="5"/>
      <c r="G57" s="5"/>
      <c r="H57" s="5"/>
      <c r="I57" s="5"/>
      <c r="J57" s="1" t="s">
        <v>62</v>
      </c>
      <c r="K57" s="1" t="s">
        <v>973</v>
      </c>
      <c r="L57" s="1" t="str">
        <f t="shared" si="1"/>
        <v>ADAPT-2-0-MEDIUMTwin</v>
      </c>
      <c r="M57" s="1" t="s">
        <v>262</v>
      </c>
      <c r="N57" s="6">
        <v>1699.0</v>
      </c>
      <c r="O57" s="6">
        <v>1699.0</v>
      </c>
      <c r="P57" s="1" t="s">
        <v>64</v>
      </c>
      <c r="Q57" s="7"/>
      <c r="R57" s="1" t="s">
        <v>65</v>
      </c>
      <c r="S57" s="1" t="s">
        <v>31</v>
      </c>
      <c r="T57" s="1" t="s">
        <v>242</v>
      </c>
      <c r="U57" s="1" t="s">
        <v>33</v>
      </c>
      <c r="V57" s="1" t="s">
        <v>42</v>
      </c>
      <c r="W57" s="1" t="s">
        <v>35</v>
      </c>
      <c r="X57" s="1" t="s">
        <v>42</v>
      </c>
      <c r="Y57" s="1" t="s">
        <v>42</v>
      </c>
      <c r="Z57" s="1" t="s">
        <v>37</v>
      </c>
      <c r="AA57" s="8" t="str">
        <f>IFERROR(VLOOKUP(A57,Sheet3!B:H,6,false),VLOOKUP(J57,Sheet2!A:C,2,false))</f>
        <v>https://assets.roomstogo.com/product/tempur-pedic-adapt-20-medium-twin-xl-mattress_50007460_image-item</v>
      </c>
      <c r="AB57" s="8" t="str">
        <f>IFERROR(VLOOKUP(A57,Sheet3!B:H,7,false),VLOOKUP(J57,Sheet2!A:C,3,false))</f>
        <v>https://assets.roomstogo.com/product/tempur-pedic-adapt-20-medium-twin-xl-mattress_50007460_alt-image-1</v>
      </c>
      <c r="AC57" s="8" t="str">
        <f t="shared" si="2"/>
        <v>https://rtg-275.myshopify.com/products/ADAPT-2-0-MEDIUM</v>
      </c>
      <c r="AD57" s="8" t="str">
        <f>vlookup(L57,'Python sheet'!$E$2:$F$373,2,0)</f>
        <v>https://rtg-275.myshopify.com/products/ADAPT-2-0-MEDIUM?variant=47915102797962</v>
      </c>
    </row>
    <row r="58">
      <c r="A58" s="4">
        <v>5.0107474E7</v>
      </c>
      <c r="B58" s="5"/>
      <c r="C58" s="5"/>
      <c r="D58" s="5"/>
      <c r="E58" s="5"/>
      <c r="F58" s="5"/>
      <c r="G58" s="5"/>
      <c r="H58" s="5"/>
      <c r="I58" s="5"/>
      <c r="J58" s="1" t="s">
        <v>68</v>
      </c>
      <c r="K58" s="1" t="s">
        <v>974</v>
      </c>
      <c r="L58" s="1" t="str">
        <f t="shared" si="1"/>
        <v>ADAPT-2-0-MEDIUM-HYBRIDTwin</v>
      </c>
      <c r="M58" s="1" t="s">
        <v>263</v>
      </c>
      <c r="N58" s="6">
        <v>1999.0</v>
      </c>
      <c r="O58" s="6">
        <v>1999.0</v>
      </c>
      <c r="P58" s="1" t="s">
        <v>64</v>
      </c>
      <c r="Q58" s="7"/>
      <c r="R58" s="1" t="s">
        <v>70</v>
      </c>
      <c r="S58" s="1" t="s">
        <v>31</v>
      </c>
      <c r="T58" s="1" t="s">
        <v>242</v>
      </c>
      <c r="U58" s="1" t="s">
        <v>41</v>
      </c>
      <c r="V58" s="1" t="s">
        <v>42</v>
      </c>
      <c r="W58" s="1" t="s">
        <v>35</v>
      </c>
      <c r="X58" s="1" t="s">
        <v>42</v>
      </c>
      <c r="Y58" s="1" t="s">
        <v>42</v>
      </c>
      <c r="Z58" s="1" t="s">
        <v>37</v>
      </c>
      <c r="AA58" s="8" t="str">
        <f>IFERROR(VLOOKUP(A58,Sheet3!B:H,6,false),VLOOKUP(J58,Sheet2!A:C,2,false))</f>
        <v>https://assets.roomstogo.com/product/tempur-pedic-adapt-20-medium-hybrid-twin-xl-mattress_50007472_image-item</v>
      </c>
      <c r="AB58" s="8" t="str">
        <f>IFERROR(VLOOKUP(A58,Sheet3!B:H,7,false),VLOOKUP(J58,Sheet2!A:C,3,false))</f>
        <v>https://assets.roomstogo.com/product/tempur-pedic-adapt-20-medium-hybrid-twin-xl-mattress_50007472_alt-image-1</v>
      </c>
      <c r="AC58" s="8" t="str">
        <f t="shared" si="2"/>
        <v>https://rtg-275.myshopify.com/products/ADAPT-2-0-MEDIUM-HYBRID</v>
      </c>
      <c r="AD58" s="8" t="str">
        <f>vlookup(L58,'Python sheet'!$E$2:$F$373,2,0)</f>
        <v>https://rtg-275.myshopify.com/products/ADAPT-2-0-MEDIUM-HYBRID?variant=47915103158410</v>
      </c>
    </row>
    <row r="59">
      <c r="A59" s="4">
        <v>5.0107486E7</v>
      </c>
      <c r="B59" s="5"/>
      <c r="C59" s="5"/>
      <c r="D59" s="5"/>
      <c r="E59" s="5"/>
      <c r="F59" s="5"/>
      <c r="G59" s="5"/>
      <c r="H59" s="5"/>
      <c r="I59" s="5"/>
      <c r="J59" s="1" t="s">
        <v>73</v>
      </c>
      <c r="K59" s="1" t="s">
        <v>975</v>
      </c>
      <c r="L59" s="1" t="str">
        <f t="shared" si="1"/>
        <v>PROADAPT-2-0-FIRMTwin</v>
      </c>
      <c r="M59" s="1" t="s">
        <v>264</v>
      </c>
      <c r="N59" s="6">
        <v>2899.0</v>
      </c>
      <c r="O59" s="6">
        <v>2899.0</v>
      </c>
      <c r="P59" s="1" t="s">
        <v>64</v>
      </c>
      <c r="Q59" s="7"/>
      <c r="R59" s="1" t="s">
        <v>75</v>
      </c>
      <c r="S59" s="1" t="s">
        <v>31</v>
      </c>
      <c r="T59" s="1" t="s">
        <v>242</v>
      </c>
      <c r="U59" s="1" t="s">
        <v>33</v>
      </c>
      <c r="V59" s="1" t="s">
        <v>42</v>
      </c>
      <c r="W59" s="1" t="s">
        <v>76</v>
      </c>
      <c r="X59" s="1" t="s">
        <v>50</v>
      </c>
      <c r="Y59" s="1" t="s">
        <v>42</v>
      </c>
      <c r="Z59" s="1" t="s">
        <v>77</v>
      </c>
      <c r="AA59" s="8" t="str">
        <f>IFERROR(VLOOKUP(A59,Sheet3!B:H,6,false),VLOOKUP(J59,Sheet2!A:C,2,false))</f>
        <v>https://assets.roomstogo.com/product/tempur-pedic-proadapt-20-firm-twin-xl-mattress_50007484_image-item</v>
      </c>
      <c r="AB59" s="8" t="str">
        <f>IFERROR(VLOOKUP(A59,Sheet3!B:H,7,false),VLOOKUP(J59,Sheet2!A:C,3,false))</f>
        <v>https://assets.roomstogo.com/product/tempur-pedic-proadapt-20-firm-twin-xl-mattress_50007484_alt-image-1</v>
      </c>
      <c r="AC59" s="8" t="str">
        <f t="shared" si="2"/>
        <v>https://rtg-275.myshopify.com/products/PROADAPT-2-0-FIRM</v>
      </c>
      <c r="AD59" s="8" t="str">
        <f>vlookup(L59,'Python sheet'!$E$2:$F$373,2,0)</f>
        <v>https://rtg-275.myshopify.com/products/PROADAPT-2-0-FIRM?variant=47915103486090</v>
      </c>
    </row>
    <row r="60">
      <c r="A60" s="4">
        <v>5.0107525E7</v>
      </c>
      <c r="B60" s="5"/>
      <c r="C60" s="5"/>
      <c r="D60" s="5"/>
      <c r="E60" s="5"/>
      <c r="F60" s="5"/>
      <c r="G60" s="5"/>
      <c r="H60" s="5"/>
      <c r="I60" s="5"/>
      <c r="J60" s="1" t="s">
        <v>85</v>
      </c>
      <c r="K60" s="1" t="s">
        <v>977</v>
      </c>
      <c r="L60" s="1" t="str">
        <f t="shared" si="1"/>
        <v>PROADAPT-2-0-MEDIUMTwin</v>
      </c>
      <c r="M60" s="1" t="s">
        <v>265</v>
      </c>
      <c r="N60" s="6">
        <v>2899.0</v>
      </c>
      <c r="O60" s="6">
        <v>2899.0</v>
      </c>
      <c r="P60" s="1" t="s">
        <v>64</v>
      </c>
      <c r="Q60" s="7"/>
      <c r="R60" s="1" t="s">
        <v>75</v>
      </c>
      <c r="S60" s="1" t="s">
        <v>31</v>
      </c>
      <c r="T60" s="1" t="s">
        <v>242</v>
      </c>
      <c r="U60" s="1" t="s">
        <v>33</v>
      </c>
      <c r="V60" s="1" t="s">
        <v>42</v>
      </c>
      <c r="W60" s="1" t="s">
        <v>35</v>
      </c>
      <c r="X60" s="1" t="s">
        <v>50</v>
      </c>
      <c r="Y60" s="1" t="s">
        <v>42</v>
      </c>
      <c r="Z60" s="1" t="s">
        <v>37</v>
      </c>
      <c r="AA60" s="8" t="str">
        <f>IFERROR(VLOOKUP(A60,Sheet3!B:H,6,false),VLOOKUP(J60,Sheet2!A:C,2,false))</f>
        <v>https://assets.roomstogo.com/product/tempur-pedic-proadapt-20-medium-twin-xl-mattress_50007523_image-item</v>
      </c>
      <c r="AB60" s="8" t="str">
        <f>IFERROR(VLOOKUP(A60,Sheet3!B:H,7,false),VLOOKUP(J60,Sheet2!A:C,3,false))</f>
        <v>https://assets.roomstogo.com/product/tempur-pedic-proadapt-20-medium-twin-xl-mattress_50007523_alt-image-1</v>
      </c>
      <c r="AC60" s="8" t="str">
        <f t="shared" si="2"/>
        <v>https://rtg-275.myshopify.com/products/PROADAPT-2-0-MEDIUM</v>
      </c>
      <c r="AD60" s="8" t="str">
        <f>vlookup(L60,'Python sheet'!$E$2:$F$373,2,0)</f>
        <v>https://rtg-275.myshopify.com/products/PROADAPT-2-0-MEDIUM?variant=47915104338058</v>
      </c>
    </row>
    <row r="61">
      <c r="A61" s="4">
        <v>5.0107537E7</v>
      </c>
      <c r="B61" s="5"/>
      <c r="C61" s="5"/>
      <c r="D61" s="5"/>
      <c r="E61" s="5"/>
      <c r="F61" s="5"/>
      <c r="G61" s="5"/>
      <c r="H61" s="5"/>
      <c r="I61" s="5"/>
      <c r="J61" s="1" t="s">
        <v>89</v>
      </c>
      <c r="K61" s="1" t="s">
        <v>978</v>
      </c>
      <c r="L61" s="1" t="str">
        <f t="shared" si="1"/>
        <v>PROADAPT-2-0-SOFTTwin</v>
      </c>
      <c r="M61" s="1" t="s">
        <v>266</v>
      </c>
      <c r="N61" s="6">
        <v>2899.0</v>
      </c>
      <c r="O61" s="6">
        <v>2899.0</v>
      </c>
      <c r="P61" s="1" t="s">
        <v>64</v>
      </c>
      <c r="Q61" s="7"/>
      <c r="R61" s="1" t="s">
        <v>91</v>
      </c>
      <c r="S61" s="1" t="s">
        <v>31</v>
      </c>
      <c r="T61" s="1" t="s">
        <v>242</v>
      </c>
      <c r="U61" s="1" t="s">
        <v>33</v>
      </c>
      <c r="V61" s="1" t="s">
        <v>50</v>
      </c>
      <c r="W61" s="1" t="s">
        <v>49</v>
      </c>
      <c r="X61" s="1" t="s">
        <v>50</v>
      </c>
      <c r="Y61" s="1" t="s">
        <v>42</v>
      </c>
      <c r="Z61" s="1" t="s">
        <v>51</v>
      </c>
      <c r="AA61" s="8" t="str">
        <f>IFERROR(VLOOKUP(A61,Sheet3!B:H,6,false),VLOOKUP(J61,Sheet2!A:C,2,false))</f>
        <v>https://assets.roomstogo.com/product/tempur-pedic-proadapt-20-soft-twin-xl-mattress_50007535_image-item</v>
      </c>
      <c r="AB61" s="8" t="str">
        <f>IFERROR(VLOOKUP(A61,Sheet3!B:H,7,false),VLOOKUP(J61,Sheet2!A:C,3,false))</f>
        <v>https://assets.roomstogo.com/product/tempur-pedic-proadapt-20-soft-twin-xl-mattress_50007535_alt-image-1</v>
      </c>
      <c r="AC61" s="8" t="str">
        <f t="shared" si="2"/>
        <v>https://rtg-275.myshopify.com/products/PROADAPT-2-0-SOFT</v>
      </c>
      <c r="AD61" s="8" t="str">
        <f>vlookup(L61,'Python sheet'!$E$2:$F$373,2,0)</f>
        <v>https://rtg-275.myshopify.com/products/PROADAPT-2-0-SOFT?variant=47915104600202</v>
      </c>
    </row>
    <row r="62">
      <c r="A62" s="4">
        <v>5.0107551E7</v>
      </c>
      <c r="B62" s="5"/>
      <c r="C62" s="5"/>
      <c r="D62" s="5"/>
      <c r="E62" s="5"/>
      <c r="F62" s="5"/>
      <c r="G62" s="5"/>
      <c r="H62" s="5"/>
      <c r="I62" s="5"/>
      <c r="J62" s="1" t="s">
        <v>94</v>
      </c>
      <c r="K62" s="1" t="s">
        <v>979</v>
      </c>
      <c r="L62" s="1" t="str">
        <f t="shared" si="1"/>
        <v>PROADAPT-2-0-MEDIUM-HYBRIDTwin</v>
      </c>
      <c r="M62" s="1" t="s">
        <v>267</v>
      </c>
      <c r="N62" s="6">
        <v>2899.0</v>
      </c>
      <c r="O62" s="6">
        <v>2899.0</v>
      </c>
      <c r="P62" s="1" t="s">
        <v>64</v>
      </c>
      <c r="Q62" s="7"/>
      <c r="R62" s="1" t="s">
        <v>96</v>
      </c>
      <c r="S62" s="1" t="s">
        <v>31</v>
      </c>
      <c r="T62" s="1" t="s">
        <v>242</v>
      </c>
      <c r="U62" s="1" t="s">
        <v>41</v>
      </c>
      <c r="V62" s="1" t="s">
        <v>42</v>
      </c>
      <c r="W62" s="1" t="s">
        <v>35</v>
      </c>
      <c r="X62" s="1" t="s">
        <v>50</v>
      </c>
      <c r="Y62" s="1" t="s">
        <v>42</v>
      </c>
      <c r="Z62" s="1" t="s">
        <v>37</v>
      </c>
      <c r="AA62" s="8" t="str">
        <f>IFERROR(VLOOKUP(A62,Sheet3!B:H,6,false),VLOOKUP(J62,Sheet2!A:C,2,false))</f>
        <v>https://assets.roomstogo.com/product/tempur-pedic-proadapt-20-medium-hybrid-twin-xl-mattress_50007559_image-item</v>
      </c>
      <c r="AB62" s="8" t="str">
        <f>IFERROR(VLOOKUP(A62,Sheet3!B:H,7,false),VLOOKUP(J62,Sheet2!A:C,3,false))</f>
        <v>https://assets.roomstogo.com/product/tempur-pedic-proadapt-20-medium-hybrid-twin-xl-mattress_50007559_alt-image-1</v>
      </c>
      <c r="AC62" s="8" t="str">
        <f t="shared" si="2"/>
        <v>https://rtg-275.myshopify.com/products/PROADAPT-2-0-MEDIUM-HYBRID</v>
      </c>
      <c r="AD62" s="8" t="str">
        <f>vlookup(L62,'Python sheet'!$E$2:$F$373,2,0)</f>
        <v>https://rtg-275.myshopify.com/products/PROADAPT-2-0-MEDIUM-HYBRID?variant=47915104927882</v>
      </c>
    </row>
    <row r="63">
      <c r="A63" s="4">
        <v>5.0109872E7</v>
      </c>
      <c r="B63" s="5"/>
      <c r="C63" s="5"/>
      <c r="D63" s="5"/>
      <c r="E63" s="5"/>
      <c r="F63" s="5"/>
      <c r="G63" s="5"/>
      <c r="H63" s="5"/>
      <c r="I63" s="5"/>
      <c r="J63" s="1" t="s">
        <v>112</v>
      </c>
      <c r="K63" s="1" t="s">
        <v>983</v>
      </c>
      <c r="L63" s="1" t="str">
        <f t="shared" si="1"/>
        <v>TUFT-NEEDLE-STITCH-TN3-1Twin</v>
      </c>
      <c r="M63" s="1" t="s">
        <v>268</v>
      </c>
      <c r="N63" s="6">
        <v>597.0</v>
      </c>
      <c r="O63" s="6">
        <v>799.0</v>
      </c>
      <c r="P63" s="1" t="s">
        <v>114</v>
      </c>
      <c r="Q63" s="1" t="s">
        <v>54</v>
      </c>
      <c r="R63" s="7"/>
      <c r="S63" s="1" t="s">
        <v>31</v>
      </c>
      <c r="T63" s="1" t="s">
        <v>242</v>
      </c>
      <c r="U63" s="1" t="s">
        <v>41</v>
      </c>
      <c r="V63" s="1" t="s">
        <v>34</v>
      </c>
      <c r="W63" s="1" t="s">
        <v>35</v>
      </c>
      <c r="X63" s="1" t="s">
        <v>34</v>
      </c>
      <c r="Y63" s="1" t="s">
        <v>34</v>
      </c>
      <c r="Z63" s="1" t="s">
        <v>37</v>
      </c>
      <c r="AA63" s="8" t="str">
        <f>IFERROR(VLOOKUP(A63,Sheet3!B:H,6,false),VLOOKUP(J63,Sheet2!A:C,2,false))</f>
        <v>https://assets.roomstogo.com/product/tuft-needle-stitch-tn31-twin-xl-mattress_50009870_image-item</v>
      </c>
      <c r="AB63" s="8" t="str">
        <f>IFERROR(VLOOKUP(A63,Sheet3!B:H,7,false),VLOOKUP(J63,Sheet2!A:C,3,false))</f>
        <v>https://assets.roomstogo.com/product/tuft-needle-stitch-tn31-twin-xl-mattress_50009870_alt-image-1</v>
      </c>
      <c r="AC63" s="8" t="str">
        <f t="shared" si="2"/>
        <v>https://rtg-275.myshopify.com/products/TUFT-NEEDLE-STITCH-TN3-1</v>
      </c>
      <c r="AD63" s="8" t="str">
        <f>vlookup(L63,'Python sheet'!$E$2:$F$373,2,0)</f>
        <v>https://rtg-275.myshopify.com/products/TUFT-NEEDLE-STITCH-TN3-1?variant=47915105943690</v>
      </c>
    </row>
    <row r="64">
      <c r="A64" s="4">
        <v>5.0109884E7</v>
      </c>
      <c r="B64" s="5"/>
      <c r="C64" s="5"/>
      <c r="D64" s="5"/>
      <c r="E64" s="5"/>
      <c r="F64" s="5"/>
      <c r="G64" s="5"/>
      <c r="H64" s="5"/>
      <c r="I64" s="5"/>
      <c r="J64" s="1" t="s">
        <v>115</v>
      </c>
      <c r="K64" s="1" t="s">
        <v>984</v>
      </c>
      <c r="L64" s="1" t="str">
        <f t="shared" si="1"/>
        <v>TUFT-NEEDLE-STITCH-TN5-1Twin</v>
      </c>
      <c r="M64" s="1" t="s">
        <v>269</v>
      </c>
      <c r="N64" s="6">
        <v>695.0</v>
      </c>
      <c r="O64" s="6">
        <v>1299.0</v>
      </c>
      <c r="P64" s="1" t="s">
        <v>114</v>
      </c>
      <c r="Q64" s="1" t="s">
        <v>54</v>
      </c>
      <c r="R64" s="7"/>
      <c r="S64" s="1" t="s">
        <v>31</v>
      </c>
      <c r="T64" s="1" t="s">
        <v>242</v>
      </c>
      <c r="U64" s="1" t="s">
        <v>41</v>
      </c>
      <c r="V64" s="1" t="s">
        <v>42</v>
      </c>
      <c r="W64" s="1" t="s">
        <v>76</v>
      </c>
      <c r="X64" s="1" t="s">
        <v>42</v>
      </c>
      <c r="Y64" s="1" t="s">
        <v>42</v>
      </c>
      <c r="Z64" s="1" t="s">
        <v>77</v>
      </c>
      <c r="AA64" s="8" t="str">
        <f>IFERROR(VLOOKUP(A64,Sheet3!B:H,6,false),VLOOKUP(J64,Sheet2!A:C,2,false))</f>
        <v>https://assets.roomstogo.com/product/tuft-needle-stitch-tn51-twin-xl-mattress_50009882_image-item</v>
      </c>
      <c r="AB64" s="8" t="str">
        <f>IFERROR(VLOOKUP(A64,Sheet3!B:H,7,false),VLOOKUP(J64,Sheet2!A:C,3,false))</f>
        <v>https://assets.roomstogo.com/product/tuft-needle-stitch-tn51-twin-xl-mattress_50009882_alt-image-1</v>
      </c>
      <c r="AC64" s="8" t="str">
        <f t="shared" si="2"/>
        <v>https://rtg-275.myshopify.com/products/TUFT-NEEDLE-STITCH-TN5-1</v>
      </c>
      <c r="AD64" s="8" t="str">
        <f>vlookup(L64,'Python sheet'!$E$2:$F$373,2,0)</f>
        <v>https://rtg-275.myshopify.com/products/TUFT-NEEDLE-STITCH-TN5-1?variant=47915106173066</v>
      </c>
    </row>
    <row r="65">
      <c r="A65" s="4">
        <v>5.0109909E7</v>
      </c>
      <c r="B65" s="5"/>
      <c r="C65" s="5"/>
      <c r="D65" s="5"/>
      <c r="E65" s="5"/>
      <c r="F65" s="5"/>
      <c r="G65" s="5"/>
      <c r="H65" s="5"/>
      <c r="I65" s="5"/>
      <c r="J65" s="1" t="s">
        <v>117</v>
      </c>
      <c r="K65" s="1" t="s">
        <v>985</v>
      </c>
      <c r="L65" s="1" t="str">
        <f t="shared" si="1"/>
        <v>TUFT-NEEDLE-STITCH-TN9-1Twin</v>
      </c>
      <c r="M65" s="1" t="s">
        <v>270</v>
      </c>
      <c r="N65" s="6">
        <v>1497.0</v>
      </c>
      <c r="O65" s="6">
        <v>1999.0</v>
      </c>
      <c r="P65" s="1" t="s">
        <v>114</v>
      </c>
      <c r="Q65" s="1" t="s">
        <v>54</v>
      </c>
      <c r="R65" s="7"/>
      <c r="S65" s="1" t="s">
        <v>31</v>
      </c>
      <c r="T65" s="1" t="s">
        <v>242</v>
      </c>
      <c r="U65" s="1" t="s">
        <v>41</v>
      </c>
      <c r="V65" s="1" t="s">
        <v>50</v>
      </c>
      <c r="W65" s="1" t="s">
        <v>49</v>
      </c>
      <c r="X65" s="1" t="s">
        <v>42</v>
      </c>
      <c r="Y65" s="1" t="s">
        <v>42</v>
      </c>
      <c r="Z65" s="1" t="s">
        <v>51</v>
      </c>
      <c r="AA65" s="8" t="str">
        <f>IFERROR(VLOOKUP(A65,Sheet3!B:H,6,false),VLOOKUP(J65,Sheet2!A:C,2,false))</f>
        <v>https://assets.roomstogo.com/product/tuft-needle-stitch-tn91-twin-xl-mattress_50009907_image-item</v>
      </c>
      <c r="AB65" s="8" t="str">
        <f>IFERROR(VLOOKUP(A65,Sheet3!B:H,7,false),VLOOKUP(J65,Sheet2!A:C,3,false))</f>
        <v>https://assets.roomstogo.com/product/tuft-needle-stitch-tn91-twin-xl-mattress_50009907_alt-image-1</v>
      </c>
      <c r="AC65" s="8" t="str">
        <f t="shared" si="2"/>
        <v>https://rtg-275.myshopify.com/products/TUFT-NEEDLE-STITCH-TN9-1</v>
      </c>
      <c r="AD65" s="8" t="str">
        <f>vlookup(L65,'Python sheet'!$E$2:$F$373,2,0)</f>
        <v>https://rtg-275.myshopify.com/products/TUFT-NEEDLE-STITCH-TN9-1?variant=47915106599050</v>
      </c>
    </row>
    <row r="66">
      <c r="A66" s="4">
        <v>5.0109923E7</v>
      </c>
      <c r="B66" s="5"/>
      <c r="C66" s="5"/>
      <c r="D66" s="5"/>
      <c r="E66" s="5"/>
      <c r="F66" s="5"/>
      <c r="G66" s="5"/>
      <c r="H66" s="5"/>
      <c r="I66" s="5"/>
      <c r="J66" s="1" t="s">
        <v>271</v>
      </c>
      <c r="K66" s="1" t="s">
        <v>1008</v>
      </c>
      <c r="L66" s="1" t="str">
        <f t="shared" si="1"/>
        <v>TUFT-NEEDLE-KIDS-GLEETwin</v>
      </c>
      <c r="M66" s="1" t="s">
        <v>272</v>
      </c>
      <c r="N66" s="6">
        <v>477.0</v>
      </c>
      <c r="O66" s="6">
        <v>499.0</v>
      </c>
      <c r="P66" s="1" t="s">
        <v>114</v>
      </c>
      <c r="Q66" s="1" t="s">
        <v>54</v>
      </c>
      <c r="R66" s="1" t="s">
        <v>273</v>
      </c>
      <c r="S66" s="1" t="s">
        <v>134</v>
      </c>
      <c r="T66" s="1" t="s">
        <v>242</v>
      </c>
      <c r="U66" s="1" t="s">
        <v>33</v>
      </c>
      <c r="V66" s="1" t="s">
        <v>36</v>
      </c>
      <c r="W66" s="1" t="s">
        <v>35</v>
      </c>
      <c r="X66" s="1" t="s">
        <v>36</v>
      </c>
      <c r="Y66" s="1" t="s">
        <v>36</v>
      </c>
      <c r="Z66" s="1" t="s">
        <v>37</v>
      </c>
      <c r="AA66" s="8" t="str">
        <f>IFERROR(VLOOKUP(A66,Sheet3!B:H,6,false),VLOOKUP(J66,Sheet2!A:C,2,false))</f>
        <v>https://assets.roomstogo.com/product/tuft-needle-kids-glee-twin-mattress_50109923_image-item</v>
      </c>
      <c r="AB66" s="8" t="str">
        <f>IFERROR(VLOOKUP(A66,Sheet3!B:H,7,false),VLOOKUP(J66,Sheet2!A:C,3,false))</f>
        <v>https://assets.roomstogo.com/product/tuft-needle-kids-glee-twin-mattress_50109923_alt-image-1</v>
      </c>
      <c r="AC66" s="8" t="str">
        <f t="shared" si="2"/>
        <v>https://rtg-275.myshopify.com/products/TUFT-NEEDLE-KIDS-GLEE</v>
      </c>
      <c r="AD66" s="8" t="str">
        <f>vlookup(L66,'Python sheet'!$E$2:$F$373,2,0)</f>
        <v>https://rtg-275.myshopify.com/products/TUFT-NEEDLE-KIDS-GLEE?variant=47915112824970</v>
      </c>
    </row>
    <row r="67">
      <c r="A67" s="4">
        <v>5.0109935E7</v>
      </c>
      <c r="B67" s="9">
        <v>1.0</v>
      </c>
      <c r="C67" s="9">
        <v>5.0</v>
      </c>
      <c r="D67" s="2" t="s">
        <v>274</v>
      </c>
      <c r="E67" s="2" t="s">
        <v>44</v>
      </c>
      <c r="F67" s="2" t="s">
        <v>275</v>
      </c>
      <c r="G67" s="9">
        <v>9.0</v>
      </c>
      <c r="H67" s="9">
        <v>4.89</v>
      </c>
      <c r="I67" s="9">
        <v>8.0</v>
      </c>
      <c r="J67" s="1" t="s">
        <v>119</v>
      </c>
      <c r="K67" s="1" t="s">
        <v>986</v>
      </c>
      <c r="L67" s="1" t="str">
        <f t="shared" si="1"/>
        <v>TUFT-NEEDLE-TN1Twin</v>
      </c>
      <c r="M67" s="1" t="s">
        <v>276</v>
      </c>
      <c r="N67" s="6">
        <v>527.0</v>
      </c>
      <c r="O67" s="6">
        <v>649.0</v>
      </c>
      <c r="P67" s="1" t="s">
        <v>114</v>
      </c>
      <c r="Q67" s="1" t="s">
        <v>54</v>
      </c>
      <c r="R67" s="1" t="s">
        <v>121</v>
      </c>
      <c r="S67" s="1" t="s">
        <v>31</v>
      </c>
      <c r="T67" s="1" t="s">
        <v>242</v>
      </c>
      <c r="U67" s="1" t="s">
        <v>33</v>
      </c>
      <c r="V67" s="1" t="s">
        <v>36</v>
      </c>
      <c r="W67" s="1" t="s">
        <v>76</v>
      </c>
      <c r="X67" s="1" t="s">
        <v>36</v>
      </c>
      <c r="Y67" s="1" t="s">
        <v>36</v>
      </c>
      <c r="Z67" s="1" t="s">
        <v>77</v>
      </c>
      <c r="AA67" s="8" t="str">
        <f>IFERROR(VLOOKUP(A67,Sheet3!B:H,6,false),VLOOKUP(J67,Sheet2!A:C,2,false))</f>
        <v>https://assets.roomstogo.com/product/tuft-needle-tn1-twin-xl-mattress_50009933_image-item</v>
      </c>
      <c r="AB67" s="8" t="str">
        <f>IFERROR(VLOOKUP(A67,Sheet3!B:H,7,false),VLOOKUP(J67,Sheet2!A:C,3,false))</f>
        <v>https://assets.roomstogo.com/product/tuft-needle-tn1-twin-xl-mattress_50009933_alt-image-1</v>
      </c>
      <c r="AC67" s="8" t="str">
        <f t="shared" si="2"/>
        <v>https://rtg-275.myshopify.com/products/TUFT-NEEDLE-TN1</v>
      </c>
      <c r="AD67" s="8" t="str">
        <f>vlookup(L67,'Python sheet'!$E$2:$F$373,2,0)</f>
        <v>https://rtg-275.myshopify.com/products/TUFT-NEEDLE-TN1?variant=47915106861194</v>
      </c>
    </row>
    <row r="68">
      <c r="A68" s="4">
        <v>5.0110572E7</v>
      </c>
      <c r="B68" s="9">
        <v>1.0</v>
      </c>
      <c r="C68" s="9">
        <v>5.0</v>
      </c>
      <c r="D68" s="2" t="s">
        <v>277</v>
      </c>
      <c r="E68" s="2" t="s">
        <v>44</v>
      </c>
      <c r="F68" s="2" t="s">
        <v>278</v>
      </c>
      <c r="G68" s="9">
        <v>8.0</v>
      </c>
      <c r="H68" s="9">
        <v>4.88</v>
      </c>
      <c r="I68" s="9">
        <v>7.0</v>
      </c>
      <c r="J68" s="1" t="s">
        <v>122</v>
      </c>
      <c r="K68" s="1" t="s">
        <v>987</v>
      </c>
      <c r="L68" s="1" t="str">
        <f t="shared" si="1"/>
        <v>MOLECULE-CORETwin</v>
      </c>
      <c r="M68" s="1" t="s">
        <v>279</v>
      </c>
      <c r="N68" s="6">
        <v>397.0</v>
      </c>
      <c r="O68" s="6">
        <v>899.0</v>
      </c>
      <c r="P68" s="1" t="s">
        <v>124</v>
      </c>
      <c r="Q68" s="7"/>
      <c r="R68" s="7"/>
      <c r="S68" s="1" t="s">
        <v>31</v>
      </c>
      <c r="T68" s="1" t="s">
        <v>242</v>
      </c>
      <c r="U68" s="1" t="s">
        <v>33</v>
      </c>
      <c r="V68" s="1" t="s">
        <v>34</v>
      </c>
      <c r="W68" s="1" t="s">
        <v>35</v>
      </c>
      <c r="X68" s="1" t="s">
        <v>34</v>
      </c>
      <c r="Y68" s="1" t="s">
        <v>34</v>
      </c>
      <c r="Z68" s="1" t="s">
        <v>37</v>
      </c>
      <c r="AA68" s="8" t="str">
        <f>IFERROR(VLOOKUP(A68,Sheet3!B:H,6,false),VLOOKUP(J68,Sheet2!A:C,2,false))</f>
        <v>https://assets.roomstogo.com/product/molecule-core-twin-xl-mattress_50010570_image-item</v>
      </c>
      <c r="AB68" s="8" t="str">
        <f>IFERROR(VLOOKUP(A68,Sheet3!B:H,7,false),VLOOKUP(J68,Sheet2!A:C,3,false))</f>
        <v>https://assets.roomstogo.com/product/molecule-core-twin-xl-mattress_50010570_alt-image-1</v>
      </c>
      <c r="AC68" s="8" t="str">
        <f t="shared" si="2"/>
        <v>https://rtg-275.myshopify.com/products/MOLECULE-CORE</v>
      </c>
      <c r="AD68" s="8" t="str">
        <f>vlookup(L68,'Python sheet'!$E$2:$F$373,2,0)</f>
        <v>https://rtg-275.myshopify.com/products/MOLECULE-CORE?variant=47915107123338</v>
      </c>
    </row>
    <row r="69">
      <c r="A69" s="4">
        <v>5.0110673E7</v>
      </c>
      <c r="B69" s="9">
        <v>6.0</v>
      </c>
      <c r="C69" s="9">
        <v>4.17</v>
      </c>
      <c r="D69" s="2" t="s">
        <v>125</v>
      </c>
      <c r="E69" s="2" t="s">
        <v>44</v>
      </c>
      <c r="F69" s="2" t="s">
        <v>126</v>
      </c>
      <c r="G69" s="9">
        <v>192.0</v>
      </c>
      <c r="H69" s="9">
        <v>4.4</v>
      </c>
      <c r="I69" s="9">
        <v>186.0</v>
      </c>
      <c r="J69" s="1" t="s">
        <v>127</v>
      </c>
      <c r="K69" s="1" t="s">
        <v>988</v>
      </c>
      <c r="L69" s="1" t="str">
        <f t="shared" si="1"/>
        <v>BROAD-PEAK-MEDIUM-HYBRIDTwin</v>
      </c>
      <c r="M69" s="1" t="s">
        <v>280</v>
      </c>
      <c r="N69" s="6">
        <v>595.0</v>
      </c>
      <c r="O69" s="6">
        <v>799.99</v>
      </c>
      <c r="P69" s="1" t="s">
        <v>129</v>
      </c>
      <c r="Q69" s="1" t="s">
        <v>54</v>
      </c>
      <c r="R69" s="1" t="s">
        <v>130</v>
      </c>
      <c r="S69" s="1" t="s">
        <v>31</v>
      </c>
      <c r="T69" s="1" t="s">
        <v>242</v>
      </c>
      <c r="U69" s="1" t="s">
        <v>41</v>
      </c>
      <c r="V69" s="1" t="s">
        <v>34</v>
      </c>
      <c r="W69" s="1" t="s">
        <v>35</v>
      </c>
      <c r="X69" s="1" t="s">
        <v>34</v>
      </c>
      <c r="Y69" s="1" t="s">
        <v>34</v>
      </c>
      <c r="Z69" s="1" t="s">
        <v>37</v>
      </c>
      <c r="AA69" s="8" t="str">
        <f>IFERROR(VLOOKUP(A69,Sheet3!B:H,6,false),VLOOKUP(J69,Sheet2!A:C,2,false))</f>
        <v>https://assets.roomstogo.com/product/beautyrest-select-broad-peak-medium-hybrid-twin-xl-mattress_50010671_image-item</v>
      </c>
      <c r="AB69" s="8" t="str">
        <f>IFERROR(VLOOKUP(A69,Sheet3!B:H,7,false),VLOOKUP(J69,Sheet2!A:C,3,false))</f>
        <v>https://assets.roomstogo.com/product/beautyrest-select-broad-peak-medium-hybrid-twin-xl-mattress_50010671_alt-image-1</v>
      </c>
      <c r="AC69" s="8" t="str">
        <f t="shared" si="2"/>
        <v>https://rtg-275.myshopify.com/products/BROAD-PEAK-MEDIUM-HYBRID</v>
      </c>
      <c r="AD69" s="8" t="str">
        <f>vlookup(L69,'Python sheet'!$E$2:$F$373,2,0)</f>
        <v>https://rtg-275.myshopify.com/products/BROAD-PEAK-MEDIUM-HYBRID?variant=47915107319946</v>
      </c>
    </row>
    <row r="70">
      <c r="A70" s="4">
        <v>5.0110938E7</v>
      </c>
      <c r="B70" s="9">
        <v>7.0</v>
      </c>
      <c r="C70" s="9">
        <v>4.0</v>
      </c>
      <c r="D70" s="2" t="s">
        <v>281</v>
      </c>
      <c r="E70" s="2" t="s">
        <v>44</v>
      </c>
      <c r="F70" s="2" t="s">
        <v>282</v>
      </c>
      <c r="G70" s="9">
        <v>8.0</v>
      </c>
      <c r="H70" s="9">
        <v>3.75</v>
      </c>
      <c r="I70" s="9">
        <v>1.0</v>
      </c>
      <c r="J70" s="1" t="s">
        <v>283</v>
      </c>
      <c r="K70" s="1" t="s">
        <v>1009</v>
      </c>
      <c r="L70" s="1" t="str">
        <f t="shared" si="1"/>
        <v>SIMMONS-KIDS-DELIGHTTwin</v>
      </c>
      <c r="M70" s="1" t="s">
        <v>284</v>
      </c>
      <c r="N70" s="6">
        <v>177.0</v>
      </c>
      <c r="O70" s="6">
        <v>199.0</v>
      </c>
      <c r="P70" s="1" t="s">
        <v>285</v>
      </c>
      <c r="Q70" s="1" t="s">
        <v>54</v>
      </c>
      <c r="R70" s="1" t="s">
        <v>286</v>
      </c>
      <c r="S70" s="1" t="s">
        <v>134</v>
      </c>
      <c r="T70" s="1" t="s">
        <v>242</v>
      </c>
      <c r="U70" s="1" t="s">
        <v>33</v>
      </c>
      <c r="V70" s="1" t="s">
        <v>251</v>
      </c>
      <c r="W70" s="1" t="s">
        <v>76</v>
      </c>
      <c r="X70" s="1" t="s">
        <v>36</v>
      </c>
      <c r="Y70" s="1" t="s">
        <v>36</v>
      </c>
      <c r="Z70" s="1" t="s">
        <v>77</v>
      </c>
      <c r="AA70" s="8" t="str">
        <f>IFERROR(VLOOKUP(A70,Sheet3!B:H,6,false),VLOOKUP(J70,Sheet2!A:C,2,false))</f>
        <v>https://assets.roomstogo.com/product/simmons-kids-delight-twin-mattress_50110938_image-item</v>
      </c>
      <c r="AB70" s="8" t="str">
        <f>IFERROR(VLOOKUP(A70,Sheet3!B:H,7,false),VLOOKUP(J70,Sheet2!A:C,3,false))</f>
        <v>https://assets.roomstogo.com/product/simmons-kids-delight-twin-mattress_50110938_alt-image-1</v>
      </c>
      <c r="AC70" s="8" t="str">
        <f t="shared" si="2"/>
        <v>https://rtg-275.myshopify.com/products/SIMMONS-KIDS-DELIGHT</v>
      </c>
      <c r="AD70" s="8" t="str">
        <f>vlookup(L70,'Python sheet'!$E$2:$F$373,2,0)</f>
        <v>https://rtg-275.myshopify.com/products/SIMMONS-KIDS-DELIGHT?variant=47915112890506</v>
      </c>
    </row>
    <row r="71">
      <c r="A71" s="4">
        <v>5.011094E7</v>
      </c>
      <c r="B71" s="9">
        <v>1.0</v>
      </c>
      <c r="C71" s="9">
        <v>5.0</v>
      </c>
      <c r="D71" s="2" t="s">
        <v>287</v>
      </c>
      <c r="E71" s="2" t="s">
        <v>44</v>
      </c>
      <c r="F71" s="2" t="s">
        <v>288</v>
      </c>
      <c r="G71" s="9">
        <v>3.0</v>
      </c>
      <c r="H71" s="9">
        <v>4.33</v>
      </c>
      <c r="I71" s="9">
        <v>2.0</v>
      </c>
      <c r="J71" s="1" t="s">
        <v>289</v>
      </c>
      <c r="K71" s="1" t="s">
        <v>1010</v>
      </c>
      <c r="L71" s="1" t="str">
        <f t="shared" si="1"/>
        <v>SIMMONS-KIDS-GLADTwin</v>
      </c>
      <c r="M71" s="1" t="s">
        <v>290</v>
      </c>
      <c r="N71" s="6">
        <v>277.0</v>
      </c>
      <c r="O71" s="6">
        <v>299.0</v>
      </c>
      <c r="P71" s="1" t="s">
        <v>285</v>
      </c>
      <c r="Q71" s="1" t="s">
        <v>54</v>
      </c>
      <c r="R71" s="1" t="s">
        <v>291</v>
      </c>
      <c r="S71" s="1" t="s">
        <v>134</v>
      </c>
      <c r="T71" s="1" t="s">
        <v>242</v>
      </c>
      <c r="U71" s="1" t="s">
        <v>33</v>
      </c>
      <c r="V71" s="1" t="s">
        <v>34</v>
      </c>
      <c r="W71" s="1" t="s">
        <v>35</v>
      </c>
      <c r="X71" s="1" t="s">
        <v>36</v>
      </c>
      <c r="Y71" s="1" t="s">
        <v>36</v>
      </c>
      <c r="Z71" s="1" t="s">
        <v>37</v>
      </c>
      <c r="AA71" s="8" t="str">
        <f>IFERROR(VLOOKUP(A71,Sheet3!B:H,6,false),VLOOKUP(J71,Sheet2!A:C,2,false))</f>
        <v>https://assets.roomstogo.com/product/simmons-kids-glad-twin-mattress_50110940_image-item</v>
      </c>
      <c r="AB71" s="8" t="str">
        <f>IFERROR(VLOOKUP(A71,Sheet3!B:H,7,false),VLOOKUP(J71,Sheet2!A:C,3,false))</f>
        <v>https://assets.roomstogo.com/product/simmons-kids-glad-twin-mattress_50110940_alt-image-1</v>
      </c>
      <c r="AC71" s="8" t="str">
        <f t="shared" si="2"/>
        <v>https://rtg-275.myshopify.com/products/SIMMONS-KIDS-GLAD</v>
      </c>
      <c r="AD71" s="8" t="str">
        <f>vlookup(L71,'Python sheet'!$E$2:$F$373,2,0)</f>
        <v>https://rtg-275.myshopify.com/products/SIMMONS-KIDS-GLAD?variant=47915112956042</v>
      </c>
    </row>
    <row r="72">
      <c r="A72" s="4">
        <v>5.0110952E7</v>
      </c>
      <c r="B72" s="9">
        <v>3.0</v>
      </c>
      <c r="C72" s="9">
        <v>3.67</v>
      </c>
      <c r="D72" s="2" t="s">
        <v>292</v>
      </c>
      <c r="E72" s="2" t="s">
        <v>44</v>
      </c>
      <c r="F72" s="2" t="s">
        <v>293</v>
      </c>
      <c r="G72" s="9">
        <v>9.0</v>
      </c>
      <c r="H72" s="9">
        <v>4.22</v>
      </c>
      <c r="I72" s="9">
        <v>6.0</v>
      </c>
      <c r="J72" s="1" t="s">
        <v>294</v>
      </c>
      <c r="K72" s="1" t="s">
        <v>1011</v>
      </c>
      <c r="L72" s="1" t="str">
        <f t="shared" si="1"/>
        <v>SIMMONS-KIDS-HAPPYTwin</v>
      </c>
      <c r="M72" s="1" t="s">
        <v>295</v>
      </c>
      <c r="N72" s="6">
        <v>327.0</v>
      </c>
      <c r="O72" s="6">
        <v>349.0</v>
      </c>
      <c r="P72" s="1" t="s">
        <v>285</v>
      </c>
      <c r="Q72" s="1" t="s">
        <v>54</v>
      </c>
      <c r="R72" s="1" t="s">
        <v>296</v>
      </c>
      <c r="S72" s="1" t="s">
        <v>134</v>
      </c>
      <c r="T72" s="1" t="s">
        <v>242</v>
      </c>
      <c r="U72" s="1" t="s">
        <v>59</v>
      </c>
      <c r="V72" s="1" t="s">
        <v>34</v>
      </c>
      <c r="W72" s="1" t="s">
        <v>76</v>
      </c>
      <c r="X72" s="1" t="s">
        <v>36</v>
      </c>
      <c r="Y72" s="1" t="s">
        <v>34</v>
      </c>
      <c r="Z72" s="1" t="s">
        <v>77</v>
      </c>
      <c r="AA72" s="8" t="str">
        <f>IFERROR(VLOOKUP(A72,Sheet3!B:H,6,false),VLOOKUP(J72,Sheet2!A:C,2,false))</f>
        <v>https://assets.roomstogo.com/product/simmons-kids-happy-twin-mattress_50110952_image-item</v>
      </c>
      <c r="AB72" s="8" t="str">
        <f>IFERROR(VLOOKUP(A72,Sheet3!B:H,7,false),VLOOKUP(J72,Sheet2!A:C,3,false))</f>
        <v>https://assets.roomstogo.com/product/simmons-kids-happy-twin-mattress_50110952_alt-image-1</v>
      </c>
      <c r="AC72" s="8" t="str">
        <f t="shared" si="2"/>
        <v>https://rtg-275.myshopify.com/products/SIMMONS-KIDS-HAPPY</v>
      </c>
      <c r="AD72" s="8" t="str">
        <f>vlookup(L72,'Python sheet'!$E$2:$F$373,2,0)</f>
        <v>https://rtg-275.myshopify.com/products/SIMMONS-KIDS-HAPPY?variant=47915113021578</v>
      </c>
    </row>
    <row r="73">
      <c r="A73" s="4">
        <v>5.0111055E7</v>
      </c>
      <c r="B73" s="5"/>
      <c r="C73" s="5"/>
      <c r="D73" s="5"/>
      <c r="E73" s="5"/>
      <c r="F73" s="5"/>
      <c r="G73" s="5"/>
      <c r="H73" s="5"/>
      <c r="I73" s="5"/>
      <c r="J73" s="1" t="s">
        <v>131</v>
      </c>
      <c r="K73" s="1" t="s">
        <v>989</v>
      </c>
      <c r="L73" s="1" t="str">
        <f t="shared" si="1"/>
        <v>BAY-DREAMERTwin</v>
      </c>
      <c r="M73" s="1" t="s">
        <v>297</v>
      </c>
      <c r="N73" s="6">
        <v>345.0</v>
      </c>
      <c r="O73" s="6">
        <v>449.99</v>
      </c>
      <c r="P73" s="1" t="s">
        <v>133</v>
      </c>
      <c r="Q73" s="1" t="s">
        <v>54</v>
      </c>
      <c r="R73" s="1" t="s">
        <v>298</v>
      </c>
      <c r="S73" s="1" t="s">
        <v>134</v>
      </c>
      <c r="T73" s="1" t="s">
        <v>242</v>
      </c>
      <c r="U73" s="1" t="s">
        <v>59</v>
      </c>
      <c r="V73" s="1" t="s">
        <v>36</v>
      </c>
      <c r="W73" s="1" t="s">
        <v>49</v>
      </c>
      <c r="X73" s="1" t="s">
        <v>42</v>
      </c>
      <c r="Y73" s="1" t="s">
        <v>36</v>
      </c>
      <c r="Z73" s="1" t="s">
        <v>51</v>
      </c>
      <c r="AA73" s="8" t="str">
        <f>IFERROR(VLOOKUP(A73,Sheet3!B:H,6,false),VLOOKUP(J73,Sheet2!A:C,2,false))</f>
        <v>https://assets.roomstogo.com/product/tommy-bahama-bay-dreamer-twin-mattress_50111055_image-item</v>
      </c>
      <c r="AB73" s="8" t="str">
        <f>IFERROR(VLOOKUP(A73,Sheet3!B:H,7,false),VLOOKUP(J73,Sheet2!A:C,3,false))</f>
        <v>https://assets.roomstogo.com/product/tommy-bahama-bay-dreamer-twin-mattress_50111055_alt-image-1</v>
      </c>
      <c r="AC73" s="8" t="str">
        <f t="shared" si="2"/>
        <v>https://rtg-275.myshopify.com/products/BAY-DREAMER</v>
      </c>
      <c r="AD73" s="8" t="str">
        <f>vlookup(L73,'Python sheet'!$E$2:$F$373,2,0)</f>
        <v>https://rtg-275.myshopify.com/products/BAY-DREAMER?variant=47915107549322</v>
      </c>
    </row>
    <row r="74">
      <c r="A74" s="4">
        <v>5.0111067E7</v>
      </c>
      <c r="B74" s="9">
        <v>3.0</v>
      </c>
      <c r="C74" s="9">
        <v>4.67</v>
      </c>
      <c r="D74" s="2" t="s">
        <v>299</v>
      </c>
      <c r="E74" s="2" t="s">
        <v>44</v>
      </c>
      <c r="F74" s="2" t="s">
        <v>300</v>
      </c>
      <c r="G74" s="9">
        <v>8.0</v>
      </c>
      <c r="H74" s="9">
        <v>4.75</v>
      </c>
      <c r="I74" s="9">
        <v>5.0</v>
      </c>
      <c r="J74" s="1" t="s">
        <v>135</v>
      </c>
      <c r="K74" s="1" t="s">
        <v>990</v>
      </c>
      <c r="L74" s="1" t="str">
        <f t="shared" si="1"/>
        <v>MAKE-WAVESTwin</v>
      </c>
      <c r="M74" s="1" t="s">
        <v>301</v>
      </c>
      <c r="N74" s="6">
        <v>395.0</v>
      </c>
      <c r="O74" s="6">
        <v>499.99</v>
      </c>
      <c r="P74" s="1" t="s">
        <v>133</v>
      </c>
      <c r="Q74" s="1" t="s">
        <v>54</v>
      </c>
      <c r="R74" s="1" t="s">
        <v>302</v>
      </c>
      <c r="S74" s="1" t="s">
        <v>134</v>
      </c>
      <c r="T74" s="1" t="s">
        <v>242</v>
      </c>
      <c r="U74" s="1" t="s">
        <v>41</v>
      </c>
      <c r="V74" s="1" t="s">
        <v>36</v>
      </c>
      <c r="W74" s="1" t="s">
        <v>76</v>
      </c>
      <c r="X74" s="1" t="s">
        <v>42</v>
      </c>
      <c r="Y74" s="1" t="s">
        <v>36</v>
      </c>
      <c r="Z74" s="1" t="s">
        <v>77</v>
      </c>
      <c r="AA74" s="8" t="str">
        <f>IFERROR(VLOOKUP(A74,Sheet3!B:H,6,false),VLOOKUP(J74,Sheet2!A:C,2,false))</f>
        <v>https://assets.roomstogo.com/product/tommy-bahama-make-waves-twin-mattress_50111067_image-item</v>
      </c>
      <c r="AB74" s="8" t="str">
        <f>IFERROR(VLOOKUP(A74,Sheet3!B:H,7,false),VLOOKUP(J74,Sheet2!A:C,3,false))</f>
        <v>https://assets.roomstogo.com/product/tommy-bahama-make-waves-twin-mattress_50111067_alt-image-1</v>
      </c>
      <c r="AC74" s="8" t="str">
        <f t="shared" si="2"/>
        <v>https://rtg-275.myshopify.com/products/MAKE-WAVES</v>
      </c>
      <c r="AD74" s="8" t="str">
        <f>vlookup(L74,'Python sheet'!$E$2:$F$373,2,0)</f>
        <v>https://rtg-275.myshopify.com/products/MAKE-WAVES?variant=47915107745930</v>
      </c>
    </row>
    <row r="75">
      <c r="A75" s="4">
        <v>5.0111079E7</v>
      </c>
      <c r="B75" s="5"/>
      <c r="C75" s="5"/>
      <c r="D75" s="5"/>
      <c r="E75" s="5"/>
      <c r="F75" s="5"/>
      <c r="G75" s="5"/>
      <c r="H75" s="5"/>
      <c r="I75" s="5"/>
      <c r="J75" s="1" t="s">
        <v>137</v>
      </c>
      <c r="K75" s="1" t="s">
        <v>991</v>
      </c>
      <c r="L75" s="1" t="str">
        <f t="shared" si="1"/>
        <v>SEASIDE-SERENITYTwin</v>
      </c>
      <c r="M75" s="1" t="s">
        <v>303</v>
      </c>
      <c r="N75" s="6">
        <v>495.0</v>
      </c>
      <c r="O75" s="6">
        <v>599.99</v>
      </c>
      <c r="P75" s="1" t="s">
        <v>133</v>
      </c>
      <c r="Q75" s="1" t="s">
        <v>54</v>
      </c>
      <c r="R75" s="1" t="s">
        <v>304</v>
      </c>
      <c r="S75" s="1" t="s">
        <v>134</v>
      </c>
      <c r="T75" s="1" t="s">
        <v>242</v>
      </c>
      <c r="U75" s="1" t="s">
        <v>59</v>
      </c>
      <c r="V75" s="1" t="s">
        <v>36</v>
      </c>
      <c r="W75" s="1" t="s">
        <v>35</v>
      </c>
      <c r="X75" s="1" t="s">
        <v>42</v>
      </c>
      <c r="Y75" s="1" t="s">
        <v>36</v>
      </c>
      <c r="Z75" s="1" t="s">
        <v>37</v>
      </c>
      <c r="AA75" s="8" t="str">
        <f>IFERROR(VLOOKUP(A75,Sheet3!B:H,6,false),VLOOKUP(J75,Sheet2!A:C,2,false))</f>
        <v>https://assets.roomstogo.com/product/tommy-bahama-seaside-serenity-twin-mattress_50111079_image-item</v>
      </c>
      <c r="AB75" s="8" t="str">
        <f>IFERROR(VLOOKUP(A75,Sheet3!B:H,7,false),VLOOKUP(J75,Sheet2!A:C,3,false))</f>
        <v>https://assets.roomstogo.com/product/tommy-bahama-seaside-serenity-twin-mattress_50111079_alt-image-1</v>
      </c>
      <c r="AC75" s="8" t="str">
        <f t="shared" si="2"/>
        <v>https://rtg-275.myshopify.com/products/SEASIDE-SERENITY</v>
      </c>
      <c r="AD75" s="8" t="str">
        <f>vlookup(L75,'Python sheet'!$E$2:$F$373,2,0)</f>
        <v>https://rtg-275.myshopify.com/products/SEASIDE-SERENITY?variant=47915107909770</v>
      </c>
    </row>
    <row r="76">
      <c r="A76" s="4">
        <v>5.0111144E7</v>
      </c>
      <c r="B76" s="9">
        <v>4.0</v>
      </c>
      <c r="C76" s="9">
        <v>4.5</v>
      </c>
      <c r="D76" s="2" t="s">
        <v>305</v>
      </c>
      <c r="E76" s="2" t="s">
        <v>44</v>
      </c>
      <c r="F76" s="2" t="s">
        <v>306</v>
      </c>
      <c r="G76" s="9">
        <v>7.0</v>
      </c>
      <c r="H76" s="9">
        <v>3.86</v>
      </c>
      <c r="I76" s="9">
        <v>3.0</v>
      </c>
      <c r="J76" s="1" t="s">
        <v>307</v>
      </c>
      <c r="K76" s="1" t="s">
        <v>307</v>
      </c>
      <c r="L76" s="1" t="str">
        <f t="shared" si="1"/>
        <v>ALDERTwin</v>
      </c>
      <c r="M76" s="1" t="s">
        <v>308</v>
      </c>
      <c r="N76" s="6">
        <v>99.0</v>
      </c>
      <c r="O76" s="6">
        <v>199.99</v>
      </c>
      <c r="P76" s="1" t="s">
        <v>309</v>
      </c>
      <c r="Q76" s="1" t="s">
        <v>54</v>
      </c>
      <c r="R76" s="1" t="s">
        <v>310</v>
      </c>
      <c r="S76" s="1" t="s">
        <v>134</v>
      </c>
      <c r="T76" s="1" t="s">
        <v>242</v>
      </c>
      <c r="U76" s="1" t="s">
        <v>33</v>
      </c>
      <c r="V76" s="1" t="s">
        <v>36</v>
      </c>
      <c r="W76" s="1" t="s">
        <v>35</v>
      </c>
      <c r="X76" s="1" t="s">
        <v>251</v>
      </c>
      <c r="Y76" s="1" t="s">
        <v>251</v>
      </c>
      <c r="Z76" s="1" t="s">
        <v>37</v>
      </c>
      <c r="AA76" s="8" t="str">
        <f>IFERROR(VLOOKUP(A76,Sheet3!B:H,6,false),VLOOKUP(J76,Sheet2!A:C,2,false))</f>
        <v>https://assets.roomstogo.com/product/therapedic-alder-twin-mattress_50111144_image-item</v>
      </c>
      <c r="AB76" s="8" t="str">
        <f>IFERROR(VLOOKUP(A76,Sheet3!B:H,7,false),VLOOKUP(J76,Sheet2!A:C,3,false))</f>
        <v>https://assets.roomstogo.com/product/therapedic-alder-twin-mattress_50111144_alt-image-1</v>
      </c>
      <c r="AC76" s="8" t="str">
        <f t="shared" si="2"/>
        <v>https://rtg-275.myshopify.com/products/ALDER</v>
      </c>
      <c r="AD76" s="8" t="str">
        <f>vlookup(L76,'Python sheet'!$E$2:$F$373,2,0)</f>
        <v>https://rtg-275.myshopify.com/products/ALDER?variant=47915113119882</v>
      </c>
    </row>
    <row r="77">
      <c r="A77" s="4">
        <v>5.0111168E7</v>
      </c>
      <c r="B77" s="9">
        <v>2.0</v>
      </c>
      <c r="C77" s="9">
        <v>5.0</v>
      </c>
      <c r="D77" s="2" t="s">
        <v>311</v>
      </c>
      <c r="E77" s="2" t="s">
        <v>44</v>
      </c>
      <c r="F77" s="2" t="s">
        <v>312</v>
      </c>
      <c r="G77" s="9">
        <v>5.0</v>
      </c>
      <c r="H77" s="9">
        <v>5.0</v>
      </c>
      <c r="I77" s="9">
        <v>3.0</v>
      </c>
      <c r="J77" s="1" t="s">
        <v>313</v>
      </c>
      <c r="K77" s="1" t="s">
        <v>313</v>
      </c>
      <c r="L77" s="1" t="str">
        <f t="shared" si="1"/>
        <v>CREEKMORETwin</v>
      </c>
      <c r="M77" s="1" t="s">
        <v>314</v>
      </c>
      <c r="N77" s="6">
        <v>377.0</v>
      </c>
      <c r="O77" s="6">
        <v>399.99</v>
      </c>
      <c r="P77" s="1" t="s">
        <v>309</v>
      </c>
      <c r="Q77" s="1" t="s">
        <v>54</v>
      </c>
      <c r="R77" s="1" t="s">
        <v>315</v>
      </c>
      <c r="S77" s="1" t="s">
        <v>134</v>
      </c>
      <c r="T77" s="1" t="s">
        <v>242</v>
      </c>
      <c r="U77" s="1" t="s">
        <v>33</v>
      </c>
      <c r="V77" s="1" t="s">
        <v>34</v>
      </c>
      <c r="W77" s="1" t="s">
        <v>49</v>
      </c>
      <c r="X77" s="1" t="s">
        <v>36</v>
      </c>
      <c r="Y77" s="1" t="s">
        <v>36</v>
      </c>
      <c r="Z77" s="1" t="s">
        <v>51</v>
      </c>
      <c r="AA77" s="8" t="str">
        <f>IFERROR(VLOOKUP(A77,Sheet3!B:H,6,false),VLOOKUP(J77,Sheet2!A:C,2,false))</f>
        <v>https://assets.roomstogo.com/product/therapedic-creekmore-twin-mattress_50111168_image-item</v>
      </c>
      <c r="AB77" s="8" t="str">
        <f>IFERROR(VLOOKUP(A77,Sheet3!B:H,7,false),VLOOKUP(J77,Sheet2!A:C,3,false))</f>
        <v>https://assets.roomstogo.com/product/therapedic-creekmore-twin-mattress_50111168_alt-image-1</v>
      </c>
      <c r="AC77" s="8" t="str">
        <f t="shared" si="2"/>
        <v>https://rtg-275.myshopify.com/products/CREEKMORE</v>
      </c>
      <c r="AD77" s="8" t="str">
        <f>vlookup(L77,'Python sheet'!$E$2:$F$373,2,0)</f>
        <v>https://rtg-275.myshopify.com/products/CREEKMORE?variant=47915113185418</v>
      </c>
    </row>
    <row r="78">
      <c r="A78" s="4">
        <v>5.011117E7</v>
      </c>
      <c r="B78" s="9">
        <v>6.0</v>
      </c>
      <c r="C78" s="9">
        <v>4.33</v>
      </c>
      <c r="D78" s="2" t="s">
        <v>316</v>
      </c>
      <c r="E78" s="2" t="s">
        <v>44</v>
      </c>
      <c r="F78" s="2" t="s">
        <v>317</v>
      </c>
      <c r="G78" s="9">
        <v>15.0</v>
      </c>
      <c r="H78" s="9">
        <v>4.2</v>
      </c>
      <c r="I78" s="9">
        <v>9.0</v>
      </c>
      <c r="J78" s="1" t="s">
        <v>318</v>
      </c>
      <c r="K78" s="1" t="s">
        <v>318</v>
      </c>
      <c r="L78" s="1" t="str">
        <f t="shared" si="1"/>
        <v>FLOURISHTwin</v>
      </c>
      <c r="M78" s="1" t="s">
        <v>319</v>
      </c>
      <c r="N78" s="6">
        <v>427.0</v>
      </c>
      <c r="O78" s="6">
        <v>449.99</v>
      </c>
      <c r="P78" s="1" t="s">
        <v>309</v>
      </c>
      <c r="Q78" s="1" t="s">
        <v>54</v>
      </c>
      <c r="R78" s="1" t="s">
        <v>320</v>
      </c>
      <c r="S78" s="1" t="s">
        <v>134</v>
      </c>
      <c r="T78" s="1" t="s">
        <v>242</v>
      </c>
      <c r="U78" s="1" t="s">
        <v>33</v>
      </c>
      <c r="V78" s="1" t="s">
        <v>42</v>
      </c>
      <c r="W78" s="1" t="s">
        <v>35</v>
      </c>
      <c r="X78" s="1" t="s">
        <v>251</v>
      </c>
      <c r="Y78" s="1" t="s">
        <v>36</v>
      </c>
      <c r="Z78" s="1" t="s">
        <v>37</v>
      </c>
      <c r="AA78" s="8" t="str">
        <f>IFERROR(VLOOKUP(A78,Sheet3!B:H,6,false),VLOOKUP(J78,Sheet2!A:C,2,false))</f>
        <v>https://assets.roomstogo.com/product/therapedic-flourish-2-sided-twin-mattress_50111170_image-item</v>
      </c>
      <c r="AB78" s="8" t="str">
        <f>IFERROR(VLOOKUP(A78,Sheet3!B:H,7,false),VLOOKUP(J78,Sheet2!A:C,3,false))</f>
        <v>https://assets.roomstogo.com/product/therapedic-flourish-2-sided-twin-mattress_50111170_alt-image-1</v>
      </c>
      <c r="AC78" s="8" t="str">
        <f t="shared" si="2"/>
        <v>https://rtg-275.myshopify.com/products/FLOURISH</v>
      </c>
      <c r="AD78" s="8" t="str">
        <f>vlookup(L78,'Python sheet'!$E$2:$F$373,2,0)</f>
        <v>https://rtg-275.myshopify.com/products/FLOURISH?variant=47915113283722</v>
      </c>
    </row>
    <row r="79">
      <c r="A79" s="4">
        <v>5.0111233E7</v>
      </c>
      <c r="B79" s="9">
        <v>33.0</v>
      </c>
      <c r="C79" s="9">
        <v>4.76</v>
      </c>
      <c r="D79" s="2" t="s">
        <v>321</v>
      </c>
      <c r="E79" s="2" t="s">
        <v>44</v>
      </c>
      <c r="F79" s="2" t="s">
        <v>322</v>
      </c>
      <c r="G79" s="9">
        <v>90.0</v>
      </c>
      <c r="H79" s="9">
        <v>4.6</v>
      </c>
      <c r="I79" s="9">
        <v>57.0</v>
      </c>
      <c r="J79" s="1" t="s">
        <v>323</v>
      </c>
      <c r="K79" s="1" t="s">
        <v>323</v>
      </c>
      <c r="L79" s="1" t="str">
        <f t="shared" si="1"/>
        <v>HAMELTwin</v>
      </c>
      <c r="M79" s="1" t="s">
        <v>324</v>
      </c>
      <c r="N79" s="6">
        <v>277.0</v>
      </c>
      <c r="O79" s="6">
        <v>299.99</v>
      </c>
      <c r="P79" s="1" t="s">
        <v>309</v>
      </c>
      <c r="Q79" s="1" t="s">
        <v>54</v>
      </c>
      <c r="R79" s="1" t="s">
        <v>325</v>
      </c>
      <c r="S79" s="1" t="s">
        <v>134</v>
      </c>
      <c r="T79" s="1" t="s">
        <v>242</v>
      </c>
      <c r="U79" s="1" t="s">
        <v>59</v>
      </c>
      <c r="V79" s="1" t="s">
        <v>34</v>
      </c>
      <c r="W79" s="1" t="s">
        <v>49</v>
      </c>
      <c r="X79" s="1" t="s">
        <v>42</v>
      </c>
      <c r="Y79" s="1" t="s">
        <v>36</v>
      </c>
      <c r="Z79" s="1" t="s">
        <v>51</v>
      </c>
      <c r="AA79" s="8" t="str">
        <f>IFERROR(VLOOKUP(A79,Sheet3!B:H,6,false),VLOOKUP(J79,Sheet2!A:C,2,false))</f>
        <v>https://assets.roomstogo.com/product/therapedic-hamell-twin-mattress_50111233_image-item</v>
      </c>
      <c r="AB79" s="8" t="str">
        <f>IFERROR(VLOOKUP(A79,Sheet3!B:H,7,false),VLOOKUP(J79,Sheet2!A:C,3,false))</f>
        <v>https://assets.roomstogo.com/product/therapedic-hamell-twin-mattress_50111233_alt-image-1</v>
      </c>
      <c r="AC79" s="8" t="str">
        <f t="shared" si="2"/>
        <v>https://rtg-275.myshopify.com/products/HAMEL</v>
      </c>
      <c r="AD79" s="8" t="str">
        <f>vlookup(L79,'Python sheet'!$E$2:$F$373,2,0)</f>
        <v>https://rtg-275.myshopify.com/products/HAMEL?variant=47915113349258</v>
      </c>
    </row>
    <row r="80">
      <c r="A80" s="4">
        <v>5.0111269E7</v>
      </c>
      <c r="B80" s="9">
        <v>15.0</v>
      </c>
      <c r="C80" s="9">
        <v>4.73</v>
      </c>
      <c r="D80" s="2" t="s">
        <v>326</v>
      </c>
      <c r="E80" s="2" t="s">
        <v>44</v>
      </c>
      <c r="F80" s="2" t="s">
        <v>327</v>
      </c>
      <c r="G80" s="9">
        <v>33.0</v>
      </c>
      <c r="H80" s="9">
        <v>4.55</v>
      </c>
      <c r="I80" s="9">
        <v>18.0</v>
      </c>
      <c r="J80" s="1" t="s">
        <v>328</v>
      </c>
      <c r="K80" s="1" t="s">
        <v>328</v>
      </c>
      <c r="L80" s="1" t="str">
        <f t="shared" si="1"/>
        <v>IMPREZATwin</v>
      </c>
      <c r="M80" s="1" t="s">
        <v>329</v>
      </c>
      <c r="N80" s="6">
        <v>327.0</v>
      </c>
      <c r="O80" s="6">
        <v>349.99</v>
      </c>
      <c r="P80" s="1" t="s">
        <v>309</v>
      </c>
      <c r="Q80" s="1" t="s">
        <v>54</v>
      </c>
      <c r="R80" s="1" t="s">
        <v>330</v>
      </c>
      <c r="S80" s="1" t="s">
        <v>134</v>
      </c>
      <c r="T80" s="1" t="s">
        <v>242</v>
      </c>
      <c r="U80" s="1" t="s">
        <v>59</v>
      </c>
      <c r="V80" s="1" t="s">
        <v>34</v>
      </c>
      <c r="W80" s="1" t="s">
        <v>35</v>
      </c>
      <c r="X80" s="1" t="s">
        <v>34</v>
      </c>
      <c r="Y80" s="1" t="s">
        <v>251</v>
      </c>
      <c r="Z80" s="1" t="s">
        <v>37</v>
      </c>
      <c r="AA80" s="8" t="str">
        <f>IFERROR(VLOOKUP(A80,Sheet3!B:H,6,false),VLOOKUP(J80,Sheet2!A:C,2,false))</f>
        <v>https://assets.roomstogo.com/product/therapedic-impreza-twin-mattress_50111269_image-item</v>
      </c>
      <c r="AB80" s="8" t="str">
        <f>IFERROR(VLOOKUP(A80,Sheet3!B:H,7,false),VLOOKUP(J80,Sheet2!A:C,3,false))</f>
        <v>https://assets.roomstogo.com/product/therapedic-impreza-twin-mattress_50111269_alt-image-1</v>
      </c>
      <c r="AC80" s="8" t="str">
        <f t="shared" si="2"/>
        <v>https://rtg-275.myshopify.com/products/IMPREZA</v>
      </c>
      <c r="AD80" s="8" t="str">
        <f>vlookup(L80,'Python sheet'!$E$2:$F$373,2,0)</f>
        <v>https://rtg-275.myshopify.com/products/IMPREZA?variant=47915113414794</v>
      </c>
    </row>
    <row r="81">
      <c r="A81" s="4">
        <v>5.0111346E7</v>
      </c>
      <c r="B81" s="5"/>
      <c r="C81" s="5"/>
      <c r="D81" s="5"/>
      <c r="E81" s="5"/>
      <c r="F81" s="5"/>
      <c r="G81" s="5"/>
      <c r="H81" s="5"/>
      <c r="I81" s="5"/>
      <c r="J81" s="1" t="s">
        <v>141</v>
      </c>
      <c r="K81" s="1" t="s">
        <v>141</v>
      </c>
      <c r="L81" s="1" t="str">
        <f t="shared" si="1"/>
        <v>FORESTERTwin</v>
      </c>
      <c r="M81" s="1" t="s">
        <v>331</v>
      </c>
      <c r="N81" s="6">
        <v>597.0</v>
      </c>
      <c r="O81" s="6">
        <v>799.99</v>
      </c>
      <c r="P81" s="1" t="s">
        <v>143</v>
      </c>
      <c r="Q81" s="1" t="s">
        <v>54</v>
      </c>
      <c r="R81" s="7"/>
      <c r="S81" s="1" t="s">
        <v>31</v>
      </c>
      <c r="T81" s="1" t="s">
        <v>242</v>
      </c>
      <c r="U81" s="1" t="s">
        <v>59</v>
      </c>
      <c r="V81" s="1" t="s">
        <v>36</v>
      </c>
      <c r="W81" s="1" t="s">
        <v>76</v>
      </c>
      <c r="X81" s="1" t="s">
        <v>34</v>
      </c>
      <c r="Y81" s="1" t="s">
        <v>36</v>
      </c>
      <c r="Z81" s="1" t="s">
        <v>144</v>
      </c>
      <c r="AA81" s="8" t="str">
        <f>IFERROR(VLOOKUP(A81,Sheet3!B:H,6,false),VLOOKUP(J81,Sheet2!A:C,2,false))</f>
        <v>https://assets.roomstogo.com/product/therapedic-forester-twin-xl-mattress_50011344_image-item</v>
      </c>
      <c r="AB81" s="8" t="str">
        <f>IFERROR(VLOOKUP(A81,Sheet3!B:H,7,false),VLOOKUP(J81,Sheet2!A:C,3,false))</f>
        <v>https://assets.roomstogo.com/product/therapedic-forester-twin-xl-mattress_50011344_alt-image-1</v>
      </c>
      <c r="AC81" s="8" t="str">
        <f t="shared" si="2"/>
        <v>https://rtg-275.myshopify.com/products/FORESTER</v>
      </c>
      <c r="AD81" s="8" t="str">
        <f>vlookup(L81,'Python sheet'!$E$2:$F$373,2,0)</f>
        <v>https://rtg-275.myshopify.com/products/FORESTER?variant=47915108106378</v>
      </c>
    </row>
    <row r="82">
      <c r="A82" s="4">
        <v>5.011136E7</v>
      </c>
      <c r="B82" s="9">
        <v>3.0</v>
      </c>
      <c r="C82" s="9">
        <v>5.0</v>
      </c>
      <c r="D82" s="2" t="s">
        <v>332</v>
      </c>
      <c r="E82" s="2" t="s">
        <v>44</v>
      </c>
      <c r="F82" s="2" t="s">
        <v>333</v>
      </c>
      <c r="G82" s="9">
        <v>20.0</v>
      </c>
      <c r="H82" s="9">
        <v>4.3</v>
      </c>
      <c r="I82" s="9">
        <v>17.0</v>
      </c>
      <c r="J82" s="1" t="s">
        <v>145</v>
      </c>
      <c r="K82" s="1" t="s">
        <v>145</v>
      </c>
      <c r="L82" s="1" t="str">
        <f t="shared" si="1"/>
        <v>DARLINGTONTwin</v>
      </c>
      <c r="M82" s="1" t="s">
        <v>334</v>
      </c>
      <c r="N82" s="6">
        <v>497.0</v>
      </c>
      <c r="O82" s="6">
        <v>599.99</v>
      </c>
      <c r="P82" s="1" t="s">
        <v>143</v>
      </c>
      <c r="Q82" s="1" t="s">
        <v>54</v>
      </c>
      <c r="R82" s="7"/>
      <c r="S82" s="1" t="s">
        <v>31</v>
      </c>
      <c r="T82" s="1" t="s">
        <v>242</v>
      </c>
      <c r="U82" s="1" t="s">
        <v>59</v>
      </c>
      <c r="V82" s="1" t="s">
        <v>36</v>
      </c>
      <c r="W82" s="1" t="s">
        <v>35</v>
      </c>
      <c r="X82" s="1" t="s">
        <v>36</v>
      </c>
      <c r="Y82" s="1" t="s">
        <v>34</v>
      </c>
      <c r="Z82" s="1" t="s">
        <v>37</v>
      </c>
      <c r="AA82" s="8" t="str">
        <f>IFERROR(VLOOKUP(A82,Sheet3!B:H,6,false),VLOOKUP(J82,Sheet2!A:C,2,false))</f>
        <v>https://assets.roomstogo.com/product/therapedic-darlington-twin-xl-mattress_50011368_image-item</v>
      </c>
      <c r="AB82" s="8" t="str">
        <f>IFERROR(VLOOKUP(A82,Sheet3!B:H,7,false),VLOOKUP(J82,Sheet2!A:C,3,false))</f>
        <v>https://assets.roomstogo.com/product/therapedic-darlington-twin-xl-mattress_50011368_alt-image-1</v>
      </c>
      <c r="AC82" s="8" t="str">
        <f t="shared" si="2"/>
        <v>https://rtg-275.myshopify.com/products/DARLINGTON</v>
      </c>
      <c r="AD82" s="8" t="str">
        <f>vlookup(L82,'Python sheet'!$E$2:$F$373,2,0)</f>
        <v>https://rtg-275.myshopify.com/products/DARLINGTON?variant=47915108335754</v>
      </c>
    </row>
    <row r="83">
      <c r="A83" s="4">
        <v>5.0122212E7</v>
      </c>
      <c r="B83" s="9">
        <v>1.0</v>
      </c>
      <c r="C83" s="9">
        <v>5.0</v>
      </c>
      <c r="D83" s="2" t="s">
        <v>161</v>
      </c>
      <c r="E83" s="2" t="s">
        <v>44</v>
      </c>
      <c r="F83" s="2" t="s">
        <v>162</v>
      </c>
      <c r="G83" s="9">
        <v>28.0</v>
      </c>
      <c r="H83" s="9">
        <v>4.71</v>
      </c>
      <c r="I83" s="9">
        <v>27.0</v>
      </c>
      <c r="J83" s="1" t="s">
        <v>163</v>
      </c>
      <c r="K83" s="1" t="s">
        <v>993</v>
      </c>
      <c r="L83" s="1" t="str">
        <f t="shared" si="1"/>
        <v>OCEANA-MISTTwin</v>
      </c>
      <c r="M83" s="1" t="s">
        <v>335</v>
      </c>
      <c r="N83" s="6">
        <v>347.0</v>
      </c>
      <c r="O83" s="6">
        <v>649.99</v>
      </c>
      <c r="P83" s="1" t="s">
        <v>165</v>
      </c>
      <c r="Q83" s="1" t="s">
        <v>54</v>
      </c>
      <c r="R83" s="1" t="s">
        <v>166</v>
      </c>
      <c r="S83" s="1" t="s">
        <v>31</v>
      </c>
      <c r="T83" s="1" t="s">
        <v>242</v>
      </c>
      <c r="U83" s="1" t="s">
        <v>41</v>
      </c>
      <c r="V83" s="1" t="s">
        <v>36</v>
      </c>
      <c r="W83" s="1" t="s">
        <v>35</v>
      </c>
      <c r="X83" s="1" t="s">
        <v>34</v>
      </c>
      <c r="Y83" s="1" t="s">
        <v>36</v>
      </c>
      <c r="Z83" s="1" t="s">
        <v>37</v>
      </c>
      <c r="AA83" s="8" t="str">
        <f>IFERROR(VLOOKUP(A83,Sheet3!B:H,6,false),VLOOKUP(J83,Sheet2!A:C,2,false))</f>
        <v>https://assets.roomstogo.com/product/beauty-sleep-oceana-mist-medium-hybrid-twin-xl-mattress_50022210_image-item</v>
      </c>
      <c r="AB83" s="8" t="str">
        <f>IFERROR(VLOOKUP(A83,Sheet3!B:H,7,false),VLOOKUP(J83,Sheet2!A:C,3,false))</f>
        <v>https://assets.roomstogo.com/product/beauty-sleep-oceana-mist-medium-hybrid-twin-xl-mattress_50022210_alt-image-8</v>
      </c>
      <c r="AC83" s="8" t="str">
        <f t="shared" si="2"/>
        <v>https://rtg-275.myshopify.com/products/OCEANA-MIST</v>
      </c>
      <c r="AD83" s="8" t="str">
        <f>vlookup(L83,'Python sheet'!$E$2:$F$373,2,0)</f>
        <v>https://rtg-275.myshopify.com/products/OCEANA-MIST?variant=47915109056650</v>
      </c>
    </row>
    <row r="84">
      <c r="A84" s="4">
        <v>5.0125749E7</v>
      </c>
      <c r="B84" s="5"/>
      <c r="C84" s="5"/>
      <c r="D84" s="5"/>
      <c r="E84" s="5"/>
      <c r="F84" s="5"/>
      <c r="G84" s="5"/>
      <c r="H84" s="5"/>
      <c r="I84" s="5"/>
      <c r="J84" s="1" t="s">
        <v>169</v>
      </c>
      <c r="K84" s="1" t="s">
        <v>994</v>
      </c>
      <c r="L84" s="1" t="str">
        <f t="shared" si="1"/>
        <v>LEVEL-THREE-PLUSHTwin</v>
      </c>
      <c r="M84" s="1" t="s">
        <v>336</v>
      </c>
      <c r="N84" s="6">
        <v>1299.0</v>
      </c>
      <c r="O84" s="6">
        <v>1299.0</v>
      </c>
      <c r="P84" s="1" t="s">
        <v>171</v>
      </c>
      <c r="Q84" s="7"/>
      <c r="R84" s="1" t="s">
        <v>172</v>
      </c>
      <c r="S84" s="1" t="s">
        <v>31</v>
      </c>
      <c r="T84" s="1" t="s">
        <v>242</v>
      </c>
      <c r="U84" s="1" t="s">
        <v>59</v>
      </c>
      <c r="V84" s="1" t="s">
        <v>42</v>
      </c>
      <c r="W84" s="1" t="s">
        <v>49</v>
      </c>
      <c r="X84" s="1" t="s">
        <v>42</v>
      </c>
      <c r="Y84" s="1" t="s">
        <v>42</v>
      </c>
      <c r="Z84" s="1" t="s">
        <v>51</v>
      </c>
      <c r="AA84" s="8" t="str">
        <f>IFERROR(VLOOKUP(A84,Sheet3!B:H,6,false),VLOOKUP(J84,Sheet2!A:C,2,false))</f>
        <v>https://assets.roomstogo.com/product/beautyrest-world-class-level-three-plush-twin-xl-mattress_50025747_image-item</v>
      </c>
      <c r="AB84" s="8" t="str">
        <f>IFERROR(VLOOKUP(A84,Sheet3!B:H,7,false),VLOOKUP(J84,Sheet2!A:C,3,false))</f>
        <v>https://assets.roomstogo.com/product/beautyrest-world-class-level-three-plush-twin-xl-mattress_50025747_alt-image-13</v>
      </c>
      <c r="AC84" s="8" t="str">
        <f t="shared" si="2"/>
        <v>https://rtg-275.myshopify.com/products/LEVEL-THREE-PLUSH</v>
      </c>
      <c r="AD84" s="8" t="str">
        <f>vlookup(L84,'Python sheet'!$E$2:$F$373,2,0)</f>
        <v>https://rtg-275.myshopify.com/products/LEVEL-THREE-PLUSH?variant=47915109253258</v>
      </c>
    </row>
    <row r="85">
      <c r="A85" s="4">
        <v>5.0125751E7</v>
      </c>
      <c r="B85" s="5"/>
      <c r="C85" s="5"/>
      <c r="D85" s="5"/>
      <c r="E85" s="5"/>
      <c r="F85" s="5"/>
      <c r="G85" s="5"/>
      <c r="H85" s="5"/>
      <c r="I85" s="5"/>
      <c r="J85" s="1" t="s">
        <v>173</v>
      </c>
      <c r="K85" s="1" t="s">
        <v>995</v>
      </c>
      <c r="L85" s="1" t="str">
        <f t="shared" si="1"/>
        <v>LEVEL-THREE-MEDIUM-PILLOWTOPTwin</v>
      </c>
      <c r="M85" s="1" t="s">
        <v>337</v>
      </c>
      <c r="N85" s="6">
        <v>1499.0</v>
      </c>
      <c r="O85" s="6">
        <v>1499.0</v>
      </c>
      <c r="P85" s="1" t="s">
        <v>171</v>
      </c>
      <c r="Q85" s="7"/>
      <c r="R85" s="1" t="s">
        <v>175</v>
      </c>
      <c r="S85" s="1" t="s">
        <v>31</v>
      </c>
      <c r="T85" s="1" t="s">
        <v>242</v>
      </c>
      <c r="U85" s="1" t="s">
        <v>59</v>
      </c>
      <c r="V85" s="1" t="s">
        <v>42</v>
      </c>
      <c r="W85" s="1" t="s">
        <v>35</v>
      </c>
      <c r="X85" s="1" t="s">
        <v>42</v>
      </c>
      <c r="Y85" s="1" t="s">
        <v>42</v>
      </c>
      <c r="Z85" s="1" t="s">
        <v>37</v>
      </c>
      <c r="AA85" s="8" t="str">
        <f>IFERROR(VLOOKUP(A85,Sheet3!B:H,6,false),VLOOKUP(J85,Sheet2!A:C,2,false))</f>
        <v>https://assets.roomstogo.com/product/beautyrest-world-class-level-three-medium-pillow-top-twin-xl-mattress_50025759_image-item</v>
      </c>
      <c r="AB85" s="8" t="str">
        <f>IFERROR(VLOOKUP(A85,Sheet3!B:H,7,false),VLOOKUP(J85,Sheet2!A:C,3,false))</f>
        <v>https://assets.roomstogo.com/product/beautyrest-world-class-level-three-medium-pillow-top-twin-xl-mattress_50025759_alt-image-13</v>
      </c>
      <c r="AC85" s="8" t="str">
        <f t="shared" si="2"/>
        <v>https://rtg-275.myshopify.com/products/LEVEL-THREE-MEDIUM-PILLOWTOP</v>
      </c>
      <c r="AD85" s="8" t="str">
        <f>vlookup(L85,'Python sheet'!$E$2:$F$373,2,0)</f>
        <v>https://rtg-275.myshopify.com/products/LEVEL-THREE-MEDIUM-PILLOWTOP?variant=47915109449866</v>
      </c>
    </row>
    <row r="86">
      <c r="A86" s="4">
        <v>5.0125802E7</v>
      </c>
      <c r="B86" s="5"/>
      <c r="C86" s="5"/>
      <c r="D86" s="5"/>
      <c r="E86" s="5"/>
      <c r="F86" s="5"/>
      <c r="G86" s="5"/>
      <c r="H86" s="5"/>
      <c r="I86" s="5"/>
      <c r="J86" s="1" t="s">
        <v>176</v>
      </c>
      <c r="K86" s="1" t="s">
        <v>996</v>
      </c>
      <c r="L86" s="1" t="str">
        <f t="shared" si="1"/>
        <v>LEVEL-FOUR-PLUSH-PILLOWTOPTwin</v>
      </c>
      <c r="M86" s="1" t="s">
        <v>338</v>
      </c>
      <c r="N86" s="6">
        <v>1799.0</v>
      </c>
      <c r="O86" s="6">
        <v>1799.0</v>
      </c>
      <c r="P86" s="1" t="s">
        <v>171</v>
      </c>
      <c r="Q86" s="7"/>
      <c r="R86" s="1" t="s">
        <v>178</v>
      </c>
      <c r="S86" s="1" t="s">
        <v>31</v>
      </c>
      <c r="T86" s="1" t="s">
        <v>242</v>
      </c>
      <c r="U86" s="1" t="s">
        <v>59</v>
      </c>
      <c r="V86" s="1" t="s">
        <v>50</v>
      </c>
      <c r="W86" s="1" t="s">
        <v>49</v>
      </c>
      <c r="X86" s="1" t="s">
        <v>42</v>
      </c>
      <c r="Y86" s="1" t="s">
        <v>42</v>
      </c>
      <c r="Z86" s="1" t="s">
        <v>51</v>
      </c>
      <c r="AA86" s="8" t="str">
        <f>IFERROR(VLOOKUP(A86,Sheet3!B:H,6,false),VLOOKUP(J86,Sheet2!A:C,2,false))</f>
        <v>https://assets.roomstogo.com/product/beautyrest-world-class-level-four-plush-pillow-top-twin-xl-mattress_50025800_image-item</v>
      </c>
      <c r="AB86" s="8" t="str">
        <f>IFERROR(VLOOKUP(A86,Sheet3!B:H,7,false),VLOOKUP(J86,Sheet2!A:C,3,false))</f>
        <v>https://assets.roomstogo.com/product/beautyrest-world-class-level-four-plush-pillow-top-twin-xl-mattress_50025800_alt-image-13</v>
      </c>
      <c r="AC86" s="8" t="str">
        <f t="shared" si="2"/>
        <v>https://rtg-275.myshopify.com/products/LEVEL-FOUR-PLUSH-PILLOWTOP</v>
      </c>
      <c r="AD86" s="8" t="str">
        <f>vlookup(L86,'Python sheet'!$E$2:$F$373,2,0)</f>
        <v>https://rtg-275.myshopify.com/products/LEVEL-FOUR-PLUSH-PILLOWTOP?variant=47915109646474</v>
      </c>
    </row>
    <row r="87">
      <c r="A87" s="4">
        <v>5.0128959E7</v>
      </c>
      <c r="B87" s="5"/>
      <c r="C87" s="5"/>
      <c r="D87" s="5"/>
      <c r="E87" s="5"/>
      <c r="F87" s="5"/>
      <c r="G87" s="5"/>
      <c r="H87" s="5"/>
      <c r="I87" s="5"/>
      <c r="J87" s="1" t="s">
        <v>179</v>
      </c>
      <c r="K87" s="1" t="s">
        <v>997</v>
      </c>
      <c r="L87" s="1" t="str">
        <f t="shared" si="1"/>
        <v>KERRY-PARKTwin</v>
      </c>
      <c r="M87" s="1" t="s">
        <v>339</v>
      </c>
      <c r="N87" s="6">
        <v>797.0</v>
      </c>
      <c r="O87" s="6">
        <v>1399.0</v>
      </c>
      <c r="P87" s="1" t="s">
        <v>181</v>
      </c>
      <c r="Q87" s="1" t="s">
        <v>54</v>
      </c>
      <c r="R87" s="7"/>
      <c r="S87" s="1" t="s">
        <v>31</v>
      </c>
      <c r="T87" s="1" t="s">
        <v>242</v>
      </c>
      <c r="U87" s="1" t="s">
        <v>59</v>
      </c>
      <c r="V87" s="1" t="s">
        <v>42</v>
      </c>
      <c r="W87" s="1" t="s">
        <v>49</v>
      </c>
      <c r="X87" s="1" t="s">
        <v>34</v>
      </c>
      <c r="Y87" s="1" t="s">
        <v>34</v>
      </c>
      <c r="Z87" s="1" t="s">
        <v>182</v>
      </c>
      <c r="AA87" s="8" t="str">
        <f>IFERROR(VLOOKUP(A87,Sheet3!B:H,6,false),VLOOKUP(J87,Sheet2!A:C,2,false))</f>
        <v>https://assets.roomstogo.com/product/sealy-correct-comfort-kerry-park-twin-xl-mattress_50028957_image-item</v>
      </c>
      <c r="AB87" s="8" t="str">
        <f>IFERROR(VLOOKUP(A87,Sheet3!B:H,7,false),VLOOKUP(J87,Sheet2!A:C,3,false))</f>
        <v>https://assets.roomstogo.com/product/sealy-correct-comfort-kerry-park-twin-xl-mattress_50028957_alt-image-1</v>
      </c>
      <c r="AC87" s="8" t="str">
        <f t="shared" si="2"/>
        <v>https://rtg-275.myshopify.com/products/KERRY-PARK</v>
      </c>
      <c r="AD87" s="8" t="str">
        <f>vlookup(L87,'Python sheet'!$E$2:$F$373,2,0)</f>
        <v>https://rtg-275.myshopify.com/products/KERRY-PARK?variant=47915109875850</v>
      </c>
    </row>
    <row r="88">
      <c r="A88" s="4">
        <v>5.0128961E7</v>
      </c>
      <c r="B88" s="5"/>
      <c r="C88" s="5"/>
      <c r="D88" s="5"/>
      <c r="E88" s="5"/>
      <c r="F88" s="5"/>
      <c r="G88" s="5"/>
      <c r="H88" s="5"/>
      <c r="I88" s="5"/>
      <c r="J88" s="1" t="s">
        <v>185</v>
      </c>
      <c r="K88" s="1" t="s">
        <v>998</v>
      </c>
      <c r="L88" s="1" t="str">
        <f t="shared" si="1"/>
        <v>BRADFORD-HILLTwin</v>
      </c>
      <c r="M88" s="1" t="s">
        <v>340</v>
      </c>
      <c r="N88" s="6">
        <v>595.0</v>
      </c>
      <c r="O88" s="6">
        <v>699.0</v>
      </c>
      <c r="P88" s="1" t="s">
        <v>181</v>
      </c>
      <c r="Q88" s="1" t="s">
        <v>54</v>
      </c>
      <c r="R88" s="7"/>
      <c r="S88" s="1" t="s">
        <v>31</v>
      </c>
      <c r="T88" s="1" t="s">
        <v>242</v>
      </c>
      <c r="U88" s="1" t="s">
        <v>33</v>
      </c>
      <c r="V88" s="1" t="s">
        <v>34</v>
      </c>
      <c r="W88" s="1" t="s">
        <v>35</v>
      </c>
      <c r="X88" s="1" t="s">
        <v>34</v>
      </c>
      <c r="Y88" s="1" t="s">
        <v>36</v>
      </c>
      <c r="Z88" s="1" t="s">
        <v>37</v>
      </c>
      <c r="AA88" s="8" t="str">
        <f>IFERROR(VLOOKUP(A88,Sheet3!B:H,6,false),VLOOKUP(J88,Sheet2!A:C,2,false))</f>
        <v>https://assets.roomstogo.com/product/sealy-correct-comfort-bradford-hill-twin-xl-mattress_50028969_image-item</v>
      </c>
      <c r="AB88" s="8" t="str">
        <f>IFERROR(VLOOKUP(A88,Sheet3!B:H,7,false),VLOOKUP(J88,Sheet2!A:C,3,false))</f>
        <v>https://assets.roomstogo.com/product/sealy-correct-comfort-bradford-hill-twin-xl-mattress_50028969_alt-image-1</v>
      </c>
      <c r="AC88" s="8" t="str">
        <f t="shared" si="2"/>
        <v>https://rtg-275.myshopify.com/products/BRADFORD-HILL</v>
      </c>
      <c r="AD88" s="8" t="str">
        <f>vlookup(L88,'Python sheet'!$E$2:$F$373,2,0)</f>
        <v>https://rtg-275.myshopify.com/products/BRADFORD-HILL?variant=47915110072458</v>
      </c>
    </row>
    <row r="89">
      <c r="A89" s="4">
        <v>5.0129177E7</v>
      </c>
      <c r="B89" s="9">
        <v>1.0</v>
      </c>
      <c r="C89" s="9">
        <v>2.0</v>
      </c>
      <c r="D89" s="2" t="s">
        <v>341</v>
      </c>
      <c r="E89" s="2" t="s">
        <v>44</v>
      </c>
      <c r="F89" s="2" t="s">
        <v>342</v>
      </c>
      <c r="G89" s="9">
        <v>6.0</v>
      </c>
      <c r="H89" s="9">
        <v>4.17</v>
      </c>
      <c r="I89" s="9">
        <v>5.0</v>
      </c>
      <c r="J89" s="1" t="s">
        <v>189</v>
      </c>
      <c r="K89" s="1" t="s">
        <v>189</v>
      </c>
      <c r="L89" s="1" t="str">
        <f t="shared" si="1"/>
        <v>BRIERWOODTwin</v>
      </c>
      <c r="M89" s="1" t="s">
        <v>343</v>
      </c>
      <c r="N89" s="6">
        <v>577.0</v>
      </c>
      <c r="O89" s="6">
        <v>699.0</v>
      </c>
      <c r="P89" s="1" t="s">
        <v>191</v>
      </c>
      <c r="Q89" s="1" t="s">
        <v>54</v>
      </c>
      <c r="R89" s="1" t="s">
        <v>192</v>
      </c>
      <c r="S89" s="1" t="s">
        <v>31</v>
      </c>
      <c r="T89" s="1" t="s">
        <v>242</v>
      </c>
      <c r="U89" s="1" t="s">
        <v>59</v>
      </c>
      <c r="V89" s="1" t="s">
        <v>36</v>
      </c>
      <c r="W89" s="1" t="s">
        <v>35</v>
      </c>
      <c r="X89" s="1" t="s">
        <v>36</v>
      </c>
      <c r="Y89" s="1" t="s">
        <v>36</v>
      </c>
      <c r="Z89" s="1" t="s">
        <v>37</v>
      </c>
      <c r="AA89" s="8" t="str">
        <f>IFERROR(VLOOKUP(A89,Sheet3!B:H,6,false),VLOOKUP(J89,Sheet2!A:C,2,false))</f>
        <v>https://assets.roomstogo.com/product/sealy-posturepedic-brierwood-twin-xl-mattress_50029175_image-item</v>
      </c>
      <c r="AB89" s="8" t="str">
        <f>IFERROR(VLOOKUP(A89,Sheet3!B:H,7,false),VLOOKUP(J89,Sheet2!A:C,3,false))</f>
        <v>https://assets.roomstogo.com/product/sealy-posturepedic-brierwood-twin-xl-mattress_50029175_alt-image-1</v>
      </c>
      <c r="AC89" s="8" t="str">
        <f t="shared" si="2"/>
        <v>https://rtg-275.myshopify.com/products/BRIERWOOD</v>
      </c>
      <c r="AD89" s="8" t="str">
        <f>vlookup(L89,'Python sheet'!$E$2:$F$373,2,0)</f>
        <v>https://rtg-275.myshopify.com/products/BRIERWOOD?variant=47915110367370</v>
      </c>
    </row>
    <row r="90">
      <c r="A90" s="4">
        <v>5.0129204E7</v>
      </c>
      <c r="B90" s="5"/>
      <c r="C90" s="5"/>
      <c r="D90" s="5"/>
      <c r="E90" s="5"/>
      <c r="F90" s="5"/>
      <c r="G90" s="5"/>
      <c r="H90" s="5"/>
      <c r="I90" s="5"/>
      <c r="J90" s="1" t="s">
        <v>193</v>
      </c>
      <c r="K90" s="1" t="s">
        <v>999</v>
      </c>
      <c r="L90" s="1" t="str">
        <f t="shared" si="1"/>
        <v>CASTLE-ROCKTwin</v>
      </c>
      <c r="M90" s="1" t="s">
        <v>344</v>
      </c>
      <c r="N90" s="6">
        <v>897.0</v>
      </c>
      <c r="O90" s="6">
        <v>1099.0</v>
      </c>
      <c r="P90" s="1" t="s">
        <v>195</v>
      </c>
      <c r="Q90" s="1" t="s">
        <v>54</v>
      </c>
      <c r="R90" s="1" t="s">
        <v>196</v>
      </c>
      <c r="S90" s="1" t="s">
        <v>31</v>
      </c>
      <c r="T90" s="1" t="s">
        <v>242</v>
      </c>
      <c r="U90" s="1" t="s">
        <v>59</v>
      </c>
      <c r="V90" s="1" t="s">
        <v>34</v>
      </c>
      <c r="W90" s="1" t="s">
        <v>35</v>
      </c>
      <c r="X90" s="1" t="s">
        <v>34</v>
      </c>
      <c r="Y90" s="1" t="s">
        <v>36</v>
      </c>
      <c r="Z90" s="1" t="s">
        <v>37</v>
      </c>
      <c r="AA90" s="8" t="str">
        <f>IFERROR(VLOOKUP(A90,Sheet3!B:H,6,false),VLOOKUP(J90,Sheet2!A:C,2,false))</f>
        <v>https://assets.roomstogo.com/product/sealy-posturepedic-castle-rock-twin-xl-mattress_50029202_image-item</v>
      </c>
      <c r="AB90" s="8" t="str">
        <f>IFERROR(VLOOKUP(A90,Sheet3!B:H,7,false),VLOOKUP(J90,Sheet2!A:C,3,false))</f>
        <v>https://assets.roomstogo.com/product/sealy-posturepedic-castle-rock-twin-xl-mattress_50029202_alt-image-1</v>
      </c>
      <c r="AC90" s="8" t="str">
        <f t="shared" si="2"/>
        <v>https://rtg-275.myshopify.com/products/CASTLE-ROCK</v>
      </c>
      <c r="AD90" s="8" t="str">
        <f>vlookup(L90,'Python sheet'!$E$2:$F$373,2,0)</f>
        <v>https://rtg-275.myshopify.com/products/CASTLE-ROCK?variant=47915110662282</v>
      </c>
    </row>
    <row r="91">
      <c r="A91" s="4">
        <v>5.0129216E7</v>
      </c>
      <c r="B91" s="5"/>
      <c r="C91" s="5"/>
      <c r="D91" s="5"/>
      <c r="E91" s="5"/>
      <c r="F91" s="5"/>
      <c r="G91" s="5"/>
      <c r="H91" s="5"/>
      <c r="I91" s="5"/>
      <c r="J91" s="1" t="s">
        <v>197</v>
      </c>
      <c r="K91" s="1" t="s">
        <v>197</v>
      </c>
      <c r="L91" s="1" t="str">
        <f t="shared" si="1"/>
        <v>PEBBLEBROOKTwin</v>
      </c>
      <c r="M91" s="1" t="s">
        <v>345</v>
      </c>
      <c r="N91" s="6">
        <v>977.0</v>
      </c>
      <c r="O91" s="6">
        <v>1199.0</v>
      </c>
      <c r="P91" s="1" t="s">
        <v>199</v>
      </c>
      <c r="Q91" s="7"/>
      <c r="R91" s="1" t="s">
        <v>200</v>
      </c>
      <c r="S91" s="1" t="s">
        <v>31</v>
      </c>
      <c r="T91" s="1" t="s">
        <v>242</v>
      </c>
      <c r="U91" s="1" t="s">
        <v>59</v>
      </c>
      <c r="V91" s="1" t="s">
        <v>34</v>
      </c>
      <c r="W91" s="1" t="s">
        <v>35</v>
      </c>
      <c r="X91" s="1" t="s">
        <v>42</v>
      </c>
      <c r="Y91" s="1" t="s">
        <v>34</v>
      </c>
      <c r="Z91" s="1" t="s">
        <v>37</v>
      </c>
      <c r="AA91" s="8" t="str">
        <f>IFERROR(VLOOKUP(A91,Sheet3!B:H,6,false),VLOOKUP(J91,Sheet2!A:C,2,false))</f>
        <v>https://assets.roomstogo.com/product/sealy-posturepedic-pebblebrook-twin-xl-mattress_50029214_image-item</v>
      </c>
      <c r="AB91" s="8" t="str">
        <f>IFERROR(VLOOKUP(A91,Sheet3!B:H,7,false),VLOOKUP(J91,Sheet2!A:C,3,false))</f>
        <v>https://assets.roomstogo.com/product/sealy-posturepedic-pebblebrook-twin-xl-mattress_50029214_alt-image-1</v>
      </c>
      <c r="AC91" s="8" t="str">
        <f t="shared" si="2"/>
        <v>https://rtg-275.myshopify.com/products/PEBBLEBROOK</v>
      </c>
      <c r="AD91" s="8" t="str">
        <f>vlookup(L91,'Python sheet'!$E$2:$F$373,2,0)</f>
        <v>https://rtg-275.myshopify.com/products/PEBBLEBROOK?variant=47915110891658</v>
      </c>
    </row>
    <row r="92">
      <c r="A92" s="4">
        <v>5.0134116E7</v>
      </c>
      <c r="B92" s="9">
        <v>2.0</v>
      </c>
      <c r="C92" s="9">
        <v>3.0</v>
      </c>
      <c r="D92" s="2" t="s">
        <v>346</v>
      </c>
      <c r="E92" s="2" t="s">
        <v>44</v>
      </c>
      <c r="F92" s="2" t="s">
        <v>347</v>
      </c>
      <c r="G92" s="9">
        <v>13.0</v>
      </c>
      <c r="H92" s="9">
        <v>3.92</v>
      </c>
      <c r="I92" s="9">
        <v>11.0</v>
      </c>
      <c r="J92" s="1" t="s">
        <v>348</v>
      </c>
      <c r="K92" s="1" t="s">
        <v>348</v>
      </c>
      <c r="L92" s="1" t="str">
        <f t="shared" si="1"/>
        <v>TEMPUR-KIDSTwin</v>
      </c>
      <c r="M92" s="1" t="s">
        <v>349</v>
      </c>
      <c r="N92" s="6">
        <v>699.0</v>
      </c>
      <c r="O92" s="6">
        <v>799.0</v>
      </c>
      <c r="P92" s="1" t="s">
        <v>64</v>
      </c>
      <c r="Q92" s="7"/>
      <c r="R92" s="1" t="s">
        <v>350</v>
      </c>
      <c r="S92" s="1" t="s">
        <v>134</v>
      </c>
      <c r="T92" s="1" t="s">
        <v>242</v>
      </c>
      <c r="U92" s="1" t="s">
        <v>33</v>
      </c>
      <c r="V92" s="1" t="s">
        <v>50</v>
      </c>
      <c r="W92" s="1" t="s">
        <v>35</v>
      </c>
      <c r="X92" s="1" t="s">
        <v>50</v>
      </c>
      <c r="Y92" s="1" t="s">
        <v>36</v>
      </c>
      <c r="Z92" s="1" t="s">
        <v>37</v>
      </c>
      <c r="AA92" s="8" t="str">
        <f>IFERROR(VLOOKUP(A92,Sheet3!B:H,6,false),VLOOKUP(J92,Sheet2!A:C,2,false))</f>
        <v>https://assets.roomstogo.com/product/tempur-kids-twin-mattress_50134116_image-item</v>
      </c>
      <c r="AB92" s="8" t="str">
        <f>IFERROR(VLOOKUP(A92,Sheet3!B:H,7,false),VLOOKUP(J92,Sheet2!A:C,3,false))</f>
        <v>https://assets.roomstogo.com/product/tempur-kids-project-z-twin-mattress_50134116_alt-image-1</v>
      </c>
      <c r="AC92" s="8" t="str">
        <f t="shared" si="2"/>
        <v>https://rtg-275.myshopify.com/products/TEMPUR-KIDS</v>
      </c>
      <c r="AD92" s="8" t="str">
        <f>vlookup(L92,'Python sheet'!$E$2:$F$373,2,0)</f>
        <v>https://rtg-275.myshopify.com/products/TEMPUR-KIDS?variant=47915113480330</v>
      </c>
    </row>
    <row r="93">
      <c r="A93" s="4">
        <v>5.015257E7</v>
      </c>
      <c r="B93" s="9">
        <v>2.0</v>
      </c>
      <c r="C93" s="9">
        <v>5.0</v>
      </c>
      <c r="D93" s="2" t="s">
        <v>351</v>
      </c>
      <c r="E93" s="2" t="s">
        <v>44</v>
      </c>
      <c r="F93" s="2" t="s">
        <v>352</v>
      </c>
      <c r="G93" s="9">
        <v>3.0</v>
      </c>
      <c r="H93" s="9">
        <v>5.0</v>
      </c>
      <c r="I93" s="9">
        <v>1.0</v>
      </c>
      <c r="J93" s="1" t="s">
        <v>352</v>
      </c>
      <c r="K93" s="1" t="s">
        <v>352</v>
      </c>
      <c r="L93" s="1" t="str">
        <f t="shared" si="1"/>
        <v>Z-305Twin</v>
      </c>
      <c r="M93" s="1" t="s">
        <v>353</v>
      </c>
      <c r="N93" s="6">
        <v>277.0</v>
      </c>
      <c r="O93" s="6">
        <v>299.99</v>
      </c>
      <c r="P93" s="1" t="s">
        <v>354</v>
      </c>
      <c r="Q93" s="1" t="s">
        <v>54</v>
      </c>
      <c r="R93" s="1" t="s">
        <v>355</v>
      </c>
      <c r="S93" s="1" t="s">
        <v>134</v>
      </c>
      <c r="T93" s="1" t="s">
        <v>242</v>
      </c>
      <c r="U93" s="1" t="s">
        <v>59</v>
      </c>
      <c r="V93" s="1" t="s">
        <v>36</v>
      </c>
      <c r="W93" s="1" t="s">
        <v>35</v>
      </c>
      <c r="X93" s="1" t="s">
        <v>36</v>
      </c>
      <c r="Y93" s="1" t="s">
        <v>36</v>
      </c>
      <c r="Z93" s="1" t="s">
        <v>37</v>
      </c>
      <c r="AA93" s="8" t="str">
        <f>IFERROR(VLOOKUP(A93,Sheet3!B:H,6,false),VLOOKUP(J93,Sheet2!A:C,2,false))</f>
        <v>https://assets.roomstogo.com/product/sealy-kids-z-305-twin-mattress_50152570_image-item</v>
      </c>
      <c r="AB93" s="8" t="str">
        <f>IFERROR(VLOOKUP(A93,Sheet3!B:H,7,false),VLOOKUP(J93,Sheet2!A:C,3,false))</f>
        <v>https://assets.roomstogo.com/product/sealy-kids-z-305-twin-mattress_50152570_alt-image-1</v>
      </c>
      <c r="AC93" s="8" t="str">
        <f t="shared" si="2"/>
        <v>https://rtg-275.myshopify.com/products/Z-305</v>
      </c>
      <c r="AD93" s="8" t="str">
        <f>vlookup(L93,'Python sheet'!$E$2:$F$373,2,0)</f>
        <v>https://rtg-275.myshopify.com/products/Z-305?variant=47915113578634</v>
      </c>
    </row>
    <row r="94">
      <c r="A94" s="4">
        <v>5.0152582E7</v>
      </c>
      <c r="B94" s="5"/>
      <c r="C94" s="5"/>
      <c r="D94" s="5"/>
      <c r="E94" s="5"/>
      <c r="F94" s="5"/>
      <c r="G94" s="5"/>
      <c r="H94" s="5"/>
      <c r="I94" s="5"/>
      <c r="J94" s="1" t="s">
        <v>356</v>
      </c>
      <c r="K94" s="1" t="s">
        <v>356</v>
      </c>
      <c r="L94" s="1" t="str">
        <f t="shared" si="1"/>
        <v>Z-505Twin</v>
      </c>
      <c r="M94" s="1" t="s">
        <v>357</v>
      </c>
      <c r="N94" s="6">
        <v>327.0</v>
      </c>
      <c r="O94" s="6">
        <v>349.99</v>
      </c>
      <c r="P94" s="1" t="s">
        <v>354</v>
      </c>
      <c r="Q94" s="1" t="s">
        <v>54</v>
      </c>
      <c r="R94" s="1" t="s">
        <v>358</v>
      </c>
      <c r="S94" s="1" t="s">
        <v>134</v>
      </c>
      <c r="T94" s="1" t="s">
        <v>242</v>
      </c>
      <c r="U94" s="1" t="s">
        <v>59</v>
      </c>
      <c r="V94" s="1" t="s">
        <v>34</v>
      </c>
      <c r="W94" s="1" t="s">
        <v>49</v>
      </c>
      <c r="X94" s="1" t="s">
        <v>34</v>
      </c>
      <c r="Y94" s="1" t="s">
        <v>42</v>
      </c>
      <c r="Z94" s="1" t="s">
        <v>51</v>
      </c>
      <c r="AA94" s="8" t="str">
        <f>IFERROR(VLOOKUP(A94,Sheet3!B:H,6,false),VLOOKUP(J94,Sheet2!A:C,2,false))</f>
        <v>https://assets.roomstogo.com/product/sealy-kids-z-505-twin-mattress_50152582_image-item</v>
      </c>
      <c r="AB94" s="8" t="str">
        <f>IFERROR(VLOOKUP(A94,Sheet3!B:H,7,false),VLOOKUP(J94,Sheet2!A:C,3,false))</f>
        <v>https://assets.roomstogo.com/product/sealy-kids-z-505-twin-mattress_50152582_alt-image-1</v>
      </c>
      <c r="AC94" s="8" t="str">
        <f t="shared" si="2"/>
        <v>https://rtg-275.myshopify.com/products/Z-505</v>
      </c>
      <c r="AD94" s="8" t="str">
        <f>vlookup(L94,'Python sheet'!$E$2:$F$373,2,0)</f>
        <v>https://rtg-275.myshopify.com/products/Z-505?variant=47915113676938</v>
      </c>
    </row>
    <row r="95">
      <c r="A95" s="4">
        <v>5.0170047E7</v>
      </c>
      <c r="B95" s="9">
        <v>1.0</v>
      </c>
      <c r="C95" s="9">
        <v>5.0</v>
      </c>
      <c r="D95" s="2" t="s">
        <v>359</v>
      </c>
      <c r="E95" s="2" t="s">
        <v>44</v>
      </c>
      <c r="F95" s="2" t="s">
        <v>360</v>
      </c>
      <c r="G95" s="9">
        <v>1.0</v>
      </c>
      <c r="H95" s="9">
        <v>5.0</v>
      </c>
      <c r="I95" s="9">
        <v>0.0</v>
      </c>
      <c r="J95" s="1" t="s">
        <v>361</v>
      </c>
      <c r="K95" s="1" t="s">
        <v>1012</v>
      </c>
      <c r="L95" s="1" t="str">
        <f t="shared" si="1"/>
        <v>HELIX-KIDSTwin</v>
      </c>
      <c r="M95" s="1" t="s">
        <v>362</v>
      </c>
      <c r="N95" s="6">
        <v>599.0</v>
      </c>
      <c r="O95" s="6">
        <v>748.75</v>
      </c>
      <c r="P95" s="1" t="s">
        <v>234</v>
      </c>
      <c r="Q95" s="7"/>
      <c r="R95" s="7"/>
      <c r="S95" s="1" t="s">
        <v>134</v>
      </c>
      <c r="T95" s="1" t="s">
        <v>242</v>
      </c>
      <c r="U95" s="1" t="s">
        <v>59</v>
      </c>
      <c r="V95" s="1" t="s">
        <v>42</v>
      </c>
      <c r="W95" s="1" t="s">
        <v>35</v>
      </c>
      <c r="X95" s="1" t="s">
        <v>50</v>
      </c>
      <c r="Y95" s="1" t="s">
        <v>34</v>
      </c>
      <c r="Z95" s="1" t="s">
        <v>363</v>
      </c>
      <c r="AA95" s="8" t="str">
        <f>IFERROR(VLOOKUP(A95,Sheet3!B:H,6,false),VLOOKUP(J95,Sheet2!A:C,2,false))</f>
        <v>https://assets.roomstogo.com/product/helix-kids-twin-mattress_50170047_image-item</v>
      </c>
      <c r="AB95" s="8" t="str">
        <f>IFERROR(VLOOKUP(A95,Sheet3!B:H,7,false),VLOOKUP(J95,Sheet2!A:C,3,false))</f>
        <v>https://assets.roomstogo.com/product/helix-kids-twin-mattress_50170047_alt-image-6</v>
      </c>
      <c r="AC95" s="8" t="str">
        <f t="shared" si="2"/>
        <v>https://rtg-275.myshopify.com/products/HELIX-KIDS</v>
      </c>
      <c r="AD95" s="8" t="str">
        <f>vlookup(L95,'Python sheet'!$E$2:$F$373,2,0)</f>
        <v>https://rtg-275.myshopify.com/products/HELIX-KIDS?variant=47915113971850</v>
      </c>
    </row>
    <row r="96">
      <c r="A96" s="4">
        <v>5.0170112E7</v>
      </c>
      <c r="B96" s="5"/>
      <c r="C96" s="5"/>
      <c r="D96" s="5"/>
      <c r="E96" s="5"/>
      <c r="F96" s="5"/>
      <c r="G96" s="5"/>
      <c r="H96" s="5"/>
      <c r="I96" s="5"/>
      <c r="J96" s="1" t="s">
        <v>232</v>
      </c>
      <c r="K96" s="1" t="s">
        <v>1006</v>
      </c>
      <c r="L96" s="1" t="str">
        <f t="shared" si="1"/>
        <v>HELIX-MIDNIGHT-LUXETwin</v>
      </c>
      <c r="M96" s="1" t="s">
        <v>364</v>
      </c>
      <c r="N96" s="6">
        <v>1348.0</v>
      </c>
      <c r="O96" s="6">
        <v>1685.0</v>
      </c>
      <c r="P96" s="1" t="s">
        <v>234</v>
      </c>
      <c r="Q96" s="7"/>
      <c r="R96" s="7"/>
      <c r="S96" s="1" t="s">
        <v>31</v>
      </c>
      <c r="T96" s="1" t="s">
        <v>242</v>
      </c>
      <c r="U96" s="1" t="s">
        <v>59</v>
      </c>
      <c r="V96" s="1" t="s">
        <v>42</v>
      </c>
      <c r="W96" s="1" t="s">
        <v>35</v>
      </c>
      <c r="X96" s="1" t="s">
        <v>42</v>
      </c>
      <c r="Y96" s="1" t="s">
        <v>34</v>
      </c>
      <c r="Z96" s="1" t="s">
        <v>37</v>
      </c>
      <c r="AA96" s="8" t="str">
        <f>IFERROR(VLOOKUP(A96,Sheet3!B:H,6,false),VLOOKUP(J96,Sheet2!A:C,2,false))</f>
        <v>https://assets.roomstogo.com/product/helix-midnight-luxe-twin-xl-mattress_50070110_image-item</v>
      </c>
      <c r="AB96" s="8" t="str">
        <f>IFERROR(VLOOKUP(A96,Sheet3!B:H,7,false),VLOOKUP(J96,Sheet2!A:C,3,false))</f>
        <v>https://assets.roomstogo.com/product/helix-midnight-luxe-twin-xl-mattress_50070110_alt-image-1</v>
      </c>
      <c r="AC96" s="8" t="str">
        <f t="shared" si="2"/>
        <v>https://rtg-275.myshopify.com/products/HELIX-MIDNIGHT-LUXE</v>
      </c>
      <c r="AD96" s="8" t="str">
        <f>vlookup(L96,'Python sheet'!$E$2:$F$373,2,0)</f>
        <v>https://rtg-275.myshopify.com/products/HELIX-MIDNIGHT-LUXE?variant=47915112202378</v>
      </c>
    </row>
    <row r="97">
      <c r="A97" s="4">
        <v>5.0170124E7</v>
      </c>
      <c r="B97" s="5"/>
      <c r="C97" s="5"/>
      <c r="D97" s="5"/>
      <c r="E97" s="5"/>
      <c r="F97" s="5"/>
      <c r="G97" s="5"/>
      <c r="H97" s="5"/>
      <c r="I97" s="5"/>
      <c r="J97" s="1" t="s">
        <v>237</v>
      </c>
      <c r="K97" s="1" t="s">
        <v>1007</v>
      </c>
      <c r="L97" s="1" t="str">
        <f t="shared" si="1"/>
        <v>HELIX-MIDNIGHT-ELITETwin</v>
      </c>
      <c r="M97" s="1" t="s">
        <v>365</v>
      </c>
      <c r="N97" s="6">
        <v>1999.0</v>
      </c>
      <c r="O97" s="6">
        <v>2498.75</v>
      </c>
      <c r="P97" s="1" t="s">
        <v>234</v>
      </c>
      <c r="Q97" s="7"/>
      <c r="R97" s="7"/>
      <c r="S97" s="1" t="s">
        <v>31</v>
      </c>
      <c r="T97" s="1" t="s">
        <v>242</v>
      </c>
      <c r="U97" s="1" t="s">
        <v>59</v>
      </c>
      <c r="V97" s="1" t="s">
        <v>50</v>
      </c>
      <c r="W97" s="1" t="s">
        <v>35</v>
      </c>
      <c r="X97" s="1" t="s">
        <v>42</v>
      </c>
      <c r="Y97" s="1" t="s">
        <v>42</v>
      </c>
      <c r="Z97" s="1" t="s">
        <v>37</v>
      </c>
      <c r="AA97" s="8" t="str">
        <f>IFERROR(VLOOKUP(A97,Sheet3!B:H,6,false),VLOOKUP(J97,Sheet2!A:C,2,false))</f>
        <v>https://assets.roomstogo.com/product/helix-midnight-elite-twin-xl-mattress_50070122_image-item</v>
      </c>
      <c r="AB97" s="8" t="str">
        <f>IFERROR(VLOOKUP(A97,Sheet3!B:H,7,false),VLOOKUP(J97,Sheet2!A:C,3,false))</f>
        <v>https://assets.roomstogo.com/product/helix-midnight-elite-twin-xl-mattress_50070122_alt-image-1</v>
      </c>
      <c r="AC97" s="8" t="str">
        <f t="shared" si="2"/>
        <v>https://rtg-275.myshopify.com/products/HELIX-MIDNIGHT-ELITE</v>
      </c>
      <c r="AD97" s="8" t="str">
        <f>vlookup(L97,'Python sheet'!$E$2:$F$373,2,0)</f>
        <v>https://rtg-275.myshopify.com/products/HELIX-MIDNIGHT-ELITE?variant=47915112431754</v>
      </c>
    </row>
    <row r="98">
      <c r="A98" s="4">
        <v>5.0218607E7</v>
      </c>
      <c r="B98" s="9">
        <v>6.0</v>
      </c>
      <c r="C98" s="9">
        <v>4.5</v>
      </c>
      <c r="D98" s="2" t="s">
        <v>366</v>
      </c>
      <c r="E98" s="2" t="s">
        <v>367</v>
      </c>
      <c r="F98" s="2" t="s">
        <v>368</v>
      </c>
      <c r="G98" s="9">
        <v>11.0</v>
      </c>
      <c r="H98" s="9">
        <v>4.45</v>
      </c>
      <c r="I98" s="9">
        <v>5.0</v>
      </c>
      <c r="J98" s="1" t="s">
        <v>369</v>
      </c>
      <c r="K98" s="1" t="s">
        <v>1013</v>
      </c>
      <c r="L98" s="1" t="str">
        <f t="shared" si="1"/>
        <v>EASE-4-0Twin</v>
      </c>
      <c r="M98" s="1" t="s">
        <v>370</v>
      </c>
      <c r="N98" s="6">
        <v>899.0</v>
      </c>
      <c r="O98" s="6">
        <v>899.0</v>
      </c>
      <c r="P98" s="7"/>
      <c r="Q98" s="7"/>
      <c r="R98" s="1" t="s">
        <v>371</v>
      </c>
      <c r="S98" s="1" t="s">
        <v>31</v>
      </c>
      <c r="T98" s="1" t="s">
        <v>242</v>
      </c>
      <c r="U98" s="7"/>
      <c r="V98" s="7"/>
      <c r="W98" s="7"/>
      <c r="X98" s="7"/>
      <c r="Y98" s="7"/>
      <c r="Z98" s="7"/>
      <c r="AA98" s="11" t="str">
        <f>IFERROR(VLOOKUP(A98,Sheet3!B:H,6,false),VLOOKUP(J98,Sheet2!A:C,2,false))</f>
        <v>#N/A</v>
      </c>
      <c r="AB98" s="11" t="str">
        <f>IFERROR(VLOOKUP(A98,Sheet3!B:H,7,false),VLOOKUP(J98,Sheet2!A:C,3,false))</f>
        <v>#N/A</v>
      </c>
      <c r="AC98" s="8" t="str">
        <f t="shared" si="2"/>
        <v>https://rtg-275.myshopify.com/products/EASE-4-0</v>
      </c>
      <c r="AD98" s="8" t="str">
        <f>vlookup(L98,'Python sheet'!$E$2:$F$373,2,0)</f>
        <v>https://rtg-275.myshopify.com/products/EASE-4-0?variant=47915114070154</v>
      </c>
    </row>
    <row r="99">
      <c r="A99" s="4">
        <v>5.0300549E7</v>
      </c>
      <c r="B99" s="9">
        <v>78.0</v>
      </c>
      <c r="C99" s="9">
        <v>4.21</v>
      </c>
      <c r="D99" s="2" t="s">
        <v>239</v>
      </c>
      <c r="E99" s="2" t="s">
        <v>44</v>
      </c>
      <c r="F99" s="2" t="s">
        <v>240</v>
      </c>
      <c r="G99" s="9">
        <v>81.0</v>
      </c>
      <c r="H99" s="9">
        <v>4.23</v>
      </c>
      <c r="I99" s="9">
        <v>3.0</v>
      </c>
      <c r="J99" s="1" t="s">
        <v>28</v>
      </c>
      <c r="K99" s="1" t="s">
        <v>968</v>
      </c>
      <c r="L99" s="1" t="str">
        <f t="shared" si="1"/>
        <v>CASPER-CLOUD-ONEFull</v>
      </c>
      <c r="M99" s="1" t="s">
        <v>372</v>
      </c>
      <c r="N99" s="6">
        <v>959.0</v>
      </c>
      <c r="O99" s="6">
        <v>1199.0</v>
      </c>
      <c r="P99" s="1" t="s">
        <v>30</v>
      </c>
      <c r="Q99" s="7"/>
      <c r="R99" s="7"/>
      <c r="S99" s="1" t="s">
        <v>31</v>
      </c>
      <c r="T99" s="1" t="s">
        <v>373</v>
      </c>
      <c r="U99" s="1" t="s">
        <v>33</v>
      </c>
      <c r="V99" s="1" t="s">
        <v>34</v>
      </c>
      <c r="W99" s="1" t="s">
        <v>35</v>
      </c>
      <c r="X99" s="1" t="s">
        <v>34</v>
      </c>
      <c r="Y99" s="1" t="s">
        <v>36</v>
      </c>
      <c r="Z99" s="1" t="s">
        <v>37</v>
      </c>
      <c r="AA99" s="8" t="str">
        <f>IFERROR(VLOOKUP(A99,Sheet3!B:H,6,false),VLOOKUP(J99,Sheet2!A:C,2,false))</f>
        <v>https://assets.roomstogo.com/product/casper-cloud-one-twin-xl-mattress_50000543_image-item</v>
      </c>
      <c r="AB99" s="8" t="str">
        <f>IFERROR(VLOOKUP(A99,Sheet3!B:H,7,false),VLOOKUP(J99,Sheet2!A:C,3,false))</f>
        <v>https://assets.roomstogo.com/product/casper-cloud-one-twin-xl-mattress_50000543_alt-image-1</v>
      </c>
      <c r="AC99" s="8" t="str">
        <f t="shared" si="2"/>
        <v>https://rtg-275.myshopify.com/products/CASPER-CLOUD-ONE</v>
      </c>
      <c r="AD99" s="8" t="str">
        <f>vlookup(L99,'Python sheet'!$E$2:$F$373,2,0)</f>
        <v>https://rtg-275.myshopify.com/products/CASPER-CLOUD-ONE?variant=47915101585546</v>
      </c>
    </row>
    <row r="100">
      <c r="A100" s="4">
        <v>5.0300575E7</v>
      </c>
      <c r="B100" s="5"/>
      <c r="C100" s="5"/>
      <c r="D100" s="5"/>
      <c r="E100" s="5"/>
      <c r="F100" s="5"/>
      <c r="G100" s="5"/>
      <c r="H100" s="5"/>
      <c r="I100" s="5"/>
      <c r="J100" s="1" t="s">
        <v>38</v>
      </c>
      <c r="K100" s="1" t="s">
        <v>969</v>
      </c>
      <c r="L100" s="1" t="str">
        <f t="shared" si="1"/>
        <v>CASPER-SNOW-2-0Full</v>
      </c>
      <c r="M100" s="1" t="s">
        <v>374</v>
      </c>
      <c r="N100" s="6">
        <v>1995.0</v>
      </c>
      <c r="O100" s="6">
        <v>2495.0</v>
      </c>
      <c r="P100" s="1" t="s">
        <v>30</v>
      </c>
      <c r="Q100" s="7"/>
      <c r="R100" s="1" t="s">
        <v>375</v>
      </c>
      <c r="S100" s="1" t="s">
        <v>31</v>
      </c>
      <c r="T100" s="1" t="s">
        <v>373</v>
      </c>
      <c r="U100" s="1" t="s">
        <v>41</v>
      </c>
      <c r="V100" s="1" t="s">
        <v>34</v>
      </c>
      <c r="W100" s="1" t="s">
        <v>35</v>
      </c>
      <c r="X100" s="1" t="s">
        <v>34</v>
      </c>
      <c r="Y100" s="1" t="s">
        <v>42</v>
      </c>
      <c r="Z100" s="1" t="s">
        <v>37</v>
      </c>
      <c r="AA100" s="8" t="str">
        <f>IFERROR(VLOOKUP(A100,Sheet3!B:H,6,false),VLOOKUP(J100,Sheet2!A:C,2,false))</f>
        <v>https://assets.roomstogo.com/product/casper-snow-20-twin-xl-mattress_50000579_image-item</v>
      </c>
      <c r="AB100" s="8" t="str">
        <f>IFERROR(VLOOKUP(A100,Sheet3!B:H,7,false),VLOOKUP(J100,Sheet2!A:C,3,false))</f>
        <v>https://assets.roomstogo.com/product/casper-snow-20-twin-xl-mattress_50000579_alt-image-1</v>
      </c>
      <c r="AC100" s="8" t="str">
        <f t="shared" si="2"/>
        <v>https://rtg-275.myshopify.com/products/CASPER-SNOW-2-0</v>
      </c>
      <c r="AD100" s="8" t="str">
        <f>vlookup(L100,'Python sheet'!$E$2:$F$373,2,0)</f>
        <v>https://rtg-275.myshopify.com/products/CASPER-SNOW-2-0?variant=47915101782154</v>
      </c>
    </row>
    <row r="101">
      <c r="A101" s="4">
        <v>5.0300587E7</v>
      </c>
      <c r="B101" s="9">
        <v>1.0</v>
      </c>
      <c r="C101" s="9">
        <v>5.0</v>
      </c>
      <c r="D101" s="2" t="s">
        <v>43</v>
      </c>
      <c r="E101" s="2" t="s">
        <v>44</v>
      </c>
      <c r="F101" s="2" t="s">
        <v>45</v>
      </c>
      <c r="G101" s="9">
        <v>380.0</v>
      </c>
      <c r="H101" s="9">
        <v>4.42</v>
      </c>
      <c r="I101" s="9">
        <v>379.0</v>
      </c>
      <c r="J101" s="1" t="s">
        <v>46</v>
      </c>
      <c r="K101" s="1" t="s">
        <v>970</v>
      </c>
      <c r="L101" s="1" t="str">
        <f t="shared" si="1"/>
        <v>CASPER-SNOW-MAXFull</v>
      </c>
      <c r="M101" s="1" t="s">
        <v>376</v>
      </c>
      <c r="N101" s="6">
        <v>2995.0</v>
      </c>
      <c r="O101" s="6">
        <v>3795.0</v>
      </c>
      <c r="P101" s="1" t="s">
        <v>30</v>
      </c>
      <c r="Q101" s="7"/>
      <c r="R101" s="1" t="s">
        <v>48</v>
      </c>
      <c r="S101" s="1" t="s">
        <v>31</v>
      </c>
      <c r="T101" s="1" t="s">
        <v>373</v>
      </c>
      <c r="U101" s="1" t="s">
        <v>41</v>
      </c>
      <c r="V101" s="1" t="s">
        <v>42</v>
      </c>
      <c r="W101" s="1" t="s">
        <v>49</v>
      </c>
      <c r="X101" s="1" t="s">
        <v>34</v>
      </c>
      <c r="Y101" s="1" t="s">
        <v>50</v>
      </c>
      <c r="Z101" s="1" t="s">
        <v>51</v>
      </c>
      <c r="AA101" s="8" t="str">
        <f>IFERROR(VLOOKUP(A101,Sheet3!B:H,6,false),VLOOKUP(J101,Sheet2!A:C,2,false))</f>
        <v>https://assets.roomstogo.com/product/casper-snow-max-twin-xl-mattress_50000581_image-item</v>
      </c>
      <c r="AB101" s="8" t="str">
        <f>IFERROR(VLOOKUP(A101,Sheet3!B:H,7,false),VLOOKUP(J101,Sheet2!A:C,3,false))</f>
        <v>https://assets.roomstogo.com/product/casper-snow-max-twin-xl-mattress_50000581_alt-image-1</v>
      </c>
      <c r="AC101" s="8" t="str">
        <f t="shared" si="2"/>
        <v>https://rtg-275.myshopify.com/products/CASPER-SNOW-MAX</v>
      </c>
      <c r="AD101" s="8" t="str">
        <f>vlookup(L101,'Python sheet'!$E$2:$F$373,2,0)</f>
        <v>https://rtg-275.myshopify.com/products/CASPER-SNOW-MAX?variant=47915102011530</v>
      </c>
    </row>
    <row r="102">
      <c r="A102" s="4">
        <v>5.0300688E7</v>
      </c>
      <c r="B102" s="9">
        <v>3.0</v>
      </c>
      <c r="C102" s="9">
        <v>3.67</v>
      </c>
      <c r="D102" s="2" t="s">
        <v>377</v>
      </c>
      <c r="E102" s="2" t="s">
        <v>44</v>
      </c>
      <c r="F102" s="2" t="s">
        <v>378</v>
      </c>
      <c r="G102" s="9">
        <v>6.0</v>
      </c>
      <c r="H102" s="9">
        <v>3.67</v>
      </c>
      <c r="I102" s="9">
        <v>3.0</v>
      </c>
      <c r="J102" s="1" t="s">
        <v>52</v>
      </c>
      <c r="K102" s="1" t="s">
        <v>971</v>
      </c>
      <c r="L102" s="1" t="str">
        <f t="shared" si="1"/>
        <v>CASPER-ONYX-2-0Full</v>
      </c>
      <c r="M102" s="1" t="s">
        <v>379</v>
      </c>
      <c r="N102" s="6">
        <v>749.0</v>
      </c>
      <c r="O102" s="6">
        <v>849.0</v>
      </c>
      <c r="P102" s="1" t="s">
        <v>30</v>
      </c>
      <c r="Q102" s="1" t="s">
        <v>54</v>
      </c>
      <c r="R102" s="1" t="s">
        <v>244</v>
      </c>
      <c r="S102" s="1" t="s">
        <v>31</v>
      </c>
      <c r="T102" s="1" t="s">
        <v>373</v>
      </c>
      <c r="U102" s="1" t="s">
        <v>33</v>
      </c>
      <c r="V102" s="1" t="s">
        <v>36</v>
      </c>
      <c r="W102" s="1" t="s">
        <v>35</v>
      </c>
      <c r="X102" s="1" t="s">
        <v>36</v>
      </c>
      <c r="Y102" s="1" t="s">
        <v>36</v>
      </c>
      <c r="Z102" s="1" t="s">
        <v>37</v>
      </c>
      <c r="AA102" s="8" t="str">
        <f>IFERROR(VLOOKUP(A102,Sheet3!B:H,6,false),VLOOKUP(J102,Sheet2!A:C,2,false))</f>
        <v>https://assets.roomstogo.com/product/casper-onyx-20-twin-xl-mattress_50000682_image-item</v>
      </c>
      <c r="AB102" s="8" t="str">
        <f>IFERROR(VLOOKUP(A102,Sheet3!B:H,7,false),VLOOKUP(J102,Sheet2!A:C,3,false))</f>
        <v>https://assets.roomstogo.com/product/casper-onyx-20-twin-xl-mattress_50000682_alt-image-1</v>
      </c>
      <c r="AC102" s="8" t="str">
        <f t="shared" si="2"/>
        <v>https://rtg-275.myshopify.com/products/CASPER-ONYX-2-0</v>
      </c>
      <c r="AD102" s="8" t="str">
        <f>vlookup(L102,'Python sheet'!$E$2:$F$373,2,0)</f>
        <v>https://rtg-275.myshopify.com/products/CASPER-ONYX-2-0?variant=47915102240906</v>
      </c>
    </row>
    <row r="103">
      <c r="A103" s="4">
        <v>5.0301779E7</v>
      </c>
      <c r="B103" s="5"/>
      <c r="C103" s="5"/>
      <c r="D103" s="5"/>
      <c r="E103" s="5"/>
      <c r="F103" s="5"/>
      <c r="G103" s="5"/>
      <c r="H103" s="5"/>
      <c r="I103" s="5"/>
      <c r="J103" s="1" t="s">
        <v>56</v>
      </c>
      <c r="K103" s="1" t="s">
        <v>972</v>
      </c>
      <c r="L103" s="1" t="str">
        <f t="shared" si="1"/>
        <v>SMART-MATCH-2-0Full</v>
      </c>
      <c r="M103" s="1" t="s">
        <v>380</v>
      </c>
      <c r="N103" s="6">
        <v>1177.0</v>
      </c>
      <c r="O103" s="6">
        <v>3599.0</v>
      </c>
      <c r="P103" s="1" t="s">
        <v>58</v>
      </c>
      <c r="Q103" s="7"/>
      <c r="R103" s="7"/>
      <c r="S103" s="7"/>
      <c r="T103" s="1" t="s">
        <v>373</v>
      </c>
      <c r="U103" s="1" t="s">
        <v>59</v>
      </c>
      <c r="V103" s="1" t="s">
        <v>42</v>
      </c>
      <c r="W103" s="1" t="s">
        <v>35</v>
      </c>
      <c r="X103" s="1" t="s">
        <v>42</v>
      </c>
      <c r="Y103" s="1" t="s">
        <v>34</v>
      </c>
      <c r="Z103" s="1" t="s">
        <v>37</v>
      </c>
      <c r="AA103" s="8" t="str">
        <f>IFERROR(VLOOKUP(A103,Sheet3!B:H,6,false),VLOOKUP(J103,Sheet2!A:C,2,false))</f>
        <v>https://assets.roomstogo.com/product/kingsdown-smart-match-20-twin-xl-mattress_50001773_image-item</v>
      </c>
      <c r="AB103" s="8" t="str">
        <f>IFERROR(VLOOKUP(A103,Sheet3!B:H,7,false),VLOOKUP(J103,Sheet2!A:C,3,false))</f>
        <v>https://assets.roomstogo.com/product/kingsdown-smart-match-20-twin-xl-mattress_50001773_alt-image-1</v>
      </c>
      <c r="AC103" s="8" t="str">
        <f t="shared" si="2"/>
        <v>https://rtg-275.myshopify.com/products/SMART-MATCH-2-0</v>
      </c>
      <c r="AD103" s="8" t="str">
        <f>vlookup(L103,'Python sheet'!$E$2:$F$373,2,0)</f>
        <v>https://rtg-275.myshopify.com/products/SMART-MATCH-2-0?variant=47915102535818</v>
      </c>
    </row>
    <row r="104">
      <c r="A104" s="4">
        <v>5.0302264E7</v>
      </c>
      <c r="B104" s="9">
        <v>10.0</v>
      </c>
      <c r="C104" s="9">
        <v>4.0</v>
      </c>
      <c r="D104" s="2" t="s">
        <v>246</v>
      </c>
      <c r="E104" s="2" t="s">
        <v>44</v>
      </c>
      <c r="F104" s="2" t="s">
        <v>247</v>
      </c>
      <c r="G104" s="9">
        <v>43.0</v>
      </c>
      <c r="H104" s="9">
        <v>4.37</v>
      </c>
      <c r="I104" s="9">
        <v>33.0</v>
      </c>
      <c r="J104" s="1" t="s">
        <v>248</v>
      </c>
      <c r="K104" s="1" t="s">
        <v>248</v>
      </c>
      <c r="L104" s="1" t="str">
        <f t="shared" si="1"/>
        <v>TURNBULLFull</v>
      </c>
      <c r="M104" s="1" t="s">
        <v>381</v>
      </c>
      <c r="N104" s="6">
        <v>338.0</v>
      </c>
      <c r="O104" s="6">
        <v>349.99</v>
      </c>
      <c r="P104" s="1" t="s">
        <v>58</v>
      </c>
      <c r="Q104" s="1" t="s">
        <v>54</v>
      </c>
      <c r="R104" s="1" t="s">
        <v>250</v>
      </c>
      <c r="S104" s="1" t="s">
        <v>134</v>
      </c>
      <c r="T104" s="1" t="s">
        <v>373</v>
      </c>
      <c r="U104" s="1" t="s">
        <v>59</v>
      </c>
      <c r="V104" s="1" t="s">
        <v>36</v>
      </c>
      <c r="W104" s="1" t="s">
        <v>35</v>
      </c>
      <c r="X104" s="1" t="s">
        <v>251</v>
      </c>
      <c r="Y104" s="1" t="s">
        <v>36</v>
      </c>
      <c r="Z104" s="1" t="s">
        <v>37</v>
      </c>
      <c r="AA104" s="8" t="str">
        <f>IFERROR(VLOOKUP(A104,Sheet3!B:H,6,false),VLOOKUP(J104,Sheet2!A:C,2,false))</f>
        <v>https://assets.roomstogo.com/product/kingsdown-turnbull-twin-mattress_50102260_image-item</v>
      </c>
      <c r="AB104" s="8" t="str">
        <f>IFERROR(VLOOKUP(A104,Sheet3!B:H,7,false),VLOOKUP(J104,Sheet2!A:C,3,false))</f>
        <v>https://assets.roomstogo.com/product/kingsdown-turnbull-twin-mattress_50102260_alt-image-1</v>
      </c>
      <c r="AC104" s="8" t="str">
        <f t="shared" si="2"/>
        <v>https://rtg-275.myshopify.com/products/TURNBULL</v>
      </c>
      <c r="AD104" s="8" t="str">
        <f>vlookup(L104,'Python sheet'!$E$2:$F$373,2,0)</f>
        <v>https://rtg-275.myshopify.com/products/TURNBULL?variant=47915112628362</v>
      </c>
    </row>
    <row r="105">
      <c r="A105" s="4">
        <v>5.0302288E7</v>
      </c>
      <c r="B105" s="9">
        <v>15.0</v>
      </c>
      <c r="C105" s="9">
        <v>4.6</v>
      </c>
      <c r="D105" s="2" t="s">
        <v>252</v>
      </c>
      <c r="E105" s="2" t="s">
        <v>44</v>
      </c>
      <c r="F105" s="2" t="s">
        <v>253</v>
      </c>
      <c r="G105" s="9">
        <v>26.0</v>
      </c>
      <c r="H105" s="9">
        <v>4.46</v>
      </c>
      <c r="I105" s="9">
        <v>11.0</v>
      </c>
      <c r="J105" s="1" t="s">
        <v>254</v>
      </c>
      <c r="K105" s="1" t="s">
        <v>254</v>
      </c>
      <c r="L105" s="1" t="str">
        <f t="shared" si="1"/>
        <v>HAWKEFull</v>
      </c>
      <c r="M105" s="1" t="s">
        <v>382</v>
      </c>
      <c r="N105" s="6">
        <v>398.0</v>
      </c>
      <c r="O105" s="6">
        <v>499.99</v>
      </c>
      <c r="P105" s="1" t="s">
        <v>58</v>
      </c>
      <c r="Q105" s="1" t="s">
        <v>54</v>
      </c>
      <c r="R105" s="1" t="s">
        <v>256</v>
      </c>
      <c r="S105" s="1" t="s">
        <v>134</v>
      </c>
      <c r="T105" s="1" t="s">
        <v>373</v>
      </c>
      <c r="U105" s="1" t="s">
        <v>59</v>
      </c>
      <c r="V105" s="1" t="s">
        <v>34</v>
      </c>
      <c r="W105" s="1" t="s">
        <v>35</v>
      </c>
      <c r="X105" s="1" t="s">
        <v>42</v>
      </c>
      <c r="Y105" s="1" t="s">
        <v>36</v>
      </c>
      <c r="Z105" s="1" t="s">
        <v>37</v>
      </c>
      <c r="AA105" s="8" t="str">
        <f>IFERROR(VLOOKUP(A105,Sheet3!B:H,6,false),VLOOKUP(J105,Sheet2!A:C,2,false))</f>
        <v>https://assets.roomstogo.com/product/kingsdown-hawke-twin-mattress_50102284_image-item</v>
      </c>
      <c r="AB105" s="8" t="str">
        <f>IFERROR(VLOOKUP(A105,Sheet3!B:H,7,false),VLOOKUP(J105,Sheet2!A:C,3,false))</f>
        <v>https://assets.roomstogo.com/product/kingsdown-hawke-twin-mattress_50102284_alt-image-1</v>
      </c>
      <c r="AC105" s="8" t="str">
        <f t="shared" si="2"/>
        <v>https://rtg-275.myshopify.com/products/HAWKE</v>
      </c>
      <c r="AD105" s="8" t="str">
        <f>vlookup(L105,'Python sheet'!$E$2:$F$373,2,0)</f>
        <v>https://rtg-275.myshopify.com/products/HAWKE?variant=47915112726666</v>
      </c>
    </row>
    <row r="106">
      <c r="A106" s="4">
        <v>5.030229E7</v>
      </c>
      <c r="B106" s="9">
        <v>6.0</v>
      </c>
      <c r="C106" s="9">
        <v>4.67</v>
      </c>
      <c r="D106" s="2" t="s">
        <v>257</v>
      </c>
      <c r="E106" s="2" t="s">
        <v>44</v>
      </c>
      <c r="F106" s="2" t="s">
        <v>258</v>
      </c>
      <c r="G106" s="9">
        <v>9.0</v>
      </c>
      <c r="H106" s="9">
        <v>4.56</v>
      </c>
      <c r="I106" s="9">
        <v>3.0</v>
      </c>
      <c r="J106" s="1" t="s">
        <v>259</v>
      </c>
      <c r="K106" s="1" t="s">
        <v>259</v>
      </c>
      <c r="L106" s="1" t="str">
        <f t="shared" si="1"/>
        <v>GRENSONFull</v>
      </c>
      <c r="M106" s="1" t="s">
        <v>383</v>
      </c>
      <c r="N106" s="6">
        <v>527.0</v>
      </c>
      <c r="O106" s="6">
        <v>599.99</v>
      </c>
      <c r="P106" s="1" t="s">
        <v>58</v>
      </c>
      <c r="Q106" s="1" t="s">
        <v>54</v>
      </c>
      <c r="R106" s="1" t="s">
        <v>261</v>
      </c>
      <c r="S106" s="1" t="s">
        <v>134</v>
      </c>
      <c r="T106" s="1" t="s">
        <v>373</v>
      </c>
      <c r="U106" s="1" t="s">
        <v>33</v>
      </c>
      <c r="V106" s="1" t="s">
        <v>42</v>
      </c>
      <c r="W106" s="1" t="s">
        <v>49</v>
      </c>
      <c r="X106" s="1" t="s">
        <v>34</v>
      </c>
      <c r="Y106" s="1" t="s">
        <v>36</v>
      </c>
      <c r="Z106" s="1" t="s">
        <v>51</v>
      </c>
      <c r="AA106" s="8" t="str">
        <f>IFERROR(VLOOKUP(A106,Sheet3!B:H,6,false),VLOOKUP(J106,Sheet2!A:C,2,false))</f>
        <v>https://assets.roomstogo.com/product/kingsdown-grenson-twin-mattress_50102296_image-item</v>
      </c>
      <c r="AB106" s="8" t="str">
        <f>IFERROR(VLOOKUP(A106,Sheet3!B:H,7,false),VLOOKUP(J106,Sheet2!A:C,3,false))</f>
        <v>https://assets.roomstogo.com/product/kingsdown-grenson-twin-mattress_50102296_alt-image-1</v>
      </c>
      <c r="AC106" s="8" t="str">
        <f t="shared" si="2"/>
        <v>https://rtg-275.myshopify.com/products/GRENSON</v>
      </c>
      <c r="AD106" s="8" t="str">
        <f>vlookup(L106,'Python sheet'!$E$2:$F$373,2,0)</f>
        <v>https://rtg-275.myshopify.com/products/GRENSON?variant=47915112792202</v>
      </c>
    </row>
    <row r="107">
      <c r="A107" s="4">
        <v>5.0307466E7</v>
      </c>
      <c r="B107" s="9">
        <v>3.0</v>
      </c>
      <c r="C107" s="9">
        <v>4.0</v>
      </c>
      <c r="D107" s="2" t="s">
        <v>60</v>
      </c>
      <c r="E107" s="2" t="s">
        <v>44</v>
      </c>
      <c r="F107" s="2" t="s">
        <v>61</v>
      </c>
      <c r="G107" s="9">
        <v>346.0</v>
      </c>
      <c r="H107" s="9">
        <v>4.43</v>
      </c>
      <c r="I107" s="9">
        <v>343.0</v>
      </c>
      <c r="J107" s="1" t="s">
        <v>62</v>
      </c>
      <c r="K107" s="1" t="s">
        <v>973</v>
      </c>
      <c r="L107" s="1" t="str">
        <f t="shared" si="1"/>
        <v>ADAPT-2-0-MEDIUMFull</v>
      </c>
      <c r="M107" s="1" t="s">
        <v>384</v>
      </c>
      <c r="N107" s="6">
        <v>2049.0</v>
      </c>
      <c r="O107" s="6">
        <v>2049.0</v>
      </c>
      <c r="P107" s="1" t="s">
        <v>64</v>
      </c>
      <c r="Q107" s="7"/>
      <c r="R107" s="1" t="s">
        <v>65</v>
      </c>
      <c r="S107" s="1" t="s">
        <v>31</v>
      </c>
      <c r="T107" s="1" t="s">
        <v>373</v>
      </c>
      <c r="U107" s="1" t="s">
        <v>33</v>
      </c>
      <c r="V107" s="1" t="s">
        <v>42</v>
      </c>
      <c r="W107" s="1" t="s">
        <v>35</v>
      </c>
      <c r="X107" s="1" t="s">
        <v>42</v>
      </c>
      <c r="Y107" s="1" t="s">
        <v>42</v>
      </c>
      <c r="Z107" s="1" t="s">
        <v>37</v>
      </c>
      <c r="AA107" s="8" t="str">
        <f>IFERROR(VLOOKUP(A107,Sheet3!B:H,6,false),VLOOKUP(J107,Sheet2!A:C,2,false))</f>
        <v>https://assets.roomstogo.com/product/tempur-pedic-adapt-20-medium-twin-xl-mattress_50007460_image-item</v>
      </c>
      <c r="AB107" s="8" t="str">
        <f>IFERROR(VLOOKUP(A107,Sheet3!B:H,7,false),VLOOKUP(J107,Sheet2!A:C,3,false))</f>
        <v>https://assets.roomstogo.com/product/tempur-pedic-adapt-20-medium-twin-xl-mattress_50007460_alt-image-1</v>
      </c>
      <c r="AC107" s="8" t="str">
        <f t="shared" si="2"/>
        <v>https://rtg-275.myshopify.com/products/ADAPT-2-0-MEDIUM</v>
      </c>
      <c r="AD107" s="8" t="str">
        <f>vlookup(L107,'Python sheet'!$E$2:$F$373,2,0)</f>
        <v>https://rtg-275.myshopify.com/products/ADAPT-2-0-MEDIUM?variant=47915102830730</v>
      </c>
    </row>
    <row r="108">
      <c r="A108" s="4">
        <v>5.0307478E7</v>
      </c>
      <c r="B108" s="5"/>
      <c r="C108" s="5"/>
      <c r="D108" s="5"/>
      <c r="E108" s="5"/>
      <c r="F108" s="5"/>
      <c r="G108" s="5"/>
      <c r="H108" s="5"/>
      <c r="I108" s="5"/>
      <c r="J108" s="1" t="s">
        <v>68</v>
      </c>
      <c r="K108" s="1" t="s">
        <v>974</v>
      </c>
      <c r="L108" s="1" t="str">
        <f t="shared" si="1"/>
        <v>ADAPT-2-0-MEDIUM-HYBRIDFull</v>
      </c>
      <c r="M108" s="1" t="s">
        <v>385</v>
      </c>
      <c r="N108" s="6">
        <v>2349.0</v>
      </c>
      <c r="O108" s="6">
        <v>2349.0</v>
      </c>
      <c r="P108" s="1" t="s">
        <v>64</v>
      </c>
      <c r="Q108" s="7"/>
      <c r="R108" s="1" t="s">
        <v>70</v>
      </c>
      <c r="S108" s="1" t="s">
        <v>31</v>
      </c>
      <c r="T108" s="1" t="s">
        <v>373</v>
      </c>
      <c r="U108" s="1" t="s">
        <v>41</v>
      </c>
      <c r="V108" s="1" t="s">
        <v>42</v>
      </c>
      <c r="W108" s="1" t="s">
        <v>35</v>
      </c>
      <c r="X108" s="1" t="s">
        <v>42</v>
      </c>
      <c r="Y108" s="1" t="s">
        <v>42</v>
      </c>
      <c r="Z108" s="1" t="s">
        <v>37</v>
      </c>
      <c r="AA108" s="8" t="str">
        <f>IFERROR(VLOOKUP(A108,Sheet3!B:H,6,false),VLOOKUP(J108,Sheet2!A:C,2,false))</f>
        <v>https://assets.roomstogo.com/product/tempur-pedic-adapt-20-medium-hybrid-twin-xl-mattress_50007472_image-item</v>
      </c>
      <c r="AB108" s="8" t="str">
        <f>IFERROR(VLOOKUP(A108,Sheet3!B:H,7,false),VLOOKUP(J108,Sheet2!A:C,3,false))</f>
        <v>https://assets.roomstogo.com/product/tempur-pedic-adapt-20-medium-hybrid-twin-xl-mattress_50007472_alt-image-1</v>
      </c>
      <c r="AC108" s="8" t="str">
        <f t="shared" si="2"/>
        <v>https://rtg-275.myshopify.com/products/ADAPT-2-0-MEDIUM-HYBRID</v>
      </c>
      <c r="AD108" s="8" t="str">
        <f>vlookup(L108,'Python sheet'!$E$2:$F$373,2,0)</f>
        <v>https://rtg-275.myshopify.com/products/ADAPT-2-0-MEDIUM-HYBRID?variant=47915103191178</v>
      </c>
    </row>
    <row r="109">
      <c r="A109" s="4">
        <v>5.030748E7</v>
      </c>
      <c r="B109" s="5"/>
      <c r="C109" s="5"/>
      <c r="D109" s="5"/>
      <c r="E109" s="5"/>
      <c r="F109" s="5"/>
      <c r="G109" s="5"/>
      <c r="H109" s="5"/>
      <c r="I109" s="5"/>
      <c r="J109" s="1" t="s">
        <v>73</v>
      </c>
      <c r="K109" s="1" t="s">
        <v>975</v>
      </c>
      <c r="L109" s="1" t="str">
        <f t="shared" si="1"/>
        <v>PROADAPT-2-0-FIRMFull</v>
      </c>
      <c r="M109" s="1" t="s">
        <v>386</v>
      </c>
      <c r="N109" s="6">
        <v>3249.0</v>
      </c>
      <c r="O109" s="6">
        <v>3249.0</v>
      </c>
      <c r="P109" s="1" t="s">
        <v>64</v>
      </c>
      <c r="Q109" s="7"/>
      <c r="R109" s="1" t="s">
        <v>75</v>
      </c>
      <c r="S109" s="1" t="s">
        <v>31</v>
      </c>
      <c r="T109" s="1" t="s">
        <v>373</v>
      </c>
      <c r="U109" s="1" t="s">
        <v>33</v>
      </c>
      <c r="V109" s="1" t="s">
        <v>42</v>
      </c>
      <c r="W109" s="1" t="s">
        <v>76</v>
      </c>
      <c r="X109" s="1" t="s">
        <v>50</v>
      </c>
      <c r="Y109" s="1" t="s">
        <v>42</v>
      </c>
      <c r="Z109" s="1" t="s">
        <v>77</v>
      </c>
      <c r="AA109" s="8" t="str">
        <f>IFERROR(VLOOKUP(A109,Sheet3!B:H,6,false),VLOOKUP(J109,Sheet2!A:C,2,false))</f>
        <v>https://assets.roomstogo.com/product/tempur-pedic-proadapt-20-firm-twin-xl-mattress_50007484_image-item</v>
      </c>
      <c r="AB109" s="8" t="str">
        <f>IFERROR(VLOOKUP(A109,Sheet3!B:H,7,false),VLOOKUP(J109,Sheet2!A:C,3,false))</f>
        <v>https://assets.roomstogo.com/product/tempur-pedic-proadapt-20-firm-twin-xl-mattress_50007484_alt-image-1</v>
      </c>
      <c r="AC109" s="8" t="str">
        <f t="shared" si="2"/>
        <v>https://rtg-275.myshopify.com/products/PROADAPT-2-0-FIRM</v>
      </c>
      <c r="AD109" s="8" t="str">
        <f>vlookup(L109,'Python sheet'!$E$2:$F$373,2,0)</f>
        <v>https://rtg-275.myshopify.com/products/PROADAPT-2-0-FIRM?variant=47915103518858</v>
      </c>
    </row>
    <row r="110">
      <c r="A110" s="4">
        <v>5.0307529E7</v>
      </c>
      <c r="B110" s="5"/>
      <c r="C110" s="5"/>
      <c r="D110" s="5"/>
      <c r="E110" s="5"/>
      <c r="F110" s="5"/>
      <c r="G110" s="5"/>
      <c r="H110" s="5"/>
      <c r="I110" s="5"/>
      <c r="J110" s="1" t="s">
        <v>85</v>
      </c>
      <c r="K110" s="1" t="s">
        <v>977</v>
      </c>
      <c r="L110" s="1" t="str">
        <f t="shared" si="1"/>
        <v>PROADAPT-2-0-MEDIUMFull</v>
      </c>
      <c r="M110" s="1" t="s">
        <v>387</v>
      </c>
      <c r="N110" s="6">
        <v>3249.0</v>
      </c>
      <c r="O110" s="6">
        <v>3249.0</v>
      </c>
      <c r="P110" s="1" t="s">
        <v>64</v>
      </c>
      <c r="Q110" s="7"/>
      <c r="R110" s="1" t="s">
        <v>75</v>
      </c>
      <c r="S110" s="1" t="s">
        <v>31</v>
      </c>
      <c r="T110" s="1" t="s">
        <v>373</v>
      </c>
      <c r="U110" s="1" t="s">
        <v>33</v>
      </c>
      <c r="V110" s="1" t="s">
        <v>42</v>
      </c>
      <c r="W110" s="1" t="s">
        <v>35</v>
      </c>
      <c r="X110" s="1" t="s">
        <v>50</v>
      </c>
      <c r="Y110" s="1" t="s">
        <v>42</v>
      </c>
      <c r="Z110" s="1" t="s">
        <v>37</v>
      </c>
      <c r="AA110" s="8" t="str">
        <f>IFERROR(VLOOKUP(A110,Sheet3!B:H,6,false),VLOOKUP(J110,Sheet2!A:C,2,false))</f>
        <v>https://assets.roomstogo.com/product/tempur-pedic-proadapt-20-medium-twin-xl-mattress_50007523_image-item</v>
      </c>
      <c r="AB110" s="8" t="str">
        <f>IFERROR(VLOOKUP(A110,Sheet3!B:H,7,false),VLOOKUP(J110,Sheet2!A:C,3,false))</f>
        <v>https://assets.roomstogo.com/product/tempur-pedic-proadapt-20-medium-twin-xl-mattress_50007523_alt-image-1</v>
      </c>
      <c r="AC110" s="8" t="str">
        <f t="shared" si="2"/>
        <v>https://rtg-275.myshopify.com/products/PROADAPT-2-0-MEDIUM</v>
      </c>
      <c r="AD110" s="8" t="str">
        <f>vlookup(L110,'Python sheet'!$E$2:$F$373,2,0)</f>
        <v>https://rtg-275.myshopify.com/products/PROADAPT-2-0-MEDIUM?variant=47915104370826</v>
      </c>
    </row>
    <row r="111">
      <c r="A111" s="4">
        <v>5.0307531E7</v>
      </c>
      <c r="B111" s="5"/>
      <c r="C111" s="5"/>
      <c r="D111" s="5"/>
      <c r="E111" s="5"/>
      <c r="F111" s="5"/>
      <c r="G111" s="5"/>
      <c r="H111" s="5"/>
      <c r="I111" s="5"/>
      <c r="J111" s="1" t="s">
        <v>89</v>
      </c>
      <c r="K111" s="1" t="s">
        <v>978</v>
      </c>
      <c r="L111" s="1" t="str">
        <f t="shared" si="1"/>
        <v>PROADAPT-2-0-SOFTFull</v>
      </c>
      <c r="M111" s="1" t="s">
        <v>388</v>
      </c>
      <c r="N111" s="6">
        <v>3249.0</v>
      </c>
      <c r="O111" s="6">
        <v>3249.0</v>
      </c>
      <c r="P111" s="1" t="s">
        <v>64</v>
      </c>
      <c r="Q111" s="7"/>
      <c r="R111" s="1" t="s">
        <v>91</v>
      </c>
      <c r="S111" s="1" t="s">
        <v>31</v>
      </c>
      <c r="T111" s="1" t="s">
        <v>373</v>
      </c>
      <c r="U111" s="1" t="s">
        <v>33</v>
      </c>
      <c r="V111" s="1" t="s">
        <v>50</v>
      </c>
      <c r="W111" s="1" t="s">
        <v>49</v>
      </c>
      <c r="X111" s="1" t="s">
        <v>50</v>
      </c>
      <c r="Y111" s="1" t="s">
        <v>42</v>
      </c>
      <c r="Z111" s="1" t="s">
        <v>51</v>
      </c>
      <c r="AA111" s="8" t="str">
        <f>IFERROR(VLOOKUP(A111,Sheet3!B:H,6,false),VLOOKUP(J111,Sheet2!A:C,2,false))</f>
        <v>https://assets.roomstogo.com/product/tempur-pedic-proadapt-20-soft-twin-xl-mattress_50007535_image-item</v>
      </c>
      <c r="AB111" s="8" t="str">
        <f>IFERROR(VLOOKUP(A111,Sheet3!B:H,7,false),VLOOKUP(J111,Sheet2!A:C,3,false))</f>
        <v>https://assets.roomstogo.com/product/tempur-pedic-proadapt-20-soft-twin-xl-mattress_50007535_alt-image-1</v>
      </c>
      <c r="AC111" s="8" t="str">
        <f t="shared" si="2"/>
        <v>https://rtg-275.myshopify.com/products/PROADAPT-2-0-SOFT</v>
      </c>
      <c r="AD111" s="8" t="str">
        <f>vlookup(L111,'Python sheet'!$E$2:$F$373,2,0)</f>
        <v>https://rtg-275.myshopify.com/products/PROADAPT-2-0-SOFT?variant=47915104632970</v>
      </c>
    </row>
    <row r="112">
      <c r="A112" s="4">
        <v>5.0307555E7</v>
      </c>
      <c r="B112" s="9">
        <v>1.0</v>
      </c>
      <c r="C112" s="9">
        <v>5.0</v>
      </c>
      <c r="D112" s="2" t="s">
        <v>92</v>
      </c>
      <c r="E112" s="2" t="s">
        <v>44</v>
      </c>
      <c r="F112" s="2" t="s">
        <v>93</v>
      </c>
      <c r="G112" s="9">
        <v>975.0</v>
      </c>
      <c r="H112" s="9">
        <v>4.38</v>
      </c>
      <c r="I112" s="9">
        <v>974.0</v>
      </c>
      <c r="J112" s="1" t="s">
        <v>94</v>
      </c>
      <c r="K112" s="1" t="s">
        <v>979</v>
      </c>
      <c r="L112" s="1" t="str">
        <f t="shared" si="1"/>
        <v>PROADAPT-2-0-MEDIUM-HYBRIDFull</v>
      </c>
      <c r="M112" s="1" t="s">
        <v>389</v>
      </c>
      <c r="N112" s="6">
        <v>3249.0</v>
      </c>
      <c r="O112" s="6">
        <v>3249.0</v>
      </c>
      <c r="P112" s="1" t="s">
        <v>64</v>
      </c>
      <c r="Q112" s="7"/>
      <c r="R112" s="1" t="s">
        <v>390</v>
      </c>
      <c r="S112" s="1" t="s">
        <v>31</v>
      </c>
      <c r="T112" s="1" t="s">
        <v>373</v>
      </c>
      <c r="U112" s="1" t="s">
        <v>41</v>
      </c>
      <c r="V112" s="1" t="s">
        <v>42</v>
      </c>
      <c r="W112" s="1" t="s">
        <v>35</v>
      </c>
      <c r="X112" s="1" t="s">
        <v>50</v>
      </c>
      <c r="Y112" s="1" t="s">
        <v>42</v>
      </c>
      <c r="Z112" s="1" t="s">
        <v>37</v>
      </c>
      <c r="AA112" s="8" t="str">
        <f>IFERROR(VLOOKUP(A112,Sheet3!B:H,6,false),VLOOKUP(J112,Sheet2!A:C,2,false))</f>
        <v>https://assets.roomstogo.com/product/tempur-pedic-proadapt-20-medium-hybrid-twin-xl-mattress_50007559_image-item</v>
      </c>
      <c r="AB112" s="8" t="str">
        <f>IFERROR(VLOOKUP(A112,Sheet3!B:H,7,false),VLOOKUP(J112,Sheet2!A:C,3,false))</f>
        <v>https://assets.roomstogo.com/product/tempur-pedic-proadapt-20-medium-hybrid-twin-xl-mattress_50007559_alt-image-1</v>
      </c>
      <c r="AC112" s="8" t="str">
        <f t="shared" si="2"/>
        <v>https://rtg-275.myshopify.com/products/PROADAPT-2-0-MEDIUM-HYBRID</v>
      </c>
      <c r="AD112" s="8" t="str">
        <f>vlookup(L112,'Python sheet'!$E$2:$F$373,2,0)</f>
        <v>https://rtg-275.myshopify.com/products/PROADAPT-2-0-MEDIUM-HYBRID?variant=47915104960650</v>
      </c>
    </row>
    <row r="113">
      <c r="A113" s="4">
        <v>5.0309876E7</v>
      </c>
      <c r="B113" s="9">
        <v>3.0</v>
      </c>
      <c r="C113" s="9">
        <v>3.67</v>
      </c>
      <c r="D113" s="2" t="s">
        <v>391</v>
      </c>
      <c r="E113" s="2" t="s">
        <v>44</v>
      </c>
      <c r="F113" s="2" t="s">
        <v>392</v>
      </c>
      <c r="G113" s="9">
        <v>10.0</v>
      </c>
      <c r="H113" s="9">
        <v>4.0</v>
      </c>
      <c r="I113" s="9">
        <v>7.0</v>
      </c>
      <c r="J113" s="1" t="s">
        <v>112</v>
      </c>
      <c r="K113" s="1" t="s">
        <v>983</v>
      </c>
      <c r="L113" s="1" t="str">
        <f t="shared" si="1"/>
        <v>TUFT-NEEDLE-STITCH-TN3-1Full</v>
      </c>
      <c r="M113" s="1" t="s">
        <v>393</v>
      </c>
      <c r="N113" s="6">
        <v>897.0</v>
      </c>
      <c r="O113" s="6">
        <v>1099.0</v>
      </c>
      <c r="P113" s="1" t="s">
        <v>114</v>
      </c>
      <c r="Q113" s="1" t="s">
        <v>54</v>
      </c>
      <c r="R113" s="7"/>
      <c r="S113" s="1" t="s">
        <v>31</v>
      </c>
      <c r="T113" s="1" t="s">
        <v>373</v>
      </c>
      <c r="U113" s="1" t="s">
        <v>41</v>
      </c>
      <c r="V113" s="1" t="s">
        <v>34</v>
      </c>
      <c r="W113" s="1" t="s">
        <v>35</v>
      </c>
      <c r="X113" s="1" t="s">
        <v>34</v>
      </c>
      <c r="Y113" s="1" t="s">
        <v>34</v>
      </c>
      <c r="Z113" s="1" t="s">
        <v>37</v>
      </c>
      <c r="AA113" s="8" t="str">
        <f>IFERROR(VLOOKUP(A113,Sheet3!B:H,6,false),VLOOKUP(J113,Sheet2!A:C,2,false))</f>
        <v>https://assets.roomstogo.com/product/tuft-needle-stitch-tn31-twin-xl-mattress_50009870_image-item</v>
      </c>
      <c r="AB113" s="8" t="str">
        <f>IFERROR(VLOOKUP(A113,Sheet3!B:H,7,false),VLOOKUP(J113,Sheet2!A:C,3,false))</f>
        <v>https://assets.roomstogo.com/product/tuft-needle-stitch-tn31-twin-xl-mattress_50009870_alt-image-1</v>
      </c>
      <c r="AC113" s="8" t="str">
        <f t="shared" si="2"/>
        <v>https://rtg-275.myshopify.com/products/TUFT-NEEDLE-STITCH-TN3-1</v>
      </c>
      <c r="AD113" s="8" t="str">
        <f>vlookup(L113,'Python sheet'!$E$2:$F$373,2,0)</f>
        <v>https://rtg-275.myshopify.com/products/TUFT-NEEDLE-STITCH-TN3-1?variant=47915105976458</v>
      </c>
    </row>
    <row r="114">
      <c r="A114" s="4">
        <v>5.0309888E7</v>
      </c>
      <c r="B114" s="9">
        <v>1.0</v>
      </c>
      <c r="C114" s="9">
        <v>5.0</v>
      </c>
      <c r="D114" s="2" t="s">
        <v>394</v>
      </c>
      <c r="E114" s="2" t="s">
        <v>44</v>
      </c>
      <c r="F114" s="2" t="s">
        <v>395</v>
      </c>
      <c r="G114" s="9">
        <v>11.0</v>
      </c>
      <c r="H114" s="9">
        <v>3.91</v>
      </c>
      <c r="I114" s="9">
        <v>10.0</v>
      </c>
      <c r="J114" s="1" t="s">
        <v>115</v>
      </c>
      <c r="K114" s="1" t="s">
        <v>984</v>
      </c>
      <c r="L114" s="1" t="str">
        <f t="shared" si="1"/>
        <v>TUFT-NEEDLE-STITCH-TN5-1Full</v>
      </c>
      <c r="M114" s="1" t="s">
        <v>396</v>
      </c>
      <c r="N114" s="6">
        <v>995.0</v>
      </c>
      <c r="O114" s="6">
        <v>1599.0</v>
      </c>
      <c r="P114" s="1" t="s">
        <v>114</v>
      </c>
      <c r="Q114" s="1" t="s">
        <v>54</v>
      </c>
      <c r="R114" s="7"/>
      <c r="S114" s="1" t="s">
        <v>31</v>
      </c>
      <c r="T114" s="1" t="s">
        <v>373</v>
      </c>
      <c r="U114" s="1" t="s">
        <v>41</v>
      </c>
      <c r="V114" s="1" t="s">
        <v>42</v>
      </c>
      <c r="W114" s="1" t="s">
        <v>76</v>
      </c>
      <c r="X114" s="1" t="s">
        <v>42</v>
      </c>
      <c r="Y114" s="1" t="s">
        <v>42</v>
      </c>
      <c r="Z114" s="1" t="s">
        <v>77</v>
      </c>
      <c r="AA114" s="8" t="str">
        <f>IFERROR(VLOOKUP(A114,Sheet3!B:H,6,false),VLOOKUP(J114,Sheet2!A:C,2,false))</f>
        <v>https://assets.roomstogo.com/product/tuft-needle-stitch-tn51-twin-xl-mattress_50009882_image-item</v>
      </c>
      <c r="AB114" s="8" t="str">
        <f>IFERROR(VLOOKUP(A114,Sheet3!B:H,7,false),VLOOKUP(J114,Sheet2!A:C,3,false))</f>
        <v>https://assets.roomstogo.com/product/tuft-needle-stitch-tn51-twin-xl-mattress_50009882_alt-image-1</v>
      </c>
      <c r="AC114" s="8" t="str">
        <f t="shared" si="2"/>
        <v>https://rtg-275.myshopify.com/products/TUFT-NEEDLE-STITCH-TN5-1</v>
      </c>
      <c r="AD114" s="8" t="str">
        <f>vlookup(L114,'Python sheet'!$E$2:$F$373,2,0)</f>
        <v>https://rtg-275.myshopify.com/products/TUFT-NEEDLE-STITCH-TN5-1?variant=47915106205834</v>
      </c>
    </row>
    <row r="115">
      <c r="A115" s="4">
        <v>5.0309903E7</v>
      </c>
      <c r="B115" s="5"/>
      <c r="C115" s="5"/>
      <c r="D115" s="5"/>
      <c r="E115" s="5"/>
      <c r="F115" s="5"/>
      <c r="G115" s="5"/>
      <c r="H115" s="5"/>
      <c r="I115" s="5"/>
      <c r="J115" s="1" t="s">
        <v>117</v>
      </c>
      <c r="K115" s="1" t="s">
        <v>985</v>
      </c>
      <c r="L115" s="1" t="str">
        <f t="shared" si="1"/>
        <v>TUFT-NEEDLE-STITCH-TN9-1Full</v>
      </c>
      <c r="M115" s="1" t="s">
        <v>397</v>
      </c>
      <c r="N115" s="6">
        <v>1797.0</v>
      </c>
      <c r="O115" s="6">
        <v>2299.0</v>
      </c>
      <c r="P115" s="1" t="s">
        <v>114</v>
      </c>
      <c r="Q115" s="1" t="s">
        <v>54</v>
      </c>
      <c r="R115" s="7"/>
      <c r="S115" s="1" t="s">
        <v>31</v>
      </c>
      <c r="T115" s="1" t="s">
        <v>373</v>
      </c>
      <c r="U115" s="1" t="s">
        <v>41</v>
      </c>
      <c r="V115" s="1" t="s">
        <v>50</v>
      </c>
      <c r="W115" s="1" t="s">
        <v>49</v>
      </c>
      <c r="X115" s="1" t="s">
        <v>42</v>
      </c>
      <c r="Y115" s="1" t="s">
        <v>42</v>
      </c>
      <c r="Z115" s="1" t="s">
        <v>51</v>
      </c>
      <c r="AA115" s="8" t="str">
        <f>IFERROR(VLOOKUP(A115,Sheet3!B:H,6,false),VLOOKUP(J115,Sheet2!A:C,2,false))</f>
        <v>https://assets.roomstogo.com/product/tuft-needle-stitch-tn91-twin-xl-mattress_50009907_image-item</v>
      </c>
      <c r="AB115" s="8" t="str">
        <f>IFERROR(VLOOKUP(A115,Sheet3!B:H,7,false),VLOOKUP(J115,Sheet2!A:C,3,false))</f>
        <v>https://assets.roomstogo.com/product/tuft-needle-stitch-tn91-twin-xl-mattress_50009907_alt-image-1</v>
      </c>
      <c r="AC115" s="8" t="str">
        <f t="shared" si="2"/>
        <v>https://rtg-275.myshopify.com/products/TUFT-NEEDLE-STITCH-TN9-1</v>
      </c>
      <c r="AD115" s="8" t="str">
        <f>vlookup(L115,'Python sheet'!$E$2:$F$373,2,0)</f>
        <v>https://rtg-275.myshopify.com/products/TUFT-NEEDLE-STITCH-TN9-1?variant=47915106631818</v>
      </c>
    </row>
    <row r="116">
      <c r="A116" s="4">
        <v>5.0309927E7</v>
      </c>
      <c r="B116" s="9">
        <v>3.0</v>
      </c>
      <c r="C116" s="9">
        <v>3.33</v>
      </c>
      <c r="D116" s="2" t="s">
        <v>398</v>
      </c>
      <c r="E116" s="2" t="s">
        <v>44</v>
      </c>
      <c r="F116" s="2" t="s">
        <v>399</v>
      </c>
      <c r="G116" s="9">
        <v>3.0</v>
      </c>
      <c r="H116" s="9">
        <v>3.33</v>
      </c>
      <c r="I116" s="9">
        <v>0.0</v>
      </c>
      <c r="J116" s="1" t="s">
        <v>271</v>
      </c>
      <c r="K116" s="1" t="s">
        <v>1008</v>
      </c>
      <c r="L116" s="1" t="str">
        <f t="shared" si="1"/>
        <v>TUFT-NEEDLE-KIDS-GLEEFull</v>
      </c>
      <c r="M116" s="1" t="s">
        <v>400</v>
      </c>
      <c r="N116" s="6">
        <v>577.0</v>
      </c>
      <c r="O116" s="6">
        <v>599.0</v>
      </c>
      <c r="P116" s="1" t="s">
        <v>114</v>
      </c>
      <c r="Q116" s="1" t="s">
        <v>54</v>
      </c>
      <c r="R116" s="1" t="s">
        <v>273</v>
      </c>
      <c r="S116" s="1" t="s">
        <v>134</v>
      </c>
      <c r="T116" s="1" t="s">
        <v>373</v>
      </c>
      <c r="U116" s="1" t="s">
        <v>33</v>
      </c>
      <c r="V116" s="1" t="s">
        <v>36</v>
      </c>
      <c r="W116" s="1" t="s">
        <v>35</v>
      </c>
      <c r="X116" s="1" t="s">
        <v>36</v>
      </c>
      <c r="Y116" s="1" t="s">
        <v>36</v>
      </c>
      <c r="Z116" s="1" t="s">
        <v>37</v>
      </c>
      <c r="AA116" s="8" t="str">
        <f>IFERROR(VLOOKUP(A116,Sheet3!B:H,6,false),VLOOKUP(J116,Sheet2!A:C,2,false))</f>
        <v>https://assets.roomstogo.com/product/tuft-needle-kids-glee-twin-mattress_50109923_image-item</v>
      </c>
      <c r="AB116" s="8" t="str">
        <f>IFERROR(VLOOKUP(A116,Sheet3!B:H,7,false),VLOOKUP(J116,Sheet2!A:C,3,false))</f>
        <v>https://assets.roomstogo.com/product/tuft-needle-kids-glee-twin-mattress_50109923_alt-image-1</v>
      </c>
      <c r="AC116" s="8" t="str">
        <f t="shared" si="2"/>
        <v>https://rtg-275.myshopify.com/products/TUFT-NEEDLE-KIDS-GLEE</v>
      </c>
      <c r="AD116" s="8" t="str">
        <f>vlookup(L116,'Python sheet'!$E$2:$F$373,2,0)</f>
        <v>https://rtg-275.myshopify.com/products/TUFT-NEEDLE-KIDS-GLEE?variant=47915112857738</v>
      </c>
    </row>
    <row r="117">
      <c r="A117" s="4">
        <v>5.0309939E7</v>
      </c>
      <c r="B117" s="9">
        <v>3.0</v>
      </c>
      <c r="C117" s="9">
        <v>4.67</v>
      </c>
      <c r="D117" s="2" t="s">
        <v>274</v>
      </c>
      <c r="E117" s="2" t="s">
        <v>44</v>
      </c>
      <c r="F117" s="2" t="s">
        <v>275</v>
      </c>
      <c r="G117" s="9">
        <v>9.0</v>
      </c>
      <c r="H117" s="9">
        <v>4.89</v>
      </c>
      <c r="I117" s="9">
        <v>6.0</v>
      </c>
      <c r="J117" s="1" t="s">
        <v>119</v>
      </c>
      <c r="K117" s="1" t="s">
        <v>986</v>
      </c>
      <c r="L117" s="1" t="str">
        <f t="shared" si="1"/>
        <v>TUFT-NEEDLE-TN1Full</v>
      </c>
      <c r="M117" s="1" t="s">
        <v>401</v>
      </c>
      <c r="N117" s="6">
        <v>677.0</v>
      </c>
      <c r="O117" s="6">
        <v>799.0</v>
      </c>
      <c r="P117" s="1" t="s">
        <v>114</v>
      </c>
      <c r="Q117" s="1" t="s">
        <v>54</v>
      </c>
      <c r="R117" s="1" t="s">
        <v>121</v>
      </c>
      <c r="S117" s="1" t="s">
        <v>31</v>
      </c>
      <c r="T117" s="1" t="s">
        <v>373</v>
      </c>
      <c r="U117" s="1" t="s">
        <v>33</v>
      </c>
      <c r="V117" s="1" t="s">
        <v>36</v>
      </c>
      <c r="W117" s="1" t="s">
        <v>76</v>
      </c>
      <c r="X117" s="1" t="s">
        <v>36</v>
      </c>
      <c r="Y117" s="1" t="s">
        <v>36</v>
      </c>
      <c r="Z117" s="1" t="s">
        <v>77</v>
      </c>
      <c r="AA117" s="8" t="str">
        <f>IFERROR(VLOOKUP(A117,Sheet3!B:H,6,false),VLOOKUP(J117,Sheet2!A:C,2,false))</f>
        <v>https://assets.roomstogo.com/product/tuft-needle-tn1-twin-xl-mattress_50009933_image-item</v>
      </c>
      <c r="AB117" s="8" t="str">
        <f>IFERROR(VLOOKUP(A117,Sheet3!B:H,7,false),VLOOKUP(J117,Sheet2!A:C,3,false))</f>
        <v>https://assets.roomstogo.com/product/tuft-needle-tn1-twin-xl-mattress_50009933_alt-image-1</v>
      </c>
      <c r="AC117" s="8" t="str">
        <f t="shared" si="2"/>
        <v>https://rtg-275.myshopify.com/products/TUFT-NEEDLE-TN1</v>
      </c>
      <c r="AD117" s="8" t="str">
        <f>vlookup(L117,'Python sheet'!$E$2:$F$373,2,0)</f>
        <v>https://rtg-275.myshopify.com/products/TUFT-NEEDLE-TN1?variant=47915106893962</v>
      </c>
    </row>
    <row r="118">
      <c r="A118" s="4">
        <v>5.0310576E7</v>
      </c>
      <c r="B118" s="5"/>
      <c r="C118" s="5"/>
      <c r="D118" s="5"/>
      <c r="E118" s="5"/>
      <c r="F118" s="5"/>
      <c r="G118" s="5"/>
      <c r="H118" s="5"/>
      <c r="I118" s="5"/>
      <c r="J118" s="1" t="s">
        <v>122</v>
      </c>
      <c r="K118" s="1" t="s">
        <v>987</v>
      </c>
      <c r="L118" s="1" t="str">
        <f t="shared" si="1"/>
        <v>MOLECULE-COREFull</v>
      </c>
      <c r="M118" s="1" t="s">
        <v>402</v>
      </c>
      <c r="N118" s="6">
        <v>477.0</v>
      </c>
      <c r="O118" s="6">
        <v>979.0</v>
      </c>
      <c r="P118" s="1" t="s">
        <v>124</v>
      </c>
      <c r="Q118" s="7"/>
      <c r="R118" s="7"/>
      <c r="S118" s="1" t="s">
        <v>31</v>
      </c>
      <c r="T118" s="1" t="s">
        <v>373</v>
      </c>
      <c r="U118" s="1" t="s">
        <v>33</v>
      </c>
      <c r="V118" s="1" t="s">
        <v>34</v>
      </c>
      <c r="W118" s="1" t="s">
        <v>35</v>
      </c>
      <c r="X118" s="1" t="s">
        <v>34</v>
      </c>
      <c r="Y118" s="1" t="s">
        <v>34</v>
      </c>
      <c r="Z118" s="1" t="s">
        <v>37</v>
      </c>
      <c r="AA118" s="8" t="str">
        <f>IFERROR(VLOOKUP(A118,Sheet3!B:H,6,false),VLOOKUP(J118,Sheet2!A:C,2,false))</f>
        <v>https://assets.roomstogo.com/product/molecule-core-twin-xl-mattress_50010570_image-item</v>
      </c>
      <c r="AB118" s="8" t="str">
        <f>IFERROR(VLOOKUP(A118,Sheet3!B:H,7,false),VLOOKUP(J118,Sheet2!A:C,3,false))</f>
        <v>https://assets.roomstogo.com/product/molecule-core-twin-xl-mattress_50010570_alt-image-1</v>
      </c>
      <c r="AC118" s="8" t="str">
        <f t="shared" si="2"/>
        <v>https://rtg-275.myshopify.com/products/MOLECULE-CORE</v>
      </c>
      <c r="AD118" s="8" t="str">
        <f>vlookup(L118,'Python sheet'!$E$2:$F$373,2,0)</f>
        <v>https://rtg-275.myshopify.com/products/MOLECULE-CORE?variant=47915107156106</v>
      </c>
    </row>
    <row r="119">
      <c r="A119" s="4">
        <v>5.0310677E7</v>
      </c>
      <c r="B119" s="9">
        <v>23.0</v>
      </c>
      <c r="C119" s="9">
        <v>4.3</v>
      </c>
      <c r="D119" s="2" t="s">
        <v>125</v>
      </c>
      <c r="E119" s="2" t="s">
        <v>44</v>
      </c>
      <c r="F119" s="2" t="s">
        <v>126</v>
      </c>
      <c r="G119" s="9">
        <v>192.0</v>
      </c>
      <c r="H119" s="9">
        <v>4.4</v>
      </c>
      <c r="I119" s="9">
        <v>169.0</v>
      </c>
      <c r="J119" s="1" t="s">
        <v>127</v>
      </c>
      <c r="K119" s="1" t="s">
        <v>988</v>
      </c>
      <c r="L119" s="1" t="str">
        <f t="shared" si="1"/>
        <v>BROAD-PEAK-MEDIUM-HYBRIDFull</v>
      </c>
      <c r="M119" s="1" t="s">
        <v>403</v>
      </c>
      <c r="N119" s="6">
        <v>695.0</v>
      </c>
      <c r="O119" s="6">
        <v>899.99</v>
      </c>
      <c r="P119" s="1" t="s">
        <v>129</v>
      </c>
      <c r="Q119" s="1" t="s">
        <v>54</v>
      </c>
      <c r="R119" s="1" t="s">
        <v>130</v>
      </c>
      <c r="S119" s="1" t="s">
        <v>31</v>
      </c>
      <c r="T119" s="1" t="s">
        <v>373</v>
      </c>
      <c r="U119" s="1" t="s">
        <v>41</v>
      </c>
      <c r="V119" s="1" t="s">
        <v>34</v>
      </c>
      <c r="W119" s="1" t="s">
        <v>35</v>
      </c>
      <c r="X119" s="1" t="s">
        <v>34</v>
      </c>
      <c r="Y119" s="1" t="s">
        <v>34</v>
      </c>
      <c r="Z119" s="1" t="s">
        <v>37</v>
      </c>
      <c r="AA119" s="8" t="str">
        <f>IFERROR(VLOOKUP(A119,Sheet3!B:H,6,false),VLOOKUP(J119,Sheet2!A:C,2,false))</f>
        <v>https://assets.roomstogo.com/product/beautyrest-select-broad-peak-medium-hybrid-twin-xl-mattress_50010671_image-item</v>
      </c>
      <c r="AB119" s="8" t="str">
        <f>IFERROR(VLOOKUP(A119,Sheet3!B:H,7,false),VLOOKUP(J119,Sheet2!A:C,3,false))</f>
        <v>https://assets.roomstogo.com/product/beautyrest-select-broad-peak-medium-hybrid-twin-xl-mattress_50010671_alt-image-1</v>
      </c>
      <c r="AC119" s="8" t="str">
        <f t="shared" si="2"/>
        <v>https://rtg-275.myshopify.com/products/BROAD-PEAK-MEDIUM-HYBRID</v>
      </c>
      <c r="AD119" s="8" t="str">
        <f>vlookup(L119,'Python sheet'!$E$2:$F$373,2,0)</f>
        <v>https://rtg-275.myshopify.com/products/BROAD-PEAK-MEDIUM-HYBRID?variant=47915107352714</v>
      </c>
    </row>
    <row r="120">
      <c r="A120" s="4">
        <v>5.0310932E7</v>
      </c>
      <c r="B120" s="9">
        <v>1.0</v>
      </c>
      <c r="C120" s="9">
        <v>2.0</v>
      </c>
      <c r="D120" s="2" t="s">
        <v>281</v>
      </c>
      <c r="E120" s="2" t="s">
        <v>44</v>
      </c>
      <c r="F120" s="2" t="s">
        <v>282</v>
      </c>
      <c r="G120" s="9">
        <v>8.0</v>
      </c>
      <c r="H120" s="9">
        <v>3.75</v>
      </c>
      <c r="I120" s="9">
        <v>7.0</v>
      </c>
      <c r="J120" s="1" t="s">
        <v>283</v>
      </c>
      <c r="K120" s="1" t="s">
        <v>1009</v>
      </c>
      <c r="L120" s="1" t="str">
        <f t="shared" si="1"/>
        <v>SIMMONS-KIDS-DELIGHTFull</v>
      </c>
      <c r="M120" s="1" t="s">
        <v>404</v>
      </c>
      <c r="N120" s="6">
        <v>277.0</v>
      </c>
      <c r="O120" s="6">
        <v>299.0</v>
      </c>
      <c r="P120" s="1" t="s">
        <v>285</v>
      </c>
      <c r="Q120" s="1" t="s">
        <v>54</v>
      </c>
      <c r="R120" s="1" t="s">
        <v>286</v>
      </c>
      <c r="S120" s="1" t="s">
        <v>134</v>
      </c>
      <c r="T120" s="1" t="s">
        <v>373</v>
      </c>
      <c r="U120" s="1" t="s">
        <v>33</v>
      </c>
      <c r="V120" s="1" t="s">
        <v>251</v>
      </c>
      <c r="W120" s="1" t="s">
        <v>76</v>
      </c>
      <c r="X120" s="1" t="s">
        <v>36</v>
      </c>
      <c r="Y120" s="1" t="s">
        <v>36</v>
      </c>
      <c r="Z120" s="1" t="s">
        <v>77</v>
      </c>
      <c r="AA120" s="8" t="str">
        <f>IFERROR(VLOOKUP(A120,Sheet3!B:H,6,false),VLOOKUP(J120,Sheet2!A:C,2,false))</f>
        <v>https://assets.roomstogo.com/product/simmons-kids-delight-twin-mattress_50110938_image-item</v>
      </c>
      <c r="AB120" s="8" t="str">
        <f>IFERROR(VLOOKUP(A120,Sheet3!B:H,7,false),VLOOKUP(J120,Sheet2!A:C,3,false))</f>
        <v>https://assets.roomstogo.com/product/simmons-kids-delight-twin-mattress_50110938_alt-image-1</v>
      </c>
      <c r="AC120" s="8" t="str">
        <f t="shared" si="2"/>
        <v>https://rtg-275.myshopify.com/products/SIMMONS-KIDS-DELIGHT</v>
      </c>
      <c r="AD120" s="8" t="str">
        <f>vlookup(L120,'Python sheet'!$E$2:$F$373,2,0)</f>
        <v>https://rtg-275.myshopify.com/products/SIMMONS-KIDS-DELIGHT?variant=47915112923274</v>
      </c>
    </row>
    <row r="121">
      <c r="A121" s="4">
        <v>5.0310944E7</v>
      </c>
      <c r="B121" s="9">
        <v>2.0</v>
      </c>
      <c r="C121" s="9">
        <v>4.0</v>
      </c>
      <c r="D121" s="2" t="s">
        <v>287</v>
      </c>
      <c r="E121" s="2" t="s">
        <v>44</v>
      </c>
      <c r="F121" s="2" t="s">
        <v>288</v>
      </c>
      <c r="G121" s="9">
        <v>3.0</v>
      </c>
      <c r="H121" s="9">
        <v>4.33</v>
      </c>
      <c r="I121" s="9">
        <v>1.0</v>
      </c>
      <c r="J121" s="1" t="s">
        <v>289</v>
      </c>
      <c r="K121" s="1" t="s">
        <v>1010</v>
      </c>
      <c r="L121" s="1" t="str">
        <f t="shared" si="1"/>
        <v>SIMMONS-KIDS-GLADFull</v>
      </c>
      <c r="M121" s="1" t="s">
        <v>405</v>
      </c>
      <c r="N121" s="6">
        <v>377.0</v>
      </c>
      <c r="O121" s="6">
        <v>399.0</v>
      </c>
      <c r="P121" s="1" t="s">
        <v>285</v>
      </c>
      <c r="Q121" s="1" t="s">
        <v>54</v>
      </c>
      <c r="R121" s="1" t="s">
        <v>291</v>
      </c>
      <c r="S121" s="1" t="s">
        <v>134</v>
      </c>
      <c r="T121" s="1" t="s">
        <v>373</v>
      </c>
      <c r="U121" s="1" t="s">
        <v>33</v>
      </c>
      <c r="V121" s="1" t="s">
        <v>34</v>
      </c>
      <c r="W121" s="1" t="s">
        <v>35</v>
      </c>
      <c r="X121" s="1" t="s">
        <v>36</v>
      </c>
      <c r="Y121" s="1" t="s">
        <v>36</v>
      </c>
      <c r="Z121" s="1" t="s">
        <v>37</v>
      </c>
      <c r="AA121" s="8" t="str">
        <f>IFERROR(VLOOKUP(A121,Sheet3!B:H,6,false),VLOOKUP(J121,Sheet2!A:C,2,false))</f>
        <v>https://assets.roomstogo.com/product/simmons-kids-glad-twin-mattress_50110940_image-item</v>
      </c>
      <c r="AB121" s="8" t="str">
        <f>IFERROR(VLOOKUP(A121,Sheet3!B:H,7,false),VLOOKUP(J121,Sheet2!A:C,3,false))</f>
        <v>https://assets.roomstogo.com/product/simmons-kids-glad-twin-mattress_50110940_alt-image-1</v>
      </c>
      <c r="AC121" s="8" t="str">
        <f t="shared" si="2"/>
        <v>https://rtg-275.myshopify.com/products/SIMMONS-KIDS-GLAD</v>
      </c>
      <c r="AD121" s="8" t="str">
        <f>vlookup(L121,'Python sheet'!$E$2:$F$373,2,0)</f>
        <v>https://rtg-275.myshopify.com/products/SIMMONS-KIDS-GLAD?variant=47915112988810</v>
      </c>
    </row>
    <row r="122">
      <c r="A122" s="4">
        <v>5.0310956E7</v>
      </c>
      <c r="B122" s="9">
        <v>6.0</v>
      </c>
      <c r="C122" s="9">
        <v>4.5</v>
      </c>
      <c r="D122" s="2" t="s">
        <v>292</v>
      </c>
      <c r="E122" s="2" t="s">
        <v>44</v>
      </c>
      <c r="F122" s="2" t="s">
        <v>293</v>
      </c>
      <c r="G122" s="9">
        <v>9.0</v>
      </c>
      <c r="H122" s="9">
        <v>4.22</v>
      </c>
      <c r="I122" s="9">
        <v>3.0</v>
      </c>
      <c r="J122" s="1" t="s">
        <v>294</v>
      </c>
      <c r="K122" s="1" t="s">
        <v>1011</v>
      </c>
      <c r="L122" s="1" t="str">
        <f t="shared" si="1"/>
        <v>SIMMONS-KIDS-HAPPYFull</v>
      </c>
      <c r="M122" s="1" t="s">
        <v>406</v>
      </c>
      <c r="N122" s="6">
        <v>427.0</v>
      </c>
      <c r="O122" s="6">
        <v>449.0</v>
      </c>
      <c r="P122" s="1" t="s">
        <v>285</v>
      </c>
      <c r="Q122" s="1" t="s">
        <v>54</v>
      </c>
      <c r="R122" s="1" t="s">
        <v>296</v>
      </c>
      <c r="S122" s="1" t="s">
        <v>134</v>
      </c>
      <c r="T122" s="1" t="s">
        <v>373</v>
      </c>
      <c r="U122" s="1" t="s">
        <v>59</v>
      </c>
      <c r="V122" s="1" t="s">
        <v>34</v>
      </c>
      <c r="W122" s="1" t="s">
        <v>76</v>
      </c>
      <c r="X122" s="1" t="s">
        <v>36</v>
      </c>
      <c r="Y122" s="1" t="s">
        <v>34</v>
      </c>
      <c r="Z122" s="1" t="s">
        <v>77</v>
      </c>
      <c r="AA122" s="8" t="str">
        <f>IFERROR(VLOOKUP(A122,Sheet3!B:H,6,false),VLOOKUP(J122,Sheet2!A:C,2,false))</f>
        <v>https://assets.roomstogo.com/product/simmons-kids-happy-twin-mattress_50110952_image-item</v>
      </c>
      <c r="AB122" s="8" t="str">
        <f>IFERROR(VLOOKUP(A122,Sheet3!B:H,7,false),VLOOKUP(J122,Sheet2!A:C,3,false))</f>
        <v>https://assets.roomstogo.com/product/simmons-kids-happy-twin-mattress_50110952_alt-image-1</v>
      </c>
      <c r="AC122" s="8" t="str">
        <f t="shared" si="2"/>
        <v>https://rtg-275.myshopify.com/products/SIMMONS-KIDS-HAPPY</v>
      </c>
      <c r="AD122" s="8" t="str">
        <f>vlookup(L122,'Python sheet'!$E$2:$F$373,2,0)</f>
        <v>https://rtg-275.myshopify.com/products/SIMMONS-KIDS-HAPPY?variant=47915113054346</v>
      </c>
    </row>
    <row r="123">
      <c r="A123" s="4">
        <v>5.0311059E7</v>
      </c>
      <c r="B123" s="9">
        <v>3.0</v>
      </c>
      <c r="C123" s="9">
        <v>4.67</v>
      </c>
      <c r="D123" s="2" t="s">
        <v>407</v>
      </c>
      <c r="E123" s="2" t="s">
        <v>44</v>
      </c>
      <c r="F123" s="2" t="s">
        <v>408</v>
      </c>
      <c r="G123" s="9">
        <v>3.0</v>
      </c>
      <c r="H123" s="9">
        <v>4.67</v>
      </c>
      <c r="I123" s="9">
        <v>0.0</v>
      </c>
      <c r="J123" s="1" t="s">
        <v>131</v>
      </c>
      <c r="K123" s="1" t="s">
        <v>989</v>
      </c>
      <c r="L123" s="1" t="str">
        <f t="shared" si="1"/>
        <v>BAY-DREAMERFull</v>
      </c>
      <c r="M123" s="1" t="s">
        <v>409</v>
      </c>
      <c r="N123" s="6">
        <v>495.0</v>
      </c>
      <c r="O123" s="6">
        <v>599.99</v>
      </c>
      <c r="P123" s="1" t="s">
        <v>133</v>
      </c>
      <c r="Q123" s="1" t="s">
        <v>54</v>
      </c>
      <c r="R123" s="1" t="s">
        <v>298</v>
      </c>
      <c r="S123" s="1" t="s">
        <v>134</v>
      </c>
      <c r="T123" s="1" t="s">
        <v>373</v>
      </c>
      <c r="U123" s="1" t="s">
        <v>59</v>
      </c>
      <c r="V123" s="1" t="s">
        <v>36</v>
      </c>
      <c r="W123" s="1" t="s">
        <v>49</v>
      </c>
      <c r="X123" s="1" t="s">
        <v>42</v>
      </c>
      <c r="Y123" s="1" t="s">
        <v>36</v>
      </c>
      <c r="Z123" s="1" t="s">
        <v>51</v>
      </c>
      <c r="AA123" s="8" t="str">
        <f>IFERROR(VLOOKUP(A123,Sheet3!B:H,6,false),VLOOKUP(J123,Sheet2!A:C,2,false))</f>
        <v>https://assets.roomstogo.com/product/tommy-bahama-bay-dreamer-twin-mattress_50111055_image-item</v>
      </c>
      <c r="AB123" s="8" t="str">
        <f>IFERROR(VLOOKUP(A123,Sheet3!B:H,7,false),VLOOKUP(J123,Sheet2!A:C,3,false))</f>
        <v>https://assets.roomstogo.com/product/tommy-bahama-bay-dreamer-twin-mattress_50111055_alt-image-1</v>
      </c>
      <c r="AC123" s="8" t="str">
        <f t="shared" si="2"/>
        <v>https://rtg-275.myshopify.com/products/BAY-DREAMER</v>
      </c>
      <c r="AD123" s="8" t="str">
        <f>vlookup(L123,'Python sheet'!$E$2:$F$373,2,0)</f>
        <v>https://rtg-275.myshopify.com/products/BAY-DREAMER?variant=47915107582090</v>
      </c>
    </row>
    <row r="124">
      <c r="A124" s="4">
        <v>5.0311061E7</v>
      </c>
      <c r="B124" s="9">
        <v>5.0</v>
      </c>
      <c r="C124" s="9">
        <v>4.8</v>
      </c>
      <c r="D124" s="2" t="s">
        <v>299</v>
      </c>
      <c r="E124" s="2" t="s">
        <v>44</v>
      </c>
      <c r="F124" s="2" t="s">
        <v>300</v>
      </c>
      <c r="G124" s="9">
        <v>8.0</v>
      </c>
      <c r="H124" s="9">
        <v>4.75</v>
      </c>
      <c r="I124" s="9">
        <v>3.0</v>
      </c>
      <c r="J124" s="1" t="s">
        <v>135</v>
      </c>
      <c r="K124" s="1" t="s">
        <v>990</v>
      </c>
      <c r="L124" s="1" t="str">
        <f t="shared" si="1"/>
        <v>MAKE-WAVESFull</v>
      </c>
      <c r="M124" s="1" t="s">
        <v>410</v>
      </c>
      <c r="N124" s="6">
        <v>545.0</v>
      </c>
      <c r="O124" s="6">
        <v>649.99</v>
      </c>
      <c r="P124" s="1" t="s">
        <v>133</v>
      </c>
      <c r="Q124" s="1" t="s">
        <v>54</v>
      </c>
      <c r="R124" s="1" t="s">
        <v>302</v>
      </c>
      <c r="S124" s="1" t="s">
        <v>134</v>
      </c>
      <c r="T124" s="1" t="s">
        <v>373</v>
      </c>
      <c r="U124" s="1" t="s">
        <v>41</v>
      </c>
      <c r="V124" s="1" t="s">
        <v>36</v>
      </c>
      <c r="W124" s="1" t="s">
        <v>76</v>
      </c>
      <c r="X124" s="1" t="s">
        <v>42</v>
      </c>
      <c r="Y124" s="1" t="s">
        <v>36</v>
      </c>
      <c r="Z124" s="1" t="s">
        <v>77</v>
      </c>
      <c r="AA124" s="8" t="str">
        <f>IFERROR(VLOOKUP(A124,Sheet3!B:H,6,false),VLOOKUP(J124,Sheet2!A:C,2,false))</f>
        <v>https://assets.roomstogo.com/product/tommy-bahama-make-waves-twin-mattress_50111067_image-item</v>
      </c>
      <c r="AB124" s="8" t="str">
        <f>IFERROR(VLOOKUP(A124,Sheet3!B:H,7,false),VLOOKUP(J124,Sheet2!A:C,3,false))</f>
        <v>https://assets.roomstogo.com/product/tommy-bahama-make-waves-twin-mattress_50111067_alt-image-1</v>
      </c>
      <c r="AC124" s="8" t="str">
        <f t="shared" si="2"/>
        <v>https://rtg-275.myshopify.com/products/MAKE-WAVES</v>
      </c>
      <c r="AD124" s="8" t="str">
        <f>vlookup(L124,'Python sheet'!$E$2:$F$373,2,0)</f>
        <v>https://rtg-275.myshopify.com/products/MAKE-WAVES?variant=47915107778698</v>
      </c>
    </row>
    <row r="125">
      <c r="A125" s="4">
        <v>5.0311073E7</v>
      </c>
      <c r="B125" s="9">
        <v>2.0</v>
      </c>
      <c r="C125" s="9">
        <v>5.0</v>
      </c>
      <c r="D125" s="2" t="s">
        <v>411</v>
      </c>
      <c r="E125" s="2" t="s">
        <v>44</v>
      </c>
      <c r="F125" s="2" t="s">
        <v>412</v>
      </c>
      <c r="G125" s="9">
        <v>2.0</v>
      </c>
      <c r="H125" s="9">
        <v>5.0</v>
      </c>
      <c r="I125" s="9">
        <v>0.0</v>
      </c>
      <c r="J125" s="1" t="s">
        <v>137</v>
      </c>
      <c r="K125" s="1" t="s">
        <v>991</v>
      </c>
      <c r="L125" s="1" t="str">
        <f t="shared" si="1"/>
        <v>SEASIDE-SERENITYFull</v>
      </c>
      <c r="M125" s="1" t="s">
        <v>413</v>
      </c>
      <c r="N125" s="6">
        <v>645.0</v>
      </c>
      <c r="O125" s="6">
        <v>749.99</v>
      </c>
      <c r="P125" s="1" t="s">
        <v>133</v>
      </c>
      <c r="Q125" s="1" t="s">
        <v>54</v>
      </c>
      <c r="R125" s="1" t="s">
        <v>304</v>
      </c>
      <c r="S125" s="1" t="s">
        <v>134</v>
      </c>
      <c r="T125" s="1" t="s">
        <v>373</v>
      </c>
      <c r="U125" s="1" t="s">
        <v>59</v>
      </c>
      <c r="V125" s="1" t="s">
        <v>36</v>
      </c>
      <c r="W125" s="1" t="s">
        <v>35</v>
      </c>
      <c r="X125" s="1" t="s">
        <v>42</v>
      </c>
      <c r="Y125" s="1" t="s">
        <v>36</v>
      </c>
      <c r="Z125" s="1" t="s">
        <v>37</v>
      </c>
      <c r="AA125" s="8" t="str">
        <f>IFERROR(VLOOKUP(A125,Sheet3!B:H,6,false),VLOOKUP(J125,Sheet2!A:C,2,false))</f>
        <v>https://assets.roomstogo.com/product/tommy-bahama-seaside-serenity-twin-mattress_50111079_image-item</v>
      </c>
      <c r="AB125" s="8" t="str">
        <f>IFERROR(VLOOKUP(A125,Sheet3!B:H,7,false),VLOOKUP(J125,Sheet2!A:C,3,false))</f>
        <v>https://assets.roomstogo.com/product/tommy-bahama-seaside-serenity-twin-mattress_50111079_alt-image-1</v>
      </c>
      <c r="AC125" s="8" t="str">
        <f t="shared" si="2"/>
        <v>https://rtg-275.myshopify.com/products/SEASIDE-SERENITY</v>
      </c>
      <c r="AD125" s="8" t="str">
        <f>vlookup(L125,'Python sheet'!$E$2:$F$373,2,0)</f>
        <v>https://rtg-275.myshopify.com/products/SEASIDE-SERENITY?variant=47915107942538</v>
      </c>
    </row>
    <row r="126">
      <c r="A126" s="4">
        <v>5.0311148E7</v>
      </c>
      <c r="B126" s="9">
        <v>3.0</v>
      </c>
      <c r="C126" s="9">
        <v>3.0</v>
      </c>
      <c r="D126" s="2" t="s">
        <v>305</v>
      </c>
      <c r="E126" s="2" t="s">
        <v>44</v>
      </c>
      <c r="F126" s="2" t="s">
        <v>306</v>
      </c>
      <c r="G126" s="9">
        <v>7.0</v>
      </c>
      <c r="H126" s="9">
        <v>3.86</v>
      </c>
      <c r="I126" s="9">
        <v>4.0</v>
      </c>
      <c r="J126" s="1" t="s">
        <v>307</v>
      </c>
      <c r="K126" s="1" t="s">
        <v>307</v>
      </c>
      <c r="L126" s="1" t="str">
        <f t="shared" si="1"/>
        <v>ALDERFull</v>
      </c>
      <c r="M126" s="1" t="s">
        <v>414</v>
      </c>
      <c r="N126" s="6">
        <v>199.0</v>
      </c>
      <c r="O126" s="6">
        <v>299.99</v>
      </c>
      <c r="P126" s="1" t="s">
        <v>309</v>
      </c>
      <c r="Q126" s="1" t="s">
        <v>54</v>
      </c>
      <c r="R126" s="1" t="s">
        <v>310</v>
      </c>
      <c r="S126" s="1" t="s">
        <v>134</v>
      </c>
      <c r="T126" s="1" t="s">
        <v>373</v>
      </c>
      <c r="U126" s="1" t="s">
        <v>33</v>
      </c>
      <c r="V126" s="1" t="s">
        <v>36</v>
      </c>
      <c r="W126" s="1" t="s">
        <v>35</v>
      </c>
      <c r="X126" s="1" t="s">
        <v>251</v>
      </c>
      <c r="Y126" s="1" t="s">
        <v>251</v>
      </c>
      <c r="Z126" s="1" t="s">
        <v>37</v>
      </c>
      <c r="AA126" s="8" t="str">
        <f>IFERROR(VLOOKUP(A126,Sheet3!B:H,6,false),VLOOKUP(J126,Sheet2!A:C,2,false))</f>
        <v>https://assets.roomstogo.com/product/therapedic-alder-twin-mattress_50111144_image-item</v>
      </c>
      <c r="AB126" s="8" t="str">
        <f>IFERROR(VLOOKUP(A126,Sheet3!B:H,7,false),VLOOKUP(J126,Sheet2!A:C,3,false))</f>
        <v>https://assets.roomstogo.com/product/therapedic-alder-twin-mattress_50111144_alt-image-1</v>
      </c>
      <c r="AC126" s="8" t="str">
        <f t="shared" si="2"/>
        <v>https://rtg-275.myshopify.com/products/ALDER</v>
      </c>
      <c r="AD126" s="8" t="str">
        <f>vlookup(L126,'Python sheet'!$E$2:$F$373,2,0)</f>
        <v>https://rtg-275.myshopify.com/products/ALDER?variant=47915113152650</v>
      </c>
    </row>
    <row r="127">
      <c r="A127" s="4">
        <v>5.0311162E7</v>
      </c>
      <c r="B127" s="9">
        <v>3.0</v>
      </c>
      <c r="C127" s="9">
        <v>5.0</v>
      </c>
      <c r="D127" s="2" t="s">
        <v>311</v>
      </c>
      <c r="E127" s="2" t="s">
        <v>44</v>
      </c>
      <c r="F127" s="2" t="s">
        <v>312</v>
      </c>
      <c r="G127" s="9">
        <v>5.0</v>
      </c>
      <c r="H127" s="9">
        <v>5.0</v>
      </c>
      <c r="I127" s="9">
        <v>2.0</v>
      </c>
      <c r="J127" s="1" t="s">
        <v>313</v>
      </c>
      <c r="K127" s="1" t="s">
        <v>313</v>
      </c>
      <c r="L127" s="1" t="str">
        <f t="shared" si="1"/>
        <v>CREEKMOREFull</v>
      </c>
      <c r="M127" s="1" t="s">
        <v>415</v>
      </c>
      <c r="N127" s="6">
        <v>477.0</v>
      </c>
      <c r="O127" s="6">
        <v>499.99</v>
      </c>
      <c r="P127" s="1" t="s">
        <v>309</v>
      </c>
      <c r="Q127" s="1" t="s">
        <v>54</v>
      </c>
      <c r="R127" s="1" t="s">
        <v>315</v>
      </c>
      <c r="S127" s="1" t="s">
        <v>134</v>
      </c>
      <c r="T127" s="1" t="s">
        <v>373</v>
      </c>
      <c r="U127" s="1" t="s">
        <v>33</v>
      </c>
      <c r="V127" s="1" t="s">
        <v>34</v>
      </c>
      <c r="W127" s="1" t="s">
        <v>49</v>
      </c>
      <c r="X127" s="1" t="s">
        <v>36</v>
      </c>
      <c r="Y127" s="1" t="s">
        <v>36</v>
      </c>
      <c r="Z127" s="1" t="s">
        <v>51</v>
      </c>
      <c r="AA127" s="8" t="str">
        <f>IFERROR(VLOOKUP(A127,Sheet3!B:H,6,false),VLOOKUP(J127,Sheet2!A:C,2,false))</f>
        <v>https://assets.roomstogo.com/product/therapedic-creekmore-twin-mattress_50111168_image-item</v>
      </c>
      <c r="AB127" s="8" t="str">
        <f>IFERROR(VLOOKUP(A127,Sheet3!B:H,7,false),VLOOKUP(J127,Sheet2!A:C,3,false))</f>
        <v>https://assets.roomstogo.com/product/therapedic-creekmore-twin-mattress_50111168_alt-image-1</v>
      </c>
      <c r="AC127" s="8" t="str">
        <f t="shared" si="2"/>
        <v>https://rtg-275.myshopify.com/products/CREEKMORE</v>
      </c>
      <c r="AD127" s="8" t="str">
        <f>vlookup(L127,'Python sheet'!$E$2:$F$373,2,0)</f>
        <v>https://rtg-275.myshopify.com/products/CREEKMORE?variant=47915113218186</v>
      </c>
    </row>
    <row r="128">
      <c r="A128" s="4">
        <v>5.0311174E7</v>
      </c>
      <c r="B128" s="9">
        <v>9.0</v>
      </c>
      <c r="C128" s="9">
        <v>4.11</v>
      </c>
      <c r="D128" s="2" t="s">
        <v>316</v>
      </c>
      <c r="E128" s="2" t="s">
        <v>44</v>
      </c>
      <c r="F128" s="2" t="s">
        <v>317</v>
      </c>
      <c r="G128" s="9">
        <v>15.0</v>
      </c>
      <c r="H128" s="9">
        <v>4.2</v>
      </c>
      <c r="I128" s="9">
        <v>6.0</v>
      </c>
      <c r="J128" s="1" t="s">
        <v>318</v>
      </c>
      <c r="K128" s="1" t="s">
        <v>318</v>
      </c>
      <c r="L128" s="1" t="str">
        <f t="shared" si="1"/>
        <v>FLOURISHFull</v>
      </c>
      <c r="M128" s="1" t="s">
        <v>416</v>
      </c>
      <c r="N128" s="6">
        <v>627.0</v>
      </c>
      <c r="O128" s="6">
        <v>649.99</v>
      </c>
      <c r="P128" s="1" t="s">
        <v>309</v>
      </c>
      <c r="Q128" s="1" t="s">
        <v>54</v>
      </c>
      <c r="R128" s="1" t="s">
        <v>320</v>
      </c>
      <c r="S128" s="1" t="s">
        <v>134</v>
      </c>
      <c r="T128" s="1" t="s">
        <v>373</v>
      </c>
      <c r="U128" s="1" t="s">
        <v>33</v>
      </c>
      <c r="V128" s="1" t="s">
        <v>42</v>
      </c>
      <c r="W128" s="1" t="s">
        <v>35</v>
      </c>
      <c r="X128" s="1" t="s">
        <v>251</v>
      </c>
      <c r="Y128" s="1" t="s">
        <v>36</v>
      </c>
      <c r="Z128" s="1" t="s">
        <v>37</v>
      </c>
      <c r="AA128" s="8" t="str">
        <f>IFERROR(VLOOKUP(A128,Sheet3!B:H,6,false),VLOOKUP(J128,Sheet2!A:C,2,false))</f>
        <v>https://assets.roomstogo.com/product/therapedic-flourish-2-sided-twin-mattress_50111170_image-item</v>
      </c>
      <c r="AB128" s="8" t="str">
        <f>IFERROR(VLOOKUP(A128,Sheet3!B:H,7,false),VLOOKUP(J128,Sheet2!A:C,3,false))</f>
        <v>https://assets.roomstogo.com/product/therapedic-flourish-2-sided-twin-mattress_50111170_alt-image-1</v>
      </c>
      <c r="AC128" s="8" t="str">
        <f t="shared" si="2"/>
        <v>https://rtg-275.myshopify.com/products/FLOURISH</v>
      </c>
      <c r="AD128" s="8" t="str">
        <f>vlookup(L128,'Python sheet'!$E$2:$F$373,2,0)</f>
        <v>https://rtg-275.myshopify.com/products/FLOURISH?variant=47915113316490</v>
      </c>
    </row>
    <row r="129">
      <c r="A129" s="4">
        <v>5.0311237E7</v>
      </c>
      <c r="B129" s="9">
        <v>57.0</v>
      </c>
      <c r="C129" s="9">
        <v>4.51</v>
      </c>
      <c r="D129" s="2" t="s">
        <v>321</v>
      </c>
      <c r="E129" s="2" t="s">
        <v>44</v>
      </c>
      <c r="F129" s="2" t="s">
        <v>322</v>
      </c>
      <c r="G129" s="9">
        <v>90.0</v>
      </c>
      <c r="H129" s="9">
        <v>4.6</v>
      </c>
      <c r="I129" s="9">
        <v>33.0</v>
      </c>
      <c r="J129" s="1" t="s">
        <v>323</v>
      </c>
      <c r="K129" s="1" t="s">
        <v>323</v>
      </c>
      <c r="L129" s="1" t="str">
        <f t="shared" si="1"/>
        <v>HAMELFull</v>
      </c>
      <c r="M129" s="1" t="s">
        <v>417</v>
      </c>
      <c r="N129" s="6">
        <v>377.0</v>
      </c>
      <c r="O129" s="6">
        <v>399.99</v>
      </c>
      <c r="P129" s="1" t="s">
        <v>309</v>
      </c>
      <c r="Q129" s="1" t="s">
        <v>54</v>
      </c>
      <c r="R129" s="1" t="s">
        <v>325</v>
      </c>
      <c r="S129" s="1" t="s">
        <v>134</v>
      </c>
      <c r="T129" s="1" t="s">
        <v>373</v>
      </c>
      <c r="U129" s="1" t="s">
        <v>59</v>
      </c>
      <c r="V129" s="1" t="s">
        <v>34</v>
      </c>
      <c r="W129" s="1" t="s">
        <v>49</v>
      </c>
      <c r="X129" s="1" t="s">
        <v>42</v>
      </c>
      <c r="Y129" s="1" t="s">
        <v>36</v>
      </c>
      <c r="Z129" s="1" t="s">
        <v>51</v>
      </c>
      <c r="AA129" s="8" t="str">
        <f>IFERROR(VLOOKUP(A129,Sheet3!B:H,6,false),VLOOKUP(J129,Sheet2!A:C,2,false))</f>
        <v>https://assets.roomstogo.com/product/therapedic-hamell-twin-mattress_50111233_image-item</v>
      </c>
      <c r="AB129" s="8" t="str">
        <f>IFERROR(VLOOKUP(A129,Sheet3!B:H,7,false),VLOOKUP(J129,Sheet2!A:C,3,false))</f>
        <v>https://assets.roomstogo.com/product/therapedic-hamell-twin-mattress_50111233_alt-image-1</v>
      </c>
      <c r="AC129" s="8" t="str">
        <f t="shared" si="2"/>
        <v>https://rtg-275.myshopify.com/products/HAMEL</v>
      </c>
      <c r="AD129" s="8" t="str">
        <f>vlookup(L129,'Python sheet'!$E$2:$F$373,2,0)</f>
        <v>https://rtg-275.myshopify.com/products/HAMEL?variant=47915113382026</v>
      </c>
    </row>
    <row r="130">
      <c r="A130" s="4">
        <v>5.0311263E7</v>
      </c>
      <c r="B130" s="9">
        <v>18.0</v>
      </c>
      <c r="C130" s="9">
        <v>4.39</v>
      </c>
      <c r="D130" s="2" t="s">
        <v>326</v>
      </c>
      <c r="E130" s="2" t="s">
        <v>44</v>
      </c>
      <c r="F130" s="2" t="s">
        <v>327</v>
      </c>
      <c r="G130" s="9">
        <v>33.0</v>
      </c>
      <c r="H130" s="9">
        <v>4.55</v>
      </c>
      <c r="I130" s="9">
        <v>15.0</v>
      </c>
      <c r="J130" s="1" t="s">
        <v>328</v>
      </c>
      <c r="K130" s="1" t="s">
        <v>328</v>
      </c>
      <c r="L130" s="1" t="str">
        <f t="shared" si="1"/>
        <v>IMPREZAFull</v>
      </c>
      <c r="M130" s="1" t="s">
        <v>418</v>
      </c>
      <c r="N130" s="6">
        <v>477.0</v>
      </c>
      <c r="O130" s="6">
        <v>499.99</v>
      </c>
      <c r="P130" s="1" t="s">
        <v>309</v>
      </c>
      <c r="Q130" s="1" t="s">
        <v>54</v>
      </c>
      <c r="R130" s="1" t="s">
        <v>330</v>
      </c>
      <c r="S130" s="1" t="s">
        <v>134</v>
      </c>
      <c r="T130" s="1" t="s">
        <v>373</v>
      </c>
      <c r="U130" s="1" t="s">
        <v>59</v>
      </c>
      <c r="V130" s="1" t="s">
        <v>34</v>
      </c>
      <c r="W130" s="1" t="s">
        <v>35</v>
      </c>
      <c r="X130" s="1" t="s">
        <v>34</v>
      </c>
      <c r="Y130" s="1" t="s">
        <v>251</v>
      </c>
      <c r="Z130" s="1" t="s">
        <v>37</v>
      </c>
      <c r="AA130" s="8" t="str">
        <f>IFERROR(VLOOKUP(A130,Sheet3!B:H,6,false),VLOOKUP(J130,Sheet2!A:C,2,false))</f>
        <v>https://assets.roomstogo.com/product/therapedic-impreza-twin-mattress_50111269_image-item</v>
      </c>
      <c r="AB130" s="8" t="str">
        <f>IFERROR(VLOOKUP(A130,Sheet3!B:H,7,false),VLOOKUP(J130,Sheet2!A:C,3,false))</f>
        <v>https://assets.roomstogo.com/product/therapedic-impreza-twin-mattress_50111269_alt-image-1</v>
      </c>
      <c r="AC130" s="8" t="str">
        <f t="shared" si="2"/>
        <v>https://rtg-275.myshopify.com/products/IMPREZA</v>
      </c>
      <c r="AD130" s="8" t="str">
        <f>vlookup(L130,'Python sheet'!$E$2:$F$373,2,0)</f>
        <v>https://rtg-275.myshopify.com/products/IMPREZA?variant=47915113447562</v>
      </c>
    </row>
    <row r="131">
      <c r="A131" s="4">
        <v>5.031134E7</v>
      </c>
      <c r="B131" s="9">
        <v>2.0</v>
      </c>
      <c r="C131" s="9">
        <v>5.0</v>
      </c>
      <c r="D131" s="2" t="s">
        <v>139</v>
      </c>
      <c r="E131" s="2" t="s">
        <v>44</v>
      </c>
      <c r="F131" s="2" t="s">
        <v>140</v>
      </c>
      <c r="G131" s="9">
        <v>10.0</v>
      </c>
      <c r="H131" s="9">
        <v>4.2</v>
      </c>
      <c r="I131" s="9">
        <v>8.0</v>
      </c>
      <c r="J131" s="1" t="s">
        <v>141</v>
      </c>
      <c r="K131" s="1" t="s">
        <v>141</v>
      </c>
      <c r="L131" s="1" t="str">
        <f t="shared" si="1"/>
        <v>FORESTERFull</v>
      </c>
      <c r="M131" s="1" t="s">
        <v>419</v>
      </c>
      <c r="N131" s="6">
        <v>677.0</v>
      </c>
      <c r="O131" s="6">
        <v>879.99</v>
      </c>
      <c r="P131" s="1" t="s">
        <v>143</v>
      </c>
      <c r="Q131" s="1" t="s">
        <v>54</v>
      </c>
      <c r="R131" s="7"/>
      <c r="S131" s="1" t="s">
        <v>31</v>
      </c>
      <c r="T131" s="1" t="s">
        <v>373</v>
      </c>
      <c r="U131" s="1" t="s">
        <v>59</v>
      </c>
      <c r="V131" s="1" t="s">
        <v>36</v>
      </c>
      <c r="W131" s="1" t="s">
        <v>76</v>
      </c>
      <c r="X131" s="1" t="s">
        <v>34</v>
      </c>
      <c r="Y131" s="1" t="s">
        <v>36</v>
      </c>
      <c r="Z131" s="1" t="s">
        <v>144</v>
      </c>
      <c r="AA131" s="8" t="str">
        <f>IFERROR(VLOOKUP(A131,Sheet3!B:H,6,false),VLOOKUP(J131,Sheet2!A:C,2,false))</f>
        <v>https://assets.roomstogo.com/product/therapedic-forester-twin-xl-mattress_50011344_image-item</v>
      </c>
      <c r="AB131" s="8" t="str">
        <f>IFERROR(VLOOKUP(A131,Sheet3!B:H,7,false),VLOOKUP(J131,Sheet2!A:C,3,false))</f>
        <v>https://assets.roomstogo.com/product/therapedic-forester-twin-xl-mattress_50011344_alt-image-1</v>
      </c>
      <c r="AC131" s="8" t="str">
        <f t="shared" si="2"/>
        <v>https://rtg-275.myshopify.com/products/FORESTER</v>
      </c>
      <c r="AD131" s="8" t="str">
        <f>vlookup(L131,'Python sheet'!$E$2:$F$373,2,0)</f>
        <v>https://rtg-275.myshopify.com/products/FORESTER?variant=47915108139146</v>
      </c>
    </row>
    <row r="132">
      <c r="A132" s="4">
        <v>5.0311364E7</v>
      </c>
      <c r="B132" s="9">
        <v>2.0</v>
      </c>
      <c r="C132" s="9">
        <v>5.0</v>
      </c>
      <c r="D132" s="2" t="s">
        <v>332</v>
      </c>
      <c r="E132" s="2" t="s">
        <v>44</v>
      </c>
      <c r="F132" s="2" t="s">
        <v>333</v>
      </c>
      <c r="G132" s="9">
        <v>20.0</v>
      </c>
      <c r="H132" s="9">
        <v>4.3</v>
      </c>
      <c r="I132" s="9">
        <v>18.0</v>
      </c>
      <c r="J132" s="1" t="s">
        <v>145</v>
      </c>
      <c r="K132" s="1" t="s">
        <v>145</v>
      </c>
      <c r="L132" s="1" t="str">
        <f t="shared" si="1"/>
        <v>DARLINGTONFull</v>
      </c>
      <c r="M132" s="1" t="s">
        <v>420</v>
      </c>
      <c r="N132" s="6">
        <v>577.0</v>
      </c>
      <c r="O132" s="6">
        <v>679.99</v>
      </c>
      <c r="P132" s="1" t="s">
        <v>143</v>
      </c>
      <c r="Q132" s="1" t="s">
        <v>54</v>
      </c>
      <c r="R132" s="7"/>
      <c r="S132" s="1" t="s">
        <v>31</v>
      </c>
      <c r="T132" s="1" t="s">
        <v>373</v>
      </c>
      <c r="U132" s="1" t="s">
        <v>59</v>
      </c>
      <c r="V132" s="1" t="s">
        <v>36</v>
      </c>
      <c r="W132" s="1" t="s">
        <v>35</v>
      </c>
      <c r="X132" s="1" t="s">
        <v>36</v>
      </c>
      <c r="Y132" s="1" t="s">
        <v>34</v>
      </c>
      <c r="Z132" s="1" t="s">
        <v>37</v>
      </c>
      <c r="AA132" s="8" t="str">
        <f>IFERROR(VLOOKUP(A132,Sheet3!B:H,6,false),VLOOKUP(J132,Sheet2!A:C,2,false))</f>
        <v>https://assets.roomstogo.com/product/therapedic-darlington-twin-xl-mattress_50011368_image-item</v>
      </c>
      <c r="AB132" s="8" t="str">
        <f>IFERROR(VLOOKUP(A132,Sheet3!B:H,7,false),VLOOKUP(J132,Sheet2!A:C,3,false))</f>
        <v>https://assets.roomstogo.com/product/therapedic-darlington-twin-xl-mattress_50011368_alt-image-1</v>
      </c>
      <c r="AC132" s="8" t="str">
        <f t="shared" si="2"/>
        <v>https://rtg-275.myshopify.com/products/DARLINGTON</v>
      </c>
      <c r="AD132" s="8" t="str">
        <f>vlookup(L132,'Python sheet'!$E$2:$F$373,2,0)</f>
        <v>https://rtg-275.myshopify.com/products/DARLINGTON?variant=47915108368522</v>
      </c>
    </row>
    <row r="133">
      <c r="A133" s="4">
        <v>5.0322216E7</v>
      </c>
      <c r="B133" s="9">
        <v>5.0</v>
      </c>
      <c r="C133" s="9">
        <v>5.0</v>
      </c>
      <c r="D133" s="2" t="s">
        <v>161</v>
      </c>
      <c r="E133" s="2" t="s">
        <v>44</v>
      </c>
      <c r="F133" s="2" t="s">
        <v>162</v>
      </c>
      <c r="G133" s="9">
        <v>28.0</v>
      </c>
      <c r="H133" s="9">
        <v>4.71</v>
      </c>
      <c r="I133" s="9">
        <v>23.0</v>
      </c>
      <c r="J133" s="1" t="s">
        <v>163</v>
      </c>
      <c r="K133" s="1" t="s">
        <v>993</v>
      </c>
      <c r="L133" s="1" t="str">
        <f t="shared" si="1"/>
        <v>OCEANA-MISTFull</v>
      </c>
      <c r="M133" s="1" t="s">
        <v>421</v>
      </c>
      <c r="N133" s="6">
        <v>377.0</v>
      </c>
      <c r="O133" s="6">
        <v>679.99</v>
      </c>
      <c r="P133" s="1" t="s">
        <v>165</v>
      </c>
      <c r="Q133" s="1" t="s">
        <v>54</v>
      </c>
      <c r="R133" s="1" t="s">
        <v>166</v>
      </c>
      <c r="S133" s="1" t="s">
        <v>31</v>
      </c>
      <c r="T133" s="1" t="s">
        <v>373</v>
      </c>
      <c r="U133" s="1" t="s">
        <v>41</v>
      </c>
      <c r="V133" s="1" t="s">
        <v>36</v>
      </c>
      <c r="W133" s="1" t="s">
        <v>35</v>
      </c>
      <c r="X133" s="1" t="s">
        <v>34</v>
      </c>
      <c r="Y133" s="1" t="s">
        <v>36</v>
      </c>
      <c r="Z133" s="1" t="s">
        <v>37</v>
      </c>
      <c r="AA133" s="8" t="str">
        <f>IFERROR(VLOOKUP(A133,Sheet3!B:H,6,false),VLOOKUP(J133,Sheet2!A:C,2,false))</f>
        <v>https://assets.roomstogo.com/product/beauty-sleep-oceana-mist-medium-hybrid-twin-xl-mattress_50022210_image-item</v>
      </c>
      <c r="AB133" s="8" t="str">
        <f>IFERROR(VLOOKUP(A133,Sheet3!B:H,7,false),VLOOKUP(J133,Sheet2!A:C,3,false))</f>
        <v>https://assets.roomstogo.com/product/beauty-sleep-oceana-mist-medium-hybrid-twin-xl-mattress_50022210_alt-image-8</v>
      </c>
      <c r="AC133" s="8" t="str">
        <f t="shared" si="2"/>
        <v>https://rtg-275.myshopify.com/products/OCEANA-MIST</v>
      </c>
      <c r="AD133" s="8" t="str">
        <f>vlookup(L133,'Python sheet'!$E$2:$F$373,2,0)</f>
        <v>https://rtg-275.myshopify.com/products/OCEANA-MIST?variant=47915109089418</v>
      </c>
    </row>
    <row r="134">
      <c r="A134" s="4">
        <v>5.0325743E7</v>
      </c>
      <c r="B134" s="5"/>
      <c r="C134" s="5"/>
      <c r="D134" s="5"/>
      <c r="E134" s="5"/>
      <c r="F134" s="5"/>
      <c r="G134" s="5"/>
      <c r="H134" s="5"/>
      <c r="I134" s="5"/>
      <c r="J134" s="1" t="s">
        <v>169</v>
      </c>
      <c r="K134" s="1" t="s">
        <v>994</v>
      </c>
      <c r="L134" s="1" t="str">
        <f t="shared" si="1"/>
        <v>LEVEL-THREE-PLUSHFull</v>
      </c>
      <c r="M134" s="1" t="s">
        <v>422</v>
      </c>
      <c r="N134" s="6">
        <v>1379.0</v>
      </c>
      <c r="O134" s="6">
        <v>1379.0</v>
      </c>
      <c r="P134" s="1" t="s">
        <v>171</v>
      </c>
      <c r="Q134" s="7"/>
      <c r="R134" s="1" t="s">
        <v>172</v>
      </c>
      <c r="S134" s="1" t="s">
        <v>31</v>
      </c>
      <c r="T134" s="1" t="s">
        <v>373</v>
      </c>
      <c r="U134" s="1" t="s">
        <v>59</v>
      </c>
      <c r="V134" s="1" t="s">
        <v>42</v>
      </c>
      <c r="W134" s="1" t="s">
        <v>49</v>
      </c>
      <c r="X134" s="1" t="s">
        <v>42</v>
      </c>
      <c r="Y134" s="1" t="s">
        <v>42</v>
      </c>
      <c r="Z134" s="1" t="s">
        <v>51</v>
      </c>
      <c r="AA134" s="8" t="str">
        <f>IFERROR(VLOOKUP(A134,Sheet3!B:H,6,false),VLOOKUP(J134,Sheet2!A:C,2,false))</f>
        <v>https://assets.roomstogo.com/product/beautyrest-world-class-level-three-plush-twin-xl-mattress_50025747_image-item</v>
      </c>
      <c r="AB134" s="8" t="str">
        <f>IFERROR(VLOOKUP(A134,Sheet3!B:H,7,false),VLOOKUP(J134,Sheet2!A:C,3,false))</f>
        <v>https://assets.roomstogo.com/product/beautyrest-world-class-level-three-plush-twin-xl-mattress_50025747_alt-image-13</v>
      </c>
      <c r="AC134" s="8" t="str">
        <f t="shared" si="2"/>
        <v>https://rtg-275.myshopify.com/products/LEVEL-THREE-PLUSH</v>
      </c>
      <c r="AD134" s="8" t="str">
        <f>vlookup(L134,'Python sheet'!$E$2:$F$373,2,0)</f>
        <v>https://rtg-275.myshopify.com/products/LEVEL-THREE-PLUSH?variant=47915109286026</v>
      </c>
    </row>
    <row r="135">
      <c r="A135" s="4">
        <v>5.0325755E7</v>
      </c>
      <c r="B135" s="5"/>
      <c r="C135" s="5"/>
      <c r="D135" s="5"/>
      <c r="E135" s="5"/>
      <c r="F135" s="5"/>
      <c r="G135" s="5"/>
      <c r="H135" s="5"/>
      <c r="I135" s="5"/>
      <c r="J135" s="1" t="s">
        <v>173</v>
      </c>
      <c r="K135" s="1" t="s">
        <v>995</v>
      </c>
      <c r="L135" s="1" t="str">
        <f t="shared" si="1"/>
        <v>LEVEL-THREE-MEDIUM-PILLOWTOPFull</v>
      </c>
      <c r="M135" s="1" t="s">
        <v>423</v>
      </c>
      <c r="N135" s="6">
        <v>1579.0</v>
      </c>
      <c r="O135" s="6">
        <v>1579.0</v>
      </c>
      <c r="P135" s="1" t="s">
        <v>171</v>
      </c>
      <c r="Q135" s="7"/>
      <c r="R135" s="1" t="s">
        <v>175</v>
      </c>
      <c r="S135" s="1" t="s">
        <v>31</v>
      </c>
      <c r="T135" s="1" t="s">
        <v>373</v>
      </c>
      <c r="U135" s="1" t="s">
        <v>59</v>
      </c>
      <c r="V135" s="1" t="s">
        <v>42</v>
      </c>
      <c r="W135" s="1" t="s">
        <v>35</v>
      </c>
      <c r="X135" s="1" t="s">
        <v>42</v>
      </c>
      <c r="Y135" s="1" t="s">
        <v>42</v>
      </c>
      <c r="Z135" s="1" t="s">
        <v>37</v>
      </c>
      <c r="AA135" s="8" t="str">
        <f>IFERROR(VLOOKUP(A135,Sheet3!B:H,6,false),VLOOKUP(J135,Sheet2!A:C,2,false))</f>
        <v>https://assets.roomstogo.com/product/beautyrest-world-class-level-three-medium-pillow-top-twin-xl-mattress_50025759_image-item</v>
      </c>
      <c r="AB135" s="8" t="str">
        <f>IFERROR(VLOOKUP(A135,Sheet3!B:H,7,false),VLOOKUP(J135,Sheet2!A:C,3,false))</f>
        <v>https://assets.roomstogo.com/product/beautyrest-world-class-level-three-medium-pillow-top-twin-xl-mattress_50025759_alt-image-13</v>
      </c>
      <c r="AC135" s="8" t="str">
        <f t="shared" si="2"/>
        <v>https://rtg-275.myshopify.com/products/LEVEL-THREE-MEDIUM-PILLOWTOP</v>
      </c>
      <c r="AD135" s="8" t="str">
        <f>vlookup(L135,'Python sheet'!$E$2:$F$373,2,0)</f>
        <v>https://rtg-275.myshopify.com/products/LEVEL-THREE-MEDIUM-PILLOWTOP?variant=47915109482634</v>
      </c>
    </row>
    <row r="136">
      <c r="A136" s="4">
        <v>5.0325806E7</v>
      </c>
      <c r="B136" s="5"/>
      <c r="C136" s="5"/>
      <c r="D136" s="5"/>
      <c r="E136" s="5"/>
      <c r="F136" s="5"/>
      <c r="G136" s="5"/>
      <c r="H136" s="5"/>
      <c r="I136" s="5"/>
      <c r="J136" s="1" t="s">
        <v>176</v>
      </c>
      <c r="K136" s="1" t="s">
        <v>996</v>
      </c>
      <c r="L136" s="1" t="str">
        <f t="shared" si="1"/>
        <v>LEVEL-FOUR-PLUSH-PILLOWTOPFull</v>
      </c>
      <c r="M136" s="1" t="s">
        <v>424</v>
      </c>
      <c r="N136" s="6">
        <v>1879.0</v>
      </c>
      <c r="O136" s="6">
        <v>1879.0</v>
      </c>
      <c r="P136" s="1" t="s">
        <v>171</v>
      </c>
      <c r="Q136" s="7"/>
      <c r="R136" s="1" t="s">
        <v>178</v>
      </c>
      <c r="S136" s="1" t="s">
        <v>31</v>
      </c>
      <c r="T136" s="1" t="s">
        <v>373</v>
      </c>
      <c r="U136" s="1" t="s">
        <v>59</v>
      </c>
      <c r="V136" s="1" t="s">
        <v>50</v>
      </c>
      <c r="W136" s="1" t="s">
        <v>49</v>
      </c>
      <c r="X136" s="1" t="s">
        <v>42</v>
      </c>
      <c r="Y136" s="1" t="s">
        <v>42</v>
      </c>
      <c r="Z136" s="1" t="s">
        <v>51</v>
      </c>
      <c r="AA136" s="8" t="str">
        <f>IFERROR(VLOOKUP(A136,Sheet3!B:H,6,false),VLOOKUP(J136,Sheet2!A:C,2,false))</f>
        <v>https://assets.roomstogo.com/product/beautyrest-world-class-level-four-plush-pillow-top-twin-xl-mattress_50025800_image-item</v>
      </c>
      <c r="AB136" s="8" t="str">
        <f>IFERROR(VLOOKUP(A136,Sheet3!B:H,7,false),VLOOKUP(J136,Sheet2!A:C,3,false))</f>
        <v>https://assets.roomstogo.com/product/beautyrest-world-class-level-four-plush-pillow-top-twin-xl-mattress_50025800_alt-image-13</v>
      </c>
      <c r="AC136" s="8" t="str">
        <f t="shared" si="2"/>
        <v>https://rtg-275.myshopify.com/products/LEVEL-FOUR-PLUSH-PILLOWTOP</v>
      </c>
      <c r="AD136" s="8" t="str">
        <f>vlookup(L136,'Python sheet'!$E$2:$F$373,2,0)</f>
        <v>https://rtg-275.myshopify.com/products/LEVEL-FOUR-PLUSH-PILLOWTOP?variant=47915109679242</v>
      </c>
    </row>
    <row r="137">
      <c r="A137" s="4">
        <v>5.0328953E7</v>
      </c>
      <c r="B137" s="5"/>
      <c r="C137" s="5"/>
      <c r="D137" s="5"/>
      <c r="E137" s="5"/>
      <c r="F137" s="5"/>
      <c r="G137" s="5"/>
      <c r="H137" s="5"/>
      <c r="I137" s="5"/>
      <c r="J137" s="1" t="s">
        <v>179</v>
      </c>
      <c r="K137" s="1" t="s">
        <v>997</v>
      </c>
      <c r="L137" s="1" t="str">
        <f t="shared" si="1"/>
        <v>KERRY-PARKFull</v>
      </c>
      <c r="M137" s="1" t="s">
        <v>425</v>
      </c>
      <c r="N137" s="6">
        <v>877.0</v>
      </c>
      <c r="O137" s="6">
        <v>1479.0</v>
      </c>
      <c r="P137" s="1" t="s">
        <v>181</v>
      </c>
      <c r="Q137" s="1" t="s">
        <v>54</v>
      </c>
      <c r="R137" s="7"/>
      <c r="S137" s="1" t="s">
        <v>31</v>
      </c>
      <c r="T137" s="1" t="s">
        <v>373</v>
      </c>
      <c r="U137" s="1" t="s">
        <v>59</v>
      </c>
      <c r="V137" s="1" t="s">
        <v>42</v>
      </c>
      <c r="W137" s="1" t="s">
        <v>49</v>
      </c>
      <c r="X137" s="1" t="s">
        <v>34</v>
      </c>
      <c r="Y137" s="1" t="s">
        <v>34</v>
      </c>
      <c r="Z137" s="1" t="s">
        <v>182</v>
      </c>
      <c r="AA137" s="8" t="str">
        <f>IFERROR(VLOOKUP(A137,Sheet3!B:H,6,false),VLOOKUP(J137,Sheet2!A:C,2,false))</f>
        <v>https://assets.roomstogo.com/product/sealy-correct-comfort-kerry-park-twin-xl-mattress_50028957_image-item</v>
      </c>
      <c r="AB137" s="8" t="str">
        <f>IFERROR(VLOOKUP(A137,Sheet3!B:H,7,false),VLOOKUP(J137,Sheet2!A:C,3,false))</f>
        <v>https://assets.roomstogo.com/product/sealy-correct-comfort-kerry-park-twin-xl-mattress_50028957_alt-image-1</v>
      </c>
      <c r="AC137" s="8" t="str">
        <f t="shared" si="2"/>
        <v>https://rtg-275.myshopify.com/products/KERRY-PARK</v>
      </c>
      <c r="AD137" s="8" t="str">
        <f>vlookup(L137,'Python sheet'!$E$2:$F$373,2,0)</f>
        <v>https://rtg-275.myshopify.com/products/KERRY-PARK?variant=47915109908618</v>
      </c>
    </row>
    <row r="138">
      <c r="A138" s="4">
        <v>5.0328965E7</v>
      </c>
      <c r="B138" s="9">
        <v>2.0</v>
      </c>
      <c r="C138" s="9">
        <v>5.0</v>
      </c>
      <c r="D138" s="2" t="s">
        <v>183</v>
      </c>
      <c r="E138" s="2" t="s">
        <v>44</v>
      </c>
      <c r="F138" s="2" t="s">
        <v>184</v>
      </c>
      <c r="G138" s="9">
        <v>12.0</v>
      </c>
      <c r="H138" s="9">
        <v>4.83</v>
      </c>
      <c r="I138" s="9">
        <v>10.0</v>
      </c>
      <c r="J138" s="1" t="s">
        <v>185</v>
      </c>
      <c r="K138" s="1" t="s">
        <v>998</v>
      </c>
      <c r="L138" s="1" t="str">
        <f t="shared" si="1"/>
        <v>BRADFORD-HILLFull</v>
      </c>
      <c r="M138" s="1" t="s">
        <v>426</v>
      </c>
      <c r="N138" s="6">
        <v>645.0</v>
      </c>
      <c r="O138" s="6">
        <v>749.0</v>
      </c>
      <c r="P138" s="1" t="s">
        <v>181</v>
      </c>
      <c r="Q138" s="1" t="s">
        <v>54</v>
      </c>
      <c r="R138" s="7"/>
      <c r="S138" s="1" t="s">
        <v>31</v>
      </c>
      <c r="T138" s="1" t="s">
        <v>373</v>
      </c>
      <c r="U138" s="1" t="s">
        <v>33</v>
      </c>
      <c r="V138" s="1" t="s">
        <v>34</v>
      </c>
      <c r="W138" s="1" t="s">
        <v>35</v>
      </c>
      <c r="X138" s="1" t="s">
        <v>34</v>
      </c>
      <c r="Y138" s="1" t="s">
        <v>36</v>
      </c>
      <c r="Z138" s="1" t="s">
        <v>37</v>
      </c>
      <c r="AA138" s="8" t="str">
        <f>IFERROR(VLOOKUP(A138,Sheet3!B:H,6,false),VLOOKUP(J138,Sheet2!A:C,2,false))</f>
        <v>https://assets.roomstogo.com/product/sealy-correct-comfort-bradford-hill-twin-xl-mattress_50028969_image-item</v>
      </c>
      <c r="AB138" s="8" t="str">
        <f>IFERROR(VLOOKUP(A138,Sheet3!B:H,7,false),VLOOKUP(J138,Sheet2!A:C,3,false))</f>
        <v>https://assets.roomstogo.com/product/sealy-correct-comfort-bradford-hill-twin-xl-mattress_50028969_alt-image-1</v>
      </c>
      <c r="AC138" s="8" t="str">
        <f t="shared" si="2"/>
        <v>https://rtg-275.myshopify.com/products/BRADFORD-HILL</v>
      </c>
      <c r="AD138" s="8" t="str">
        <f>vlookup(L138,'Python sheet'!$E$2:$F$373,2,0)</f>
        <v>https://rtg-275.myshopify.com/products/BRADFORD-HILL?variant=47915110105226</v>
      </c>
    </row>
    <row r="139">
      <c r="A139" s="4">
        <v>5.0329171E7</v>
      </c>
      <c r="B139" s="9">
        <v>2.0</v>
      </c>
      <c r="C139" s="9">
        <v>4.5</v>
      </c>
      <c r="D139" s="2" t="s">
        <v>341</v>
      </c>
      <c r="E139" s="2" t="s">
        <v>44</v>
      </c>
      <c r="F139" s="2" t="s">
        <v>342</v>
      </c>
      <c r="G139" s="9">
        <v>6.0</v>
      </c>
      <c r="H139" s="9">
        <v>4.17</v>
      </c>
      <c r="I139" s="9">
        <v>4.0</v>
      </c>
      <c r="J139" s="1" t="s">
        <v>189</v>
      </c>
      <c r="K139" s="1" t="s">
        <v>189</v>
      </c>
      <c r="L139" s="1" t="str">
        <f t="shared" si="1"/>
        <v>BRIERWOODFull</v>
      </c>
      <c r="M139" s="1" t="s">
        <v>427</v>
      </c>
      <c r="N139" s="6">
        <v>627.0</v>
      </c>
      <c r="O139" s="6">
        <v>749.0</v>
      </c>
      <c r="P139" s="1" t="s">
        <v>191</v>
      </c>
      <c r="Q139" s="1" t="s">
        <v>54</v>
      </c>
      <c r="R139" s="1" t="s">
        <v>192</v>
      </c>
      <c r="S139" s="1" t="s">
        <v>31</v>
      </c>
      <c r="T139" s="1" t="s">
        <v>373</v>
      </c>
      <c r="U139" s="1" t="s">
        <v>59</v>
      </c>
      <c r="V139" s="1" t="s">
        <v>36</v>
      </c>
      <c r="W139" s="1" t="s">
        <v>35</v>
      </c>
      <c r="X139" s="1" t="s">
        <v>36</v>
      </c>
      <c r="Y139" s="1" t="s">
        <v>36</v>
      </c>
      <c r="Z139" s="1" t="s">
        <v>37</v>
      </c>
      <c r="AA139" s="8" t="str">
        <f>IFERROR(VLOOKUP(A139,Sheet3!B:H,6,false),VLOOKUP(J139,Sheet2!A:C,2,false))</f>
        <v>https://assets.roomstogo.com/product/sealy-posturepedic-brierwood-twin-xl-mattress_50029175_image-item</v>
      </c>
      <c r="AB139" s="8" t="str">
        <f>IFERROR(VLOOKUP(A139,Sheet3!B:H,7,false),VLOOKUP(J139,Sheet2!A:C,3,false))</f>
        <v>https://assets.roomstogo.com/product/sealy-posturepedic-brierwood-twin-xl-mattress_50029175_alt-image-1</v>
      </c>
      <c r="AC139" s="8" t="str">
        <f t="shared" si="2"/>
        <v>https://rtg-275.myshopify.com/products/BRIERWOOD</v>
      </c>
      <c r="AD139" s="8" t="str">
        <f>vlookup(L139,'Python sheet'!$E$2:$F$373,2,0)</f>
        <v>https://rtg-275.myshopify.com/products/BRIERWOOD?variant=47915110400138</v>
      </c>
    </row>
    <row r="140">
      <c r="A140" s="4">
        <v>5.0329208E7</v>
      </c>
      <c r="B140" s="5"/>
      <c r="C140" s="5"/>
      <c r="D140" s="5"/>
      <c r="E140" s="5"/>
      <c r="F140" s="5"/>
      <c r="G140" s="5"/>
      <c r="H140" s="5"/>
      <c r="I140" s="5"/>
      <c r="J140" s="1" t="s">
        <v>193</v>
      </c>
      <c r="K140" s="1" t="s">
        <v>999</v>
      </c>
      <c r="L140" s="1" t="str">
        <f t="shared" si="1"/>
        <v>CASTLE-ROCKFull</v>
      </c>
      <c r="M140" s="1" t="s">
        <v>428</v>
      </c>
      <c r="N140" s="6">
        <v>947.0</v>
      </c>
      <c r="O140" s="6">
        <v>1149.0</v>
      </c>
      <c r="P140" s="1" t="s">
        <v>195</v>
      </c>
      <c r="Q140" s="1" t="s">
        <v>54</v>
      </c>
      <c r="R140" s="1" t="s">
        <v>196</v>
      </c>
      <c r="S140" s="1" t="s">
        <v>31</v>
      </c>
      <c r="T140" s="1" t="s">
        <v>373</v>
      </c>
      <c r="U140" s="1" t="s">
        <v>59</v>
      </c>
      <c r="V140" s="1" t="s">
        <v>34</v>
      </c>
      <c r="W140" s="1" t="s">
        <v>35</v>
      </c>
      <c r="X140" s="1" t="s">
        <v>34</v>
      </c>
      <c r="Y140" s="1" t="s">
        <v>36</v>
      </c>
      <c r="Z140" s="1" t="s">
        <v>37</v>
      </c>
      <c r="AA140" s="8" t="str">
        <f>IFERROR(VLOOKUP(A140,Sheet3!B:H,6,false),VLOOKUP(J140,Sheet2!A:C,2,false))</f>
        <v>https://assets.roomstogo.com/product/sealy-posturepedic-castle-rock-twin-xl-mattress_50029202_image-item</v>
      </c>
      <c r="AB140" s="8" t="str">
        <f>IFERROR(VLOOKUP(A140,Sheet3!B:H,7,false),VLOOKUP(J140,Sheet2!A:C,3,false))</f>
        <v>https://assets.roomstogo.com/product/sealy-posturepedic-castle-rock-twin-xl-mattress_50029202_alt-image-1</v>
      </c>
      <c r="AC140" s="8" t="str">
        <f t="shared" si="2"/>
        <v>https://rtg-275.myshopify.com/products/CASTLE-ROCK</v>
      </c>
      <c r="AD140" s="8" t="str">
        <f>vlookup(L140,'Python sheet'!$E$2:$F$373,2,0)</f>
        <v>https://rtg-275.myshopify.com/products/CASTLE-ROCK?variant=47915110695050</v>
      </c>
    </row>
    <row r="141">
      <c r="A141" s="4">
        <v>5.032921E7</v>
      </c>
      <c r="B141" s="5"/>
      <c r="C141" s="5"/>
      <c r="D141" s="5"/>
      <c r="E141" s="5"/>
      <c r="F141" s="5"/>
      <c r="G141" s="5"/>
      <c r="H141" s="5"/>
      <c r="I141" s="5"/>
      <c r="J141" s="1" t="s">
        <v>197</v>
      </c>
      <c r="K141" s="1" t="s">
        <v>197</v>
      </c>
      <c r="L141" s="1" t="str">
        <f t="shared" si="1"/>
        <v>PEBBLEBROOKFull</v>
      </c>
      <c r="M141" s="1" t="s">
        <v>429</v>
      </c>
      <c r="N141" s="6">
        <v>1027.0</v>
      </c>
      <c r="O141" s="6">
        <v>1249.0</v>
      </c>
      <c r="P141" s="1" t="s">
        <v>199</v>
      </c>
      <c r="Q141" s="7"/>
      <c r="R141" s="1" t="s">
        <v>200</v>
      </c>
      <c r="S141" s="1" t="s">
        <v>31</v>
      </c>
      <c r="T141" s="1" t="s">
        <v>373</v>
      </c>
      <c r="U141" s="1" t="s">
        <v>59</v>
      </c>
      <c r="V141" s="1" t="s">
        <v>34</v>
      </c>
      <c r="W141" s="1" t="s">
        <v>35</v>
      </c>
      <c r="X141" s="1" t="s">
        <v>42</v>
      </c>
      <c r="Y141" s="1" t="s">
        <v>34</v>
      </c>
      <c r="Z141" s="1" t="s">
        <v>37</v>
      </c>
      <c r="AA141" s="8" t="str">
        <f>IFERROR(VLOOKUP(A141,Sheet3!B:H,6,false),VLOOKUP(J141,Sheet2!A:C,2,false))</f>
        <v>https://assets.roomstogo.com/product/sealy-posturepedic-pebblebrook-twin-xl-mattress_50029214_image-item</v>
      </c>
      <c r="AB141" s="8" t="str">
        <f>IFERROR(VLOOKUP(A141,Sheet3!B:H,7,false),VLOOKUP(J141,Sheet2!A:C,3,false))</f>
        <v>https://assets.roomstogo.com/product/sealy-posturepedic-pebblebrook-twin-xl-mattress_50029214_alt-image-1</v>
      </c>
      <c r="AC141" s="8" t="str">
        <f t="shared" si="2"/>
        <v>https://rtg-275.myshopify.com/products/PEBBLEBROOK</v>
      </c>
      <c r="AD141" s="8" t="str">
        <f>vlookup(L141,'Python sheet'!$E$2:$F$373,2,0)</f>
        <v>https://rtg-275.myshopify.com/products/PEBBLEBROOK?variant=47915110924426</v>
      </c>
    </row>
    <row r="142">
      <c r="A142" s="4">
        <v>5.033411E7</v>
      </c>
      <c r="B142" s="9">
        <v>11.0</v>
      </c>
      <c r="C142" s="9">
        <v>4.09</v>
      </c>
      <c r="D142" s="2" t="s">
        <v>346</v>
      </c>
      <c r="E142" s="2" t="s">
        <v>44</v>
      </c>
      <c r="F142" s="2" t="s">
        <v>347</v>
      </c>
      <c r="G142" s="9">
        <v>13.0</v>
      </c>
      <c r="H142" s="9">
        <v>3.92</v>
      </c>
      <c r="I142" s="9">
        <v>2.0</v>
      </c>
      <c r="J142" s="1" t="s">
        <v>348</v>
      </c>
      <c r="K142" s="1" t="s">
        <v>348</v>
      </c>
      <c r="L142" s="1" t="str">
        <f t="shared" si="1"/>
        <v>TEMPUR-KIDSFull</v>
      </c>
      <c r="M142" s="1" t="s">
        <v>430</v>
      </c>
      <c r="N142" s="6">
        <v>799.0</v>
      </c>
      <c r="O142" s="6">
        <v>899.0</v>
      </c>
      <c r="P142" s="1" t="s">
        <v>64</v>
      </c>
      <c r="Q142" s="7"/>
      <c r="R142" s="1" t="s">
        <v>350</v>
      </c>
      <c r="S142" s="1" t="s">
        <v>134</v>
      </c>
      <c r="T142" s="1" t="s">
        <v>373</v>
      </c>
      <c r="U142" s="1" t="s">
        <v>33</v>
      </c>
      <c r="V142" s="1" t="s">
        <v>50</v>
      </c>
      <c r="W142" s="1" t="s">
        <v>35</v>
      </c>
      <c r="X142" s="1" t="s">
        <v>50</v>
      </c>
      <c r="Y142" s="1" t="s">
        <v>36</v>
      </c>
      <c r="Z142" s="1" t="s">
        <v>37</v>
      </c>
      <c r="AA142" s="8" t="str">
        <f>IFERROR(VLOOKUP(A142,Sheet3!B:H,6,false),VLOOKUP(J142,Sheet2!A:C,2,false))</f>
        <v>https://assets.roomstogo.com/product/tempur-kids-twin-mattress_50134116_image-item</v>
      </c>
      <c r="AB142" s="8" t="str">
        <f>IFERROR(VLOOKUP(A142,Sheet3!B:H,7,false),VLOOKUP(J142,Sheet2!A:C,3,false))</f>
        <v>https://assets.roomstogo.com/product/tempur-kids-project-z-twin-mattress_50134116_alt-image-1</v>
      </c>
      <c r="AC142" s="8" t="str">
        <f t="shared" si="2"/>
        <v>https://rtg-275.myshopify.com/products/TEMPUR-KIDS</v>
      </c>
      <c r="AD142" s="8" t="str">
        <f>vlookup(L142,'Python sheet'!$E$2:$F$373,2,0)</f>
        <v>https://rtg-275.myshopify.com/products/TEMPUR-KIDS?variant=47915113513098</v>
      </c>
    </row>
    <row r="143">
      <c r="A143" s="4">
        <v>5.0337053E7</v>
      </c>
      <c r="B143" s="9">
        <v>1.0</v>
      </c>
      <c r="C143" s="9">
        <v>1.0</v>
      </c>
      <c r="D143" s="2" t="s">
        <v>201</v>
      </c>
      <c r="E143" s="2" t="s">
        <v>44</v>
      </c>
      <c r="F143" s="2" t="s">
        <v>202</v>
      </c>
      <c r="G143" s="9">
        <v>347.0</v>
      </c>
      <c r="H143" s="9">
        <v>4.52</v>
      </c>
      <c r="I143" s="9">
        <v>346.0</v>
      </c>
      <c r="J143" s="1" t="s">
        <v>203</v>
      </c>
      <c r="K143" s="1" t="s">
        <v>1000</v>
      </c>
      <c r="L143" s="1" t="str">
        <f t="shared" si="1"/>
        <v>SERIES-ONE-EXTRA-FIRMFull</v>
      </c>
      <c r="M143" s="1" t="s">
        <v>431</v>
      </c>
      <c r="N143" s="6">
        <v>1829.0</v>
      </c>
      <c r="O143" s="6">
        <v>1829.0</v>
      </c>
      <c r="P143" s="1" t="s">
        <v>205</v>
      </c>
      <c r="Q143" s="7"/>
      <c r="R143" s="1" t="s">
        <v>206</v>
      </c>
      <c r="S143" s="1" t="s">
        <v>31</v>
      </c>
      <c r="T143" s="1" t="s">
        <v>373</v>
      </c>
      <c r="U143" s="1" t="s">
        <v>59</v>
      </c>
      <c r="V143" s="1" t="s">
        <v>34</v>
      </c>
      <c r="W143" s="1" t="s">
        <v>76</v>
      </c>
      <c r="X143" s="1" t="s">
        <v>50</v>
      </c>
      <c r="Y143" s="1" t="s">
        <v>42</v>
      </c>
      <c r="Z143" s="1" t="s">
        <v>144</v>
      </c>
      <c r="AA143" s="8" t="str">
        <f>IFERROR(VLOOKUP(A143,Sheet3!B:H,6,false),VLOOKUP(J143,Sheet2!A:C,2,false))</f>
        <v>https://assets.roomstogo.com/product/beautyrest-black-series-one-extra-firm-twin-xl-mattress_50037057_image-item</v>
      </c>
      <c r="AB143" s="8" t="str">
        <f>IFERROR(VLOOKUP(A143,Sheet3!B:H,7,false),VLOOKUP(J143,Sheet2!A:C,3,false))</f>
        <v>https://assets.roomstogo.com/product/beautyrest-black-series-one-extra-firm-twin-xl-mattress_50037057_alt-image-1</v>
      </c>
      <c r="AC143" s="8" t="str">
        <f t="shared" si="2"/>
        <v>https://rtg-275.myshopify.com/products/SERIES-ONE-EXTRA-FIRM</v>
      </c>
      <c r="AD143" s="8" t="str">
        <f>vlookup(L143,'Python sheet'!$E$2:$F$373,2,0)</f>
        <v>https://rtg-275.myshopify.com/products/SERIES-ONE-EXTRA-FIRM?variant=47915111121034</v>
      </c>
    </row>
    <row r="144">
      <c r="A144" s="4">
        <v>5.033713E7</v>
      </c>
      <c r="B144" s="5"/>
      <c r="C144" s="5"/>
      <c r="D144" s="5"/>
      <c r="E144" s="5"/>
      <c r="F144" s="5"/>
      <c r="G144" s="5"/>
      <c r="H144" s="5"/>
      <c r="I144" s="5"/>
      <c r="J144" s="1" t="s">
        <v>209</v>
      </c>
      <c r="K144" s="1" t="s">
        <v>1001</v>
      </c>
      <c r="L144" s="1" t="str">
        <f t="shared" si="1"/>
        <v>SERIES-TWO-MEDIUMFull</v>
      </c>
      <c r="M144" s="1" t="s">
        <v>432</v>
      </c>
      <c r="N144" s="6">
        <v>2829.0</v>
      </c>
      <c r="O144" s="6">
        <v>2829.0</v>
      </c>
      <c r="P144" s="1" t="s">
        <v>205</v>
      </c>
      <c r="Q144" s="7"/>
      <c r="R144" s="1" t="s">
        <v>211</v>
      </c>
      <c r="S144" s="1" t="s">
        <v>31</v>
      </c>
      <c r="T144" s="1" t="s">
        <v>373</v>
      </c>
      <c r="U144" s="1" t="s">
        <v>59</v>
      </c>
      <c r="V144" s="1" t="s">
        <v>42</v>
      </c>
      <c r="W144" s="1" t="s">
        <v>35</v>
      </c>
      <c r="X144" s="1" t="s">
        <v>50</v>
      </c>
      <c r="Y144" s="1" t="s">
        <v>42</v>
      </c>
      <c r="Z144" s="1" t="s">
        <v>37</v>
      </c>
      <c r="AA144" s="8" t="str">
        <f>IFERROR(VLOOKUP(A144,Sheet3!B:H,6,false),VLOOKUP(J144,Sheet2!A:C,2,false))</f>
        <v>https://assets.roomstogo.com/product/beautyrest-black-series-two-medium-twin-xl-mattress_50037134_image-item</v>
      </c>
      <c r="AB144" s="8" t="str">
        <f>IFERROR(VLOOKUP(A144,Sheet3!B:H,7,false),VLOOKUP(J144,Sheet2!A:C,3,false))</f>
        <v>https://assets.roomstogo.com/product/beautyrest-black-series-two-medium-twin-xl-mattress_50037134_alt-image-1</v>
      </c>
      <c r="AC144" s="8" t="str">
        <f t="shared" si="2"/>
        <v>https://rtg-275.myshopify.com/products/SERIES-TWO-MEDIUM</v>
      </c>
      <c r="AD144" s="8" t="str">
        <f>vlookup(L144,'Python sheet'!$E$2:$F$373,2,0)</f>
        <v>https://rtg-275.myshopify.com/products/SERIES-TWO-MEDIUM?variant=47915111317642</v>
      </c>
    </row>
    <row r="145">
      <c r="A145" s="4">
        <v>5.0337229E7</v>
      </c>
      <c r="B145" s="5"/>
      <c r="C145" s="5"/>
      <c r="D145" s="5"/>
      <c r="E145" s="5"/>
      <c r="F145" s="5"/>
      <c r="G145" s="5"/>
      <c r="H145" s="5"/>
      <c r="I145" s="5"/>
      <c r="J145" s="1" t="s">
        <v>214</v>
      </c>
      <c r="K145" s="1" t="s">
        <v>1002</v>
      </c>
      <c r="L145" s="1" t="str">
        <f t="shared" si="1"/>
        <v>SERIES-THREE-PLUSH-PILLOW-TOPFull</v>
      </c>
      <c r="M145" s="1" t="s">
        <v>433</v>
      </c>
      <c r="N145" s="6">
        <v>3929.0</v>
      </c>
      <c r="O145" s="6">
        <v>3929.0</v>
      </c>
      <c r="P145" s="1" t="s">
        <v>205</v>
      </c>
      <c r="Q145" s="7"/>
      <c r="R145" s="1" t="s">
        <v>216</v>
      </c>
      <c r="S145" s="1" t="s">
        <v>31</v>
      </c>
      <c r="T145" s="1" t="s">
        <v>373</v>
      </c>
      <c r="U145" s="1" t="s">
        <v>59</v>
      </c>
      <c r="V145" s="1" t="s">
        <v>50</v>
      </c>
      <c r="W145" s="1" t="s">
        <v>49</v>
      </c>
      <c r="X145" s="1" t="s">
        <v>50</v>
      </c>
      <c r="Y145" s="1" t="s">
        <v>42</v>
      </c>
      <c r="Z145" s="1" t="s">
        <v>51</v>
      </c>
      <c r="AA145" s="8" t="str">
        <f>IFERROR(VLOOKUP(A145,Sheet3!B:H,6,false),VLOOKUP(J145,Sheet2!A:C,2,false))</f>
        <v>https://assets.roomstogo.com/product/beautyrest-black-series-three-plush-pillow-top-twin-xl-mattress_50037223_image-item</v>
      </c>
      <c r="AB145" s="8" t="str">
        <f>IFERROR(VLOOKUP(A145,Sheet3!B:H,7,false),VLOOKUP(J145,Sheet2!A:C,3,false))</f>
        <v>https://assets.roomstogo.com/product/beautyrest-black-series-three-plush-pillow-top-twin-xl-mattress_50037223_alt-image-1</v>
      </c>
      <c r="AC145" s="8" t="str">
        <f t="shared" si="2"/>
        <v>https://rtg-275.myshopify.com/products/SERIES-THREE-PLUSH-PILLOW-TOP</v>
      </c>
      <c r="AD145" s="8" t="str">
        <f>vlookup(L145,'Python sheet'!$E$2:$F$373,2,0)</f>
        <v>https://rtg-275.myshopify.com/products/SERIES-THREE-PLUSH-PILLOW-TOP?variant=47915111547018</v>
      </c>
    </row>
    <row r="146">
      <c r="A146" s="4">
        <v>5.0348032E7</v>
      </c>
      <c r="B146" s="5"/>
      <c r="C146" s="5"/>
      <c r="D146" s="5"/>
      <c r="E146" s="5"/>
      <c r="F146" s="5"/>
      <c r="G146" s="5"/>
      <c r="H146" s="5"/>
      <c r="I146" s="5"/>
      <c r="J146" s="1" t="s">
        <v>219</v>
      </c>
      <c r="K146" s="1" t="s">
        <v>1003</v>
      </c>
      <c r="L146" s="1" t="str">
        <f t="shared" si="1"/>
        <v>ESTATE-FIRM-TTFull</v>
      </c>
      <c r="M146" s="1" t="s">
        <v>434</v>
      </c>
      <c r="N146" s="6">
        <v>2349.0</v>
      </c>
      <c r="O146" s="6">
        <v>2349.0</v>
      </c>
      <c r="P146" s="1" t="s">
        <v>221</v>
      </c>
      <c r="Q146" s="7"/>
      <c r="R146" s="1" t="s">
        <v>222</v>
      </c>
      <c r="S146" s="1" t="s">
        <v>31</v>
      </c>
      <c r="T146" s="1" t="s">
        <v>373</v>
      </c>
      <c r="U146" s="1" t="s">
        <v>59</v>
      </c>
      <c r="V146" s="1" t="s">
        <v>34</v>
      </c>
      <c r="W146" s="1" t="s">
        <v>76</v>
      </c>
      <c r="X146" s="1" t="s">
        <v>42</v>
      </c>
      <c r="Y146" s="1" t="s">
        <v>34</v>
      </c>
      <c r="Z146" s="1" t="s">
        <v>77</v>
      </c>
      <c r="AA146" s="8" t="str">
        <f>IFERROR(VLOOKUP(A146,Sheet3!B:H,6,false),VLOOKUP(J146,Sheet2!A:C,2,false))</f>
        <v>https://assets.roomstogo.com/product/stearns-and-foster-estate-firm-tight-top-twin-xl-mattress_50048036_image-item</v>
      </c>
      <c r="AB146" s="8" t="str">
        <f>IFERROR(VLOOKUP(A146,Sheet3!B:H,7,false),VLOOKUP(J146,Sheet2!A:C,3,false))</f>
        <v>https://assets.roomstogo.com/product/stearns-and-foster-estate-firm-tight-top-twin-xl-mattress_50048036_alt-image-1</v>
      </c>
      <c r="AC146" s="8" t="str">
        <f t="shared" si="2"/>
        <v>https://rtg-275.myshopify.com/products/ESTATE-FIRM-TT</v>
      </c>
      <c r="AD146" s="8" t="str">
        <f>vlookup(L146,'Python sheet'!$E$2:$F$373,2,0)</f>
        <v>https://rtg-275.myshopify.com/products/ESTATE-FIRM-TT?variant=47915111743626</v>
      </c>
    </row>
    <row r="147">
      <c r="A147" s="4">
        <v>5.0348056E7</v>
      </c>
      <c r="B147" s="9">
        <v>1.0</v>
      </c>
      <c r="C147" s="9">
        <v>5.0</v>
      </c>
      <c r="D147" s="2" t="s">
        <v>435</v>
      </c>
      <c r="E147" s="2" t="s">
        <v>44</v>
      </c>
      <c r="F147" s="2" t="s">
        <v>436</v>
      </c>
      <c r="G147" s="9">
        <v>7.0</v>
      </c>
      <c r="H147" s="9">
        <v>3.86</v>
      </c>
      <c r="I147" s="9">
        <v>6.0</v>
      </c>
      <c r="J147" s="1" t="s">
        <v>223</v>
      </c>
      <c r="K147" s="1" t="s">
        <v>1004</v>
      </c>
      <c r="L147" s="1" t="str">
        <f t="shared" si="1"/>
        <v>ESTATE-FIRM-PTFull</v>
      </c>
      <c r="M147" s="1" t="s">
        <v>437</v>
      </c>
      <c r="N147" s="6">
        <v>2549.0</v>
      </c>
      <c r="O147" s="6">
        <v>2549.0</v>
      </c>
      <c r="P147" s="1" t="s">
        <v>221</v>
      </c>
      <c r="Q147" s="7"/>
      <c r="R147" s="1" t="s">
        <v>222</v>
      </c>
      <c r="S147" s="1" t="s">
        <v>31</v>
      </c>
      <c r="T147" s="1" t="s">
        <v>373</v>
      </c>
      <c r="U147" s="1" t="s">
        <v>59</v>
      </c>
      <c r="V147" s="1" t="s">
        <v>34</v>
      </c>
      <c r="W147" s="1" t="s">
        <v>76</v>
      </c>
      <c r="X147" s="1" t="s">
        <v>42</v>
      </c>
      <c r="Y147" s="1" t="s">
        <v>34</v>
      </c>
      <c r="Z147" s="1" t="s">
        <v>77</v>
      </c>
      <c r="AA147" s="8" t="str">
        <f>IFERROR(VLOOKUP(A147,Sheet3!B:H,6,false),VLOOKUP(J147,Sheet2!A:C,2,false))</f>
        <v>https://assets.roomstogo.com/product/stearns-and-foster-estate-firm-pillow-top-twin-xl-mattress_50048050_image-item</v>
      </c>
      <c r="AB147" s="8" t="str">
        <f>IFERROR(VLOOKUP(A147,Sheet3!B:H,7,false),VLOOKUP(J147,Sheet2!A:C,3,false))</f>
        <v>https://assets.roomstogo.com/product/stearns-and-foster-estate-firm-pillow-top-twin-xl-mattress_50048050_alt-image-1</v>
      </c>
      <c r="AC147" s="8" t="str">
        <f t="shared" si="2"/>
        <v>https://rtg-275.myshopify.com/products/ESTATE-FIRM-PT</v>
      </c>
      <c r="AD147" s="8" t="str">
        <f>vlookup(L147,'Python sheet'!$E$2:$F$373,2,0)</f>
        <v>https://rtg-275.myshopify.com/products/ESTATE-FIRM-PT?variant=47915111940234</v>
      </c>
    </row>
    <row r="148">
      <c r="A148" s="4">
        <v>5.0352574E7</v>
      </c>
      <c r="B148" s="9">
        <v>1.0</v>
      </c>
      <c r="C148" s="9">
        <v>5.0</v>
      </c>
      <c r="D148" s="2" t="s">
        <v>351</v>
      </c>
      <c r="E148" s="2" t="s">
        <v>44</v>
      </c>
      <c r="F148" s="2" t="s">
        <v>352</v>
      </c>
      <c r="G148" s="9">
        <v>3.0</v>
      </c>
      <c r="H148" s="9">
        <v>5.0</v>
      </c>
      <c r="I148" s="9">
        <v>2.0</v>
      </c>
      <c r="J148" s="1" t="s">
        <v>352</v>
      </c>
      <c r="K148" s="1" t="s">
        <v>352</v>
      </c>
      <c r="L148" s="1" t="str">
        <f t="shared" si="1"/>
        <v>Z-305Full</v>
      </c>
      <c r="M148" s="1" t="s">
        <v>438</v>
      </c>
      <c r="N148" s="6">
        <v>377.0</v>
      </c>
      <c r="O148" s="6">
        <v>399.99</v>
      </c>
      <c r="P148" s="1" t="s">
        <v>354</v>
      </c>
      <c r="Q148" s="1" t="s">
        <v>54</v>
      </c>
      <c r="R148" s="1" t="s">
        <v>355</v>
      </c>
      <c r="S148" s="1" t="s">
        <v>134</v>
      </c>
      <c r="T148" s="1" t="s">
        <v>373</v>
      </c>
      <c r="U148" s="1" t="s">
        <v>59</v>
      </c>
      <c r="V148" s="1" t="s">
        <v>36</v>
      </c>
      <c r="W148" s="1" t="s">
        <v>35</v>
      </c>
      <c r="X148" s="1" t="s">
        <v>36</v>
      </c>
      <c r="Y148" s="1" t="s">
        <v>36</v>
      </c>
      <c r="Z148" s="1" t="s">
        <v>37</v>
      </c>
      <c r="AA148" s="8" t="str">
        <f>IFERROR(VLOOKUP(A148,Sheet3!B:H,6,false),VLOOKUP(J148,Sheet2!A:C,2,false))</f>
        <v>https://assets.roomstogo.com/product/sealy-kids-z-305-twin-mattress_50152570_image-item</v>
      </c>
      <c r="AB148" s="8" t="str">
        <f>IFERROR(VLOOKUP(A148,Sheet3!B:H,7,false),VLOOKUP(J148,Sheet2!A:C,3,false))</f>
        <v>https://assets.roomstogo.com/product/sealy-kids-z-305-twin-mattress_50152570_alt-image-1</v>
      </c>
      <c r="AC148" s="8" t="str">
        <f t="shared" si="2"/>
        <v>https://rtg-275.myshopify.com/products/Z-305</v>
      </c>
      <c r="AD148" s="8" t="str">
        <f>vlookup(L148,'Python sheet'!$E$2:$F$373,2,0)</f>
        <v>https://rtg-275.myshopify.com/products/Z-305?variant=47915113611402</v>
      </c>
    </row>
    <row r="149">
      <c r="A149" s="4">
        <v>5.0352586E7</v>
      </c>
      <c r="B149" s="9">
        <v>2.0</v>
      </c>
      <c r="C149" s="9">
        <v>5.0</v>
      </c>
      <c r="D149" s="2" t="s">
        <v>439</v>
      </c>
      <c r="E149" s="2" t="s">
        <v>44</v>
      </c>
      <c r="F149" s="2" t="s">
        <v>356</v>
      </c>
      <c r="G149" s="9">
        <v>2.0</v>
      </c>
      <c r="H149" s="9">
        <v>5.0</v>
      </c>
      <c r="I149" s="9">
        <v>0.0</v>
      </c>
      <c r="J149" s="1" t="s">
        <v>356</v>
      </c>
      <c r="K149" s="1" t="s">
        <v>356</v>
      </c>
      <c r="L149" s="1" t="str">
        <f t="shared" si="1"/>
        <v>Z-505Full</v>
      </c>
      <c r="M149" s="1" t="s">
        <v>440</v>
      </c>
      <c r="N149" s="6">
        <v>427.0</v>
      </c>
      <c r="O149" s="6">
        <v>449.99</v>
      </c>
      <c r="P149" s="1" t="s">
        <v>354</v>
      </c>
      <c r="Q149" s="1" t="s">
        <v>54</v>
      </c>
      <c r="R149" s="1" t="s">
        <v>358</v>
      </c>
      <c r="S149" s="1" t="s">
        <v>134</v>
      </c>
      <c r="T149" s="1" t="s">
        <v>373</v>
      </c>
      <c r="U149" s="1" t="s">
        <v>59</v>
      </c>
      <c r="V149" s="1" t="s">
        <v>34</v>
      </c>
      <c r="W149" s="1" t="s">
        <v>49</v>
      </c>
      <c r="X149" s="1" t="s">
        <v>34</v>
      </c>
      <c r="Y149" s="1" t="s">
        <v>42</v>
      </c>
      <c r="Z149" s="1" t="s">
        <v>51</v>
      </c>
      <c r="AA149" s="8" t="str">
        <f>IFERROR(VLOOKUP(A149,Sheet3!B:H,6,false),VLOOKUP(J149,Sheet2!A:C,2,false))</f>
        <v>https://assets.roomstogo.com/product/sealy-kids-z-505-twin-mattress_50152582_image-item</v>
      </c>
      <c r="AB149" s="8" t="str">
        <f>IFERROR(VLOOKUP(A149,Sheet3!B:H,7,false),VLOOKUP(J149,Sheet2!A:C,3,false))</f>
        <v>https://assets.roomstogo.com/product/sealy-kids-z-505-twin-mattress_50152582_alt-image-1</v>
      </c>
      <c r="AC149" s="8" t="str">
        <f t="shared" si="2"/>
        <v>https://rtg-275.myshopify.com/products/Z-505</v>
      </c>
      <c r="AD149" s="8" t="str">
        <f>vlookup(L149,'Python sheet'!$E$2:$F$373,2,0)</f>
        <v>https://rtg-275.myshopify.com/products/Z-505?variant=47915113709706</v>
      </c>
    </row>
    <row r="150">
      <c r="A150" s="4">
        <v>5.0370041E7</v>
      </c>
      <c r="B150" s="5"/>
      <c r="C150" s="5"/>
      <c r="D150" s="5"/>
      <c r="E150" s="5"/>
      <c r="F150" s="5"/>
      <c r="G150" s="5"/>
      <c r="H150" s="5"/>
      <c r="I150" s="5"/>
      <c r="J150" s="1" t="s">
        <v>361</v>
      </c>
      <c r="K150" s="1" t="s">
        <v>1012</v>
      </c>
      <c r="L150" s="1" t="str">
        <f t="shared" si="1"/>
        <v>HELIX-KIDSFull</v>
      </c>
      <c r="M150" s="1" t="s">
        <v>441</v>
      </c>
      <c r="N150" s="6">
        <v>799.0</v>
      </c>
      <c r="O150" s="6">
        <v>998.75</v>
      </c>
      <c r="P150" s="1" t="s">
        <v>234</v>
      </c>
      <c r="Q150" s="7"/>
      <c r="R150" s="7"/>
      <c r="S150" s="1" t="s">
        <v>134</v>
      </c>
      <c r="T150" s="1" t="s">
        <v>373</v>
      </c>
      <c r="U150" s="1" t="s">
        <v>59</v>
      </c>
      <c r="V150" s="1" t="s">
        <v>42</v>
      </c>
      <c r="W150" s="1" t="s">
        <v>35</v>
      </c>
      <c r="X150" s="1" t="s">
        <v>50</v>
      </c>
      <c r="Y150" s="1" t="s">
        <v>34</v>
      </c>
      <c r="Z150" s="1" t="s">
        <v>363</v>
      </c>
      <c r="AA150" s="8" t="str">
        <f>IFERROR(VLOOKUP(A150,Sheet3!B:H,6,false),VLOOKUP(J150,Sheet2!A:C,2,false))</f>
        <v>https://assets.roomstogo.com/product/helix-kids-twin-mattress_50170047_image-item</v>
      </c>
      <c r="AB150" s="8" t="str">
        <f>IFERROR(VLOOKUP(A150,Sheet3!B:H,7,false),VLOOKUP(J150,Sheet2!A:C,3,false))</f>
        <v>https://assets.roomstogo.com/product/helix-kids-twin-mattress_50170047_alt-image-6</v>
      </c>
      <c r="AC150" s="8" t="str">
        <f t="shared" si="2"/>
        <v>https://rtg-275.myshopify.com/products/HELIX-KIDS</v>
      </c>
      <c r="AD150" s="8" t="str">
        <f>vlookup(L150,'Python sheet'!$E$2:$F$373,2,0)</f>
        <v>https://rtg-275.myshopify.com/products/HELIX-KIDS?variant=47915114004618</v>
      </c>
    </row>
    <row r="151">
      <c r="A151" s="4">
        <v>5.0370116E7</v>
      </c>
      <c r="B151" s="9">
        <v>1.0</v>
      </c>
      <c r="C151" s="9">
        <v>5.0</v>
      </c>
      <c r="D151" s="2" t="s">
        <v>230</v>
      </c>
      <c r="E151" s="2" t="s">
        <v>44</v>
      </c>
      <c r="F151" s="2" t="s">
        <v>231</v>
      </c>
      <c r="G151" s="9">
        <v>9006.0</v>
      </c>
      <c r="H151" s="9">
        <v>4.32</v>
      </c>
      <c r="I151" s="9">
        <v>9005.0</v>
      </c>
      <c r="J151" s="1" t="s">
        <v>232</v>
      </c>
      <c r="K151" s="1" t="s">
        <v>1006</v>
      </c>
      <c r="L151" s="1" t="str">
        <f t="shared" si="1"/>
        <v>HELIX-MIDNIGHT-LUXEFull</v>
      </c>
      <c r="M151" s="1" t="s">
        <v>442</v>
      </c>
      <c r="N151" s="6">
        <v>1848.0</v>
      </c>
      <c r="O151" s="6">
        <v>2310.0</v>
      </c>
      <c r="P151" s="1" t="s">
        <v>234</v>
      </c>
      <c r="Q151" s="7"/>
      <c r="R151" s="7"/>
      <c r="S151" s="1" t="s">
        <v>31</v>
      </c>
      <c r="T151" s="1" t="s">
        <v>373</v>
      </c>
      <c r="U151" s="1" t="s">
        <v>59</v>
      </c>
      <c r="V151" s="1" t="s">
        <v>42</v>
      </c>
      <c r="W151" s="1" t="s">
        <v>35</v>
      </c>
      <c r="X151" s="1" t="s">
        <v>42</v>
      </c>
      <c r="Y151" s="1" t="s">
        <v>34</v>
      </c>
      <c r="Z151" s="1" t="s">
        <v>37</v>
      </c>
      <c r="AA151" s="8" t="str">
        <f>IFERROR(VLOOKUP(A151,Sheet3!B:H,6,false),VLOOKUP(J151,Sheet2!A:C,2,false))</f>
        <v>https://assets.roomstogo.com/product/helix-midnight-luxe-twin-xl-mattress_50070110_image-item</v>
      </c>
      <c r="AB151" s="8" t="str">
        <f>IFERROR(VLOOKUP(A151,Sheet3!B:H,7,false),VLOOKUP(J151,Sheet2!A:C,3,false))</f>
        <v>https://assets.roomstogo.com/product/helix-midnight-luxe-twin-xl-mattress_50070110_alt-image-1</v>
      </c>
      <c r="AC151" s="8" t="str">
        <f t="shared" si="2"/>
        <v>https://rtg-275.myshopify.com/products/HELIX-MIDNIGHT-LUXE</v>
      </c>
      <c r="AD151" s="8" t="str">
        <f>vlookup(L151,'Python sheet'!$E$2:$F$373,2,0)</f>
        <v>https://rtg-275.myshopify.com/products/HELIX-MIDNIGHT-LUXE?variant=47915112235146</v>
      </c>
    </row>
    <row r="152">
      <c r="A152" s="4">
        <v>5.0370128E7</v>
      </c>
      <c r="B152" s="9">
        <v>490.0</v>
      </c>
      <c r="C152" s="9">
        <v>4.23</v>
      </c>
      <c r="D152" s="2" t="s">
        <v>235</v>
      </c>
      <c r="E152" s="2" t="s">
        <v>44</v>
      </c>
      <c r="F152" s="2" t="s">
        <v>236</v>
      </c>
      <c r="G152" s="9">
        <v>501.0</v>
      </c>
      <c r="H152" s="9">
        <v>4.22</v>
      </c>
      <c r="I152" s="9">
        <v>11.0</v>
      </c>
      <c r="J152" s="1" t="s">
        <v>237</v>
      </c>
      <c r="K152" s="1" t="s">
        <v>1007</v>
      </c>
      <c r="L152" s="1" t="str">
        <f t="shared" si="1"/>
        <v>HELIX-MIDNIGHT-ELITEFull</v>
      </c>
      <c r="M152" s="1" t="s">
        <v>443</v>
      </c>
      <c r="N152" s="6">
        <v>2649.0</v>
      </c>
      <c r="O152" s="6">
        <v>3311.25</v>
      </c>
      <c r="P152" s="1" t="s">
        <v>234</v>
      </c>
      <c r="Q152" s="7"/>
      <c r="R152" s="7"/>
      <c r="S152" s="1" t="s">
        <v>31</v>
      </c>
      <c r="T152" s="1" t="s">
        <v>373</v>
      </c>
      <c r="U152" s="1" t="s">
        <v>59</v>
      </c>
      <c r="V152" s="1" t="s">
        <v>50</v>
      </c>
      <c r="W152" s="1" t="s">
        <v>35</v>
      </c>
      <c r="X152" s="1" t="s">
        <v>42</v>
      </c>
      <c r="Y152" s="1" t="s">
        <v>42</v>
      </c>
      <c r="Z152" s="1" t="s">
        <v>37</v>
      </c>
      <c r="AA152" s="8" t="str">
        <f>IFERROR(VLOOKUP(A152,Sheet3!B:H,6,false),VLOOKUP(J152,Sheet2!A:C,2,false))</f>
        <v>https://assets.roomstogo.com/product/helix-midnight-elite-twin-xl-mattress_50070122_image-item</v>
      </c>
      <c r="AB152" s="8" t="str">
        <f>IFERROR(VLOOKUP(A152,Sheet3!B:H,7,false),VLOOKUP(J152,Sheet2!A:C,3,false))</f>
        <v>https://assets.roomstogo.com/product/helix-midnight-elite-twin-xl-mattress_50070122_alt-image-1</v>
      </c>
      <c r="AC152" s="8" t="str">
        <f t="shared" si="2"/>
        <v>https://rtg-275.myshopify.com/products/HELIX-MIDNIGHT-ELITE</v>
      </c>
      <c r="AD152" s="8" t="str">
        <f>vlookup(L152,'Python sheet'!$E$2:$F$373,2,0)</f>
        <v>https://rtg-275.myshopify.com/products/HELIX-MIDNIGHT-ELITE?variant=47915112464522</v>
      </c>
    </row>
    <row r="153">
      <c r="A153" s="4">
        <v>5.0400488E7</v>
      </c>
      <c r="B153" s="9">
        <v>14.0</v>
      </c>
      <c r="C153" s="9">
        <v>4.79</v>
      </c>
      <c r="D153" s="2" t="s">
        <v>444</v>
      </c>
      <c r="E153" s="2" t="s">
        <v>445</v>
      </c>
      <c r="F153" s="2" t="s">
        <v>446</v>
      </c>
      <c r="G153" s="9">
        <v>14.0</v>
      </c>
      <c r="H153" s="9">
        <v>4.79</v>
      </c>
      <c r="I153" s="9">
        <v>0.0</v>
      </c>
      <c r="J153" s="1" t="s">
        <v>447</v>
      </c>
      <c r="K153" s="1" t="s">
        <v>1014</v>
      </c>
      <c r="L153" s="1" t="str">
        <f t="shared" si="1"/>
        <v>BASELOGIC-SILVERFull</v>
      </c>
      <c r="M153" s="1" t="s">
        <v>448</v>
      </c>
      <c r="N153" s="6">
        <v>699.0</v>
      </c>
      <c r="O153" s="6">
        <v>799.0</v>
      </c>
      <c r="P153" s="1" t="s">
        <v>449</v>
      </c>
      <c r="Q153" s="7"/>
      <c r="R153" s="1" t="s">
        <v>450</v>
      </c>
      <c r="S153" s="1" t="s">
        <v>31</v>
      </c>
      <c r="T153" s="1" t="s">
        <v>373</v>
      </c>
      <c r="U153" s="7"/>
      <c r="V153" s="7"/>
      <c r="W153" s="7"/>
      <c r="X153" s="7"/>
      <c r="Y153" s="7"/>
      <c r="Z153" s="7"/>
      <c r="AA153" s="11" t="str">
        <f>IFERROR(VLOOKUP(A153,Sheet3!B:H,6,false),VLOOKUP(J153,Sheet2!A:C,2,false))</f>
        <v>#N/A</v>
      </c>
      <c r="AB153" s="11" t="str">
        <f>IFERROR(VLOOKUP(A153,Sheet3!B:H,7,false),VLOOKUP(J153,Sheet2!A:C,3,false))</f>
        <v>#N/A</v>
      </c>
      <c r="AC153" s="8" t="str">
        <f t="shared" si="2"/>
        <v>https://rtg-275.myshopify.com/products/BASELOGIC-SILVER</v>
      </c>
      <c r="AD153" s="8" t="str">
        <f>vlookup(L153,'Python sheet'!$E$2:$F$373,2,0)</f>
        <v>https://rtg-275.myshopify.com/products/BASELOGIC-SILVER?variant=47915114332298</v>
      </c>
    </row>
    <row r="154">
      <c r="A154" s="4">
        <v>5.0400515E7</v>
      </c>
      <c r="B154" s="9">
        <v>1.0</v>
      </c>
      <c r="C154" s="9">
        <v>5.0</v>
      </c>
      <c r="D154" s="2" t="s">
        <v>451</v>
      </c>
      <c r="E154" s="2" t="s">
        <v>445</v>
      </c>
      <c r="F154" s="2" t="s">
        <v>452</v>
      </c>
      <c r="G154" s="9">
        <v>1.0</v>
      </c>
      <c r="H154" s="9">
        <v>5.0</v>
      </c>
      <c r="I154" s="9">
        <v>0.0</v>
      </c>
      <c r="J154" s="1" t="s">
        <v>453</v>
      </c>
      <c r="K154" s="1" t="s">
        <v>1015</v>
      </c>
      <c r="L154" s="1" t="str">
        <f t="shared" si="1"/>
        <v>BASELOGIC-PLATINUMFull</v>
      </c>
      <c r="M154" s="1" t="s">
        <v>454</v>
      </c>
      <c r="N154" s="6">
        <v>1499.0</v>
      </c>
      <c r="O154" s="6">
        <v>1699.0</v>
      </c>
      <c r="P154" s="1" t="s">
        <v>449</v>
      </c>
      <c r="Q154" s="7"/>
      <c r="R154" s="1" t="s">
        <v>455</v>
      </c>
      <c r="S154" s="1" t="s">
        <v>31</v>
      </c>
      <c r="T154" s="1" t="s">
        <v>373</v>
      </c>
      <c r="U154" s="7"/>
      <c r="V154" s="7"/>
      <c r="W154" s="7"/>
      <c r="X154" s="7"/>
      <c r="Y154" s="7"/>
      <c r="Z154" s="7"/>
      <c r="AA154" s="11" t="str">
        <f>IFERROR(VLOOKUP(A154,Sheet3!B:H,6,false),VLOOKUP(J154,Sheet2!A:C,2,false))</f>
        <v>#N/A</v>
      </c>
      <c r="AB154" s="11" t="str">
        <f>IFERROR(VLOOKUP(A154,Sheet3!B:H,7,false),VLOOKUP(J154,Sheet2!A:C,3,false))</f>
        <v>#N/A</v>
      </c>
      <c r="AC154" s="8" t="str">
        <f t="shared" si="2"/>
        <v>https://rtg-275.myshopify.com/products/BASELOGIC-PLATINUM</v>
      </c>
      <c r="AD154" s="8" t="str">
        <f>vlookup(L154,'Python sheet'!$E$2:$F$373,2,0)</f>
        <v>https://rtg-275.myshopify.com/products/BASELOGIC-PLATINUM?variant=47915114528906</v>
      </c>
    </row>
    <row r="155">
      <c r="A155" s="4">
        <v>5.0408167E7</v>
      </c>
      <c r="B155" s="9">
        <v>711.0</v>
      </c>
      <c r="C155" s="9">
        <v>4.59</v>
      </c>
      <c r="D155" s="2" t="s">
        <v>456</v>
      </c>
      <c r="E155" s="2" t="s">
        <v>445</v>
      </c>
      <c r="F155" s="2" t="s">
        <v>457</v>
      </c>
      <c r="G155" s="9">
        <v>1.0</v>
      </c>
      <c r="H155" s="9">
        <v>5.0</v>
      </c>
      <c r="I155" s="9">
        <v>-710.0</v>
      </c>
      <c r="J155" s="1" t="s">
        <v>458</v>
      </c>
      <c r="K155" s="1" t="s">
        <v>1016</v>
      </c>
      <c r="L155" s="1" t="str">
        <f t="shared" si="1"/>
        <v>TEMPUR-ERGO-3-0Full</v>
      </c>
      <c r="M155" s="1" t="s">
        <v>459</v>
      </c>
      <c r="N155" s="6">
        <v>1699.0</v>
      </c>
      <c r="O155" s="6">
        <v>1699.0</v>
      </c>
      <c r="P155" s="1" t="s">
        <v>64</v>
      </c>
      <c r="Q155" s="7"/>
      <c r="R155" s="1" t="s">
        <v>460</v>
      </c>
      <c r="S155" s="1" t="s">
        <v>31</v>
      </c>
      <c r="T155" s="1" t="s">
        <v>373</v>
      </c>
      <c r="U155" s="7"/>
      <c r="V155" s="7"/>
      <c r="W155" s="7"/>
      <c r="X155" s="7"/>
      <c r="Y155" s="7"/>
      <c r="Z155" s="7"/>
      <c r="AA155" s="11" t="str">
        <f>IFERROR(VLOOKUP(A155,Sheet3!B:H,6,false),VLOOKUP(J155,Sheet2!A:C,2,false))</f>
        <v>#N/A</v>
      </c>
      <c r="AB155" s="11" t="str">
        <f>IFERROR(VLOOKUP(A155,Sheet3!B:H,7,false),VLOOKUP(J155,Sheet2!A:C,3,false))</f>
        <v>#N/A</v>
      </c>
      <c r="AC155" s="8" t="str">
        <f t="shared" si="2"/>
        <v>https://rtg-275.myshopify.com/products/TEMPUR-ERGO-3-0</v>
      </c>
      <c r="AD155" s="8" t="str">
        <f>vlookup(L155,'Python sheet'!$E$2:$F$373,2,0)</f>
        <v>https://rtg-275.myshopify.com/products/TEMPUR-ERGO-3-0?variant=47915114758282</v>
      </c>
    </row>
    <row r="156">
      <c r="A156" s="4">
        <v>5.0408181E7</v>
      </c>
      <c r="B156" s="9">
        <v>405.0</v>
      </c>
      <c r="C156" s="9">
        <v>4.6</v>
      </c>
      <c r="D156" s="2" t="s">
        <v>461</v>
      </c>
      <c r="E156" s="2" t="s">
        <v>445</v>
      </c>
      <c r="F156" s="2" t="s">
        <v>462</v>
      </c>
      <c r="G156" s="9">
        <v>405.0</v>
      </c>
      <c r="H156" s="9">
        <v>4.6</v>
      </c>
      <c r="I156" s="9">
        <v>0.0</v>
      </c>
      <c r="J156" s="1" t="s">
        <v>463</v>
      </c>
      <c r="K156" s="1" t="s">
        <v>1017</v>
      </c>
      <c r="L156" s="1" t="str">
        <f t="shared" si="1"/>
        <v>TEMPUR-ERGO-3-0-SMARTFull</v>
      </c>
      <c r="M156" s="1" t="s">
        <v>464</v>
      </c>
      <c r="N156" s="6">
        <v>2199.0</v>
      </c>
      <c r="O156" s="6">
        <v>2199.0</v>
      </c>
      <c r="P156" s="1" t="s">
        <v>64</v>
      </c>
      <c r="Q156" s="7"/>
      <c r="R156" s="1" t="s">
        <v>465</v>
      </c>
      <c r="S156" s="1" t="s">
        <v>31</v>
      </c>
      <c r="T156" s="1" t="s">
        <v>373</v>
      </c>
      <c r="U156" s="7"/>
      <c r="V156" s="7"/>
      <c r="W156" s="7"/>
      <c r="X156" s="7"/>
      <c r="Y156" s="7"/>
      <c r="Z156" s="7"/>
      <c r="AA156" s="11" t="str">
        <f>IFERROR(VLOOKUP(A156,Sheet3!B:H,6,false),VLOOKUP(J156,Sheet2!A:C,2,false))</f>
        <v>#N/A</v>
      </c>
      <c r="AB156" s="11" t="str">
        <f>IFERROR(VLOOKUP(A156,Sheet3!B:H,7,false),VLOOKUP(J156,Sheet2!A:C,3,false))</f>
        <v>#N/A</v>
      </c>
      <c r="AC156" s="8" t="str">
        <f t="shared" si="2"/>
        <v>https://rtg-275.myshopify.com/products/TEMPUR-ERGO-3-0-SMART</v>
      </c>
      <c r="AD156" s="8" t="str">
        <f>vlookup(L156,'Python sheet'!$E$2:$F$373,2,0)</f>
        <v>https://rtg-275.myshopify.com/products/TEMPUR-ERGO-3-0-SMART?variant=47915114987658</v>
      </c>
    </row>
    <row r="157">
      <c r="A157" s="4">
        <v>5.0418601E7</v>
      </c>
      <c r="B157" s="9">
        <v>11.0</v>
      </c>
      <c r="C157" s="9">
        <v>4.45</v>
      </c>
      <c r="D157" s="2" t="s">
        <v>466</v>
      </c>
      <c r="E157" s="2" t="s">
        <v>445</v>
      </c>
      <c r="F157" s="2" t="s">
        <v>368</v>
      </c>
      <c r="G157" s="9">
        <v>11.0</v>
      </c>
      <c r="H157" s="9">
        <v>4.45</v>
      </c>
      <c r="I157" s="9">
        <v>0.0</v>
      </c>
      <c r="J157" s="1" t="s">
        <v>369</v>
      </c>
      <c r="K157" s="1" t="s">
        <v>1013</v>
      </c>
      <c r="L157" s="1" t="str">
        <f t="shared" si="1"/>
        <v>EASE-4-0Full</v>
      </c>
      <c r="M157" s="1" t="s">
        <v>467</v>
      </c>
      <c r="N157" s="6">
        <v>999.0</v>
      </c>
      <c r="O157" s="6">
        <v>999.0</v>
      </c>
      <c r="P157" s="1" t="s">
        <v>468</v>
      </c>
      <c r="Q157" s="7"/>
      <c r="R157" s="1" t="s">
        <v>371</v>
      </c>
      <c r="S157" s="1" t="s">
        <v>31</v>
      </c>
      <c r="T157" s="1" t="s">
        <v>373</v>
      </c>
      <c r="U157" s="7"/>
      <c r="V157" s="7"/>
      <c r="W157" s="7"/>
      <c r="X157" s="7"/>
      <c r="Y157" s="7"/>
      <c r="Z157" s="7"/>
      <c r="AA157" s="11" t="str">
        <f>IFERROR(VLOOKUP(A157,Sheet3!B:H,6,false),VLOOKUP(J157,Sheet2!A:C,2,false))</f>
        <v>#N/A</v>
      </c>
      <c r="AB157" s="11" t="str">
        <f>IFERROR(VLOOKUP(A157,Sheet3!B:H,7,false),VLOOKUP(J157,Sheet2!A:C,3,false))</f>
        <v>#N/A</v>
      </c>
      <c r="AC157" s="8" t="str">
        <f t="shared" si="2"/>
        <v>https://rtg-275.myshopify.com/products/EASE-4-0</v>
      </c>
      <c r="AD157" s="8" t="str">
        <f>vlookup(L157,'Python sheet'!$E$2:$F$373,2,0)</f>
        <v>https://rtg-275.myshopify.com/products/EASE-4-0?variant=47915114102922</v>
      </c>
    </row>
    <row r="158">
      <c r="A158" s="4">
        <v>5.0500543E7</v>
      </c>
      <c r="B158" s="9">
        <v>2.0</v>
      </c>
      <c r="C158" s="9">
        <v>5.0</v>
      </c>
      <c r="D158" s="2" t="s">
        <v>239</v>
      </c>
      <c r="E158" s="2" t="s">
        <v>44</v>
      </c>
      <c r="F158" s="2" t="s">
        <v>240</v>
      </c>
      <c r="G158" s="9">
        <v>81.0</v>
      </c>
      <c r="H158" s="9">
        <v>4.23</v>
      </c>
      <c r="I158" s="9">
        <v>79.0</v>
      </c>
      <c r="J158" s="1" t="s">
        <v>28</v>
      </c>
      <c r="K158" s="1" t="s">
        <v>968</v>
      </c>
      <c r="L158" s="1" t="str">
        <f t="shared" si="1"/>
        <v>CASPER-CLOUD-ONEQueen</v>
      </c>
      <c r="M158" s="1" t="s">
        <v>469</v>
      </c>
      <c r="N158" s="6">
        <v>999.0</v>
      </c>
      <c r="O158" s="6">
        <v>1249.0</v>
      </c>
      <c r="P158" s="1" t="s">
        <v>30</v>
      </c>
      <c r="Q158" s="7"/>
      <c r="R158" s="7"/>
      <c r="S158" s="1" t="s">
        <v>31</v>
      </c>
      <c r="T158" s="1" t="s">
        <v>470</v>
      </c>
      <c r="U158" s="1" t="s">
        <v>33</v>
      </c>
      <c r="V158" s="1" t="s">
        <v>34</v>
      </c>
      <c r="W158" s="1" t="s">
        <v>35</v>
      </c>
      <c r="X158" s="1" t="s">
        <v>34</v>
      </c>
      <c r="Y158" s="1" t="s">
        <v>36</v>
      </c>
      <c r="Z158" s="1" t="s">
        <v>37</v>
      </c>
      <c r="AA158" s="8" t="str">
        <f>IFERROR(VLOOKUP(A158,Sheet3!B:H,6,false),VLOOKUP(J158,Sheet2!A:C,2,false))</f>
        <v>https://assets.roomstogo.com/product/casper-cloud-one-twin-xl-mattress_50000543_image-item</v>
      </c>
      <c r="AB158" s="8" t="str">
        <f>IFERROR(VLOOKUP(A158,Sheet3!B:H,7,false),VLOOKUP(J158,Sheet2!A:C,3,false))</f>
        <v>https://assets.roomstogo.com/product/casper-cloud-one-twin-xl-mattress_50000543_alt-image-1</v>
      </c>
      <c r="AC158" s="8" t="str">
        <f t="shared" si="2"/>
        <v>https://rtg-275.myshopify.com/products/CASPER-CLOUD-ONE</v>
      </c>
      <c r="AD158" s="8" t="str">
        <f>vlookup(L158,'Python sheet'!$E$2:$F$373,2,0)</f>
        <v>https://rtg-275.myshopify.com/products/CASPER-CLOUD-ONE?variant=47915101618314</v>
      </c>
    </row>
    <row r="159">
      <c r="A159" s="4">
        <v>5.0500579E7</v>
      </c>
      <c r="B159" s="9">
        <v>789.0</v>
      </c>
      <c r="C159" s="9">
        <v>4.47</v>
      </c>
      <c r="D159" s="2" t="s">
        <v>471</v>
      </c>
      <c r="E159" s="2" t="s">
        <v>44</v>
      </c>
      <c r="F159" s="2" t="s">
        <v>472</v>
      </c>
      <c r="G159" s="9">
        <v>807.0</v>
      </c>
      <c r="H159" s="9">
        <v>4.46</v>
      </c>
      <c r="I159" s="9">
        <v>18.0</v>
      </c>
      <c r="J159" s="1" t="s">
        <v>38</v>
      </c>
      <c r="K159" s="1" t="s">
        <v>969</v>
      </c>
      <c r="L159" s="1" t="str">
        <f t="shared" si="1"/>
        <v>CASPER-SNOW-2-0Queen</v>
      </c>
      <c r="M159" s="1" t="s">
        <v>473</v>
      </c>
      <c r="N159" s="6">
        <v>2075.0</v>
      </c>
      <c r="O159" s="6">
        <v>2595.0</v>
      </c>
      <c r="P159" s="1" t="s">
        <v>30</v>
      </c>
      <c r="Q159" s="7"/>
      <c r="R159" s="1" t="s">
        <v>40</v>
      </c>
      <c r="S159" s="1" t="s">
        <v>31</v>
      </c>
      <c r="T159" s="1" t="s">
        <v>470</v>
      </c>
      <c r="U159" s="1" t="s">
        <v>41</v>
      </c>
      <c r="V159" s="1" t="s">
        <v>34</v>
      </c>
      <c r="W159" s="1" t="s">
        <v>35</v>
      </c>
      <c r="X159" s="1" t="s">
        <v>34</v>
      </c>
      <c r="Y159" s="1" t="s">
        <v>42</v>
      </c>
      <c r="Z159" s="1" t="s">
        <v>37</v>
      </c>
      <c r="AA159" s="8" t="str">
        <f>IFERROR(VLOOKUP(A159,Sheet3!B:H,6,false),VLOOKUP(J159,Sheet2!A:C,2,false))</f>
        <v>https://assets.roomstogo.com/product/casper-snow-20-twin-xl-mattress_50000579_image-item</v>
      </c>
      <c r="AB159" s="8" t="str">
        <f>IFERROR(VLOOKUP(A159,Sheet3!B:H,7,false),VLOOKUP(J159,Sheet2!A:C,3,false))</f>
        <v>https://assets.roomstogo.com/product/casper-snow-20-twin-xl-mattress_50000579_alt-image-1</v>
      </c>
      <c r="AC159" s="8" t="str">
        <f t="shared" si="2"/>
        <v>https://rtg-275.myshopify.com/products/CASPER-SNOW-2-0</v>
      </c>
      <c r="AD159" s="8" t="str">
        <f>vlookup(L159,'Python sheet'!$E$2:$F$373,2,0)</f>
        <v>https://rtg-275.myshopify.com/products/CASPER-SNOW-2-0?variant=47915101814922</v>
      </c>
    </row>
    <row r="160">
      <c r="A160" s="4">
        <v>5.0500581E7</v>
      </c>
      <c r="B160" s="9">
        <v>375.0</v>
      </c>
      <c r="C160" s="9">
        <v>4.41</v>
      </c>
      <c r="D160" s="2" t="s">
        <v>43</v>
      </c>
      <c r="E160" s="2" t="s">
        <v>44</v>
      </c>
      <c r="F160" s="2" t="s">
        <v>45</v>
      </c>
      <c r="G160" s="9">
        <v>380.0</v>
      </c>
      <c r="H160" s="9">
        <v>4.42</v>
      </c>
      <c r="I160" s="9">
        <v>5.0</v>
      </c>
      <c r="J160" s="1" t="s">
        <v>46</v>
      </c>
      <c r="K160" s="1" t="s">
        <v>970</v>
      </c>
      <c r="L160" s="1" t="str">
        <f t="shared" si="1"/>
        <v>CASPER-SNOW-MAXQueen</v>
      </c>
      <c r="M160" s="1" t="s">
        <v>474</v>
      </c>
      <c r="N160" s="6">
        <v>3195.0</v>
      </c>
      <c r="O160" s="6">
        <v>3995.0</v>
      </c>
      <c r="P160" s="1" t="s">
        <v>30</v>
      </c>
      <c r="Q160" s="7"/>
      <c r="R160" s="1" t="s">
        <v>48</v>
      </c>
      <c r="S160" s="1" t="s">
        <v>31</v>
      </c>
      <c r="T160" s="1" t="s">
        <v>470</v>
      </c>
      <c r="U160" s="1" t="s">
        <v>41</v>
      </c>
      <c r="V160" s="1" t="s">
        <v>42</v>
      </c>
      <c r="W160" s="1" t="s">
        <v>49</v>
      </c>
      <c r="X160" s="1" t="s">
        <v>34</v>
      </c>
      <c r="Y160" s="1" t="s">
        <v>50</v>
      </c>
      <c r="Z160" s="1" t="s">
        <v>51</v>
      </c>
      <c r="AA160" s="8" t="str">
        <f>IFERROR(VLOOKUP(A160,Sheet3!B:H,6,false),VLOOKUP(J160,Sheet2!A:C,2,false))</f>
        <v>https://assets.roomstogo.com/product/casper-snow-max-twin-xl-mattress_50000581_image-item</v>
      </c>
      <c r="AB160" s="8" t="str">
        <f>IFERROR(VLOOKUP(A160,Sheet3!B:H,7,false),VLOOKUP(J160,Sheet2!A:C,3,false))</f>
        <v>https://assets.roomstogo.com/product/casper-snow-max-twin-xl-mattress_50000581_alt-image-1</v>
      </c>
      <c r="AC160" s="8" t="str">
        <f t="shared" si="2"/>
        <v>https://rtg-275.myshopify.com/products/CASPER-SNOW-MAX</v>
      </c>
      <c r="AD160" s="8" t="str">
        <f>vlookup(L160,'Python sheet'!$E$2:$F$373,2,0)</f>
        <v>https://rtg-275.myshopify.com/products/CASPER-SNOW-MAX?variant=47915102044298</v>
      </c>
    </row>
    <row r="161">
      <c r="A161" s="4">
        <v>5.0500682E7</v>
      </c>
      <c r="B161" s="9">
        <v>2.0</v>
      </c>
      <c r="C161" s="9">
        <v>5.0</v>
      </c>
      <c r="D161" s="2" t="s">
        <v>377</v>
      </c>
      <c r="E161" s="2" t="s">
        <v>44</v>
      </c>
      <c r="F161" s="2" t="s">
        <v>378</v>
      </c>
      <c r="G161" s="9">
        <v>6.0</v>
      </c>
      <c r="H161" s="9">
        <v>3.67</v>
      </c>
      <c r="I161" s="9">
        <v>4.0</v>
      </c>
      <c r="J161" s="1" t="s">
        <v>52</v>
      </c>
      <c r="K161" s="1" t="s">
        <v>971</v>
      </c>
      <c r="L161" s="1" t="str">
        <f t="shared" si="1"/>
        <v>CASPER-ONYX-2-0Queen</v>
      </c>
      <c r="M161" s="1" t="s">
        <v>475</v>
      </c>
      <c r="N161" s="6">
        <v>799.0</v>
      </c>
      <c r="O161" s="6">
        <v>899.0</v>
      </c>
      <c r="P161" s="1" t="s">
        <v>30</v>
      </c>
      <c r="Q161" s="1" t="s">
        <v>54</v>
      </c>
      <c r="R161" s="1" t="s">
        <v>244</v>
      </c>
      <c r="S161" s="1" t="s">
        <v>31</v>
      </c>
      <c r="T161" s="1" t="s">
        <v>470</v>
      </c>
      <c r="U161" s="1" t="s">
        <v>33</v>
      </c>
      <c r="V161" s="1" t="s">
        <v>36</v>
      </c>
      <c r="W161" s="1" t="s">
        <v>35</v>
      </c>
      <c r="X161" s="1" t="s">
        <v>36</v>
      </c>
      <c r="Y161" s="1" t="s">
        <v>36</v>
      </c>
      <c r="Z161" s="1" t="s">
        <v>37</v>
      </c>
      <c r="AA161" s="8" t="str">
        <f>IFERROR(VLOOKUP(A161,Sheet3!B:H,6,false),VLOOKUP(J161,Sheet2!A:C,2,false))</f>
        <v>https://assets.roomstogo.com/product/casper-onyx-20-twin-xl-mattress_50000682_image-item</v>
      </c>
      <c r="AB161" s="8" t="str">
        <f>IFERROR(VLOOKUP(A161,Sheet3!B:H,7,false),VLOOKUP(J161,Sheet2!A:C,3,false))</f>
        <v>https://assets.roomstogo.com/product/casper-onyx-20-twin-xl-mattress_50000682_alt-image-1</v>
      </c>
      <c r="AC161" s="8" t="str">
        <f t="shared" si="2"/>
        <v>https://rtg-275.myshopify.com/products/CASPER-ONYX-2-0</v>
      </c>
      <c r="AD161" s="8" t="str">
        <f>vlookup(L161,'Python sheet'!$E$2:$F$373,2,0)</f>
        <v>https://rtg-275.myshopify.com/products/CASPER-ONYX-2-0?variant=47915102273674</v>
      </c>
    </row>
    <row r="162">
      <c r="A162" s="4">
        <v>5.0501773E7</v>
      </c>
      <c r="B162" s="5"/>
      <c r="C162" s="5"/>
      <c r="D162" s="5"/>
      <c r="E162" s="5"/>
      <c r="F162" s="5"/>
      <c r="G162" s="5"/>
      <c r="H162" s="5"/>
      <c r="I162" s="5"/>
      <c r="J162" s="1" t="s">
        <v>56</v>
      </c>
      <c r="K162" s="1" t="s">
        <v>972</v>
      </c>
      <c r="L162" s="1" t="str">
        <f t="shared" si="1"/>
        <v>SMART-MATCH-2-0Queen</v>
      </c>
      <c r="M162" s="1" t="s">
        <v>476</v>
      </c>
      <c r="N162" s="6">
        <v>1277.0</v>
      </c>
      <c r="O162" s="6">
        <v>3699.0</v>
      </c>
      <c r="P162" s="1" t="s">
        <v>58</v>
      </c>
      <c r="Q162" s="7"/>
      <c r="R162" s="7"/>
      <c r="S162" s="7"/>
      <c r="T162" s="1" t="s">
        <v>470</v>
      </c>
      <c r="U162" s="1" t="s">
        <v>59</v>
      </c>
      <c r="V162" s="1" t="s">
        <v>42</v>
      </c>
      <c r="W162" s="1" t="s">
        <v>35</v>
      </c>
      <c r="X162" s="1" t="s">
        <v>42</v>
      </c>
      <c r="Y162" s="1" t="s">
        <v>34</v>
      </c>
      <c r="Z162" s="1" t="s">
        <v>37</v>
      </c>
      <c r="AA162" s="8" t="str">
        <f>IFERROR(VLOOKUP(A162,Sheet3!B:H,6,false),VLOOKUP(J162,Sheet2!A:C,2,false))</f>
        <v>https://assets.roomstogo.com/product/kingsdown-smart-match-20-twin-xl-mattress_50001773_image-item</v>
      </c>
      <c r="AB162" s="8" t="str">
        <f>IFERROR(VLOOKUP(A162,Sheet3!B:H,7,false),VLOOKUP(J162,Sheet2!A:C,3,false))</f>
        <v>https://assets.roomstogo.com/product/kingsdown-smart-match-20-twin-xl-mattress_50001773_alt-image-1</v>
      </c>
      <c r="AC162" s="8" t="str">
        <f t="shared" si="2"/>
        <v>https://rtg-275.myshopify.com/products/SMART-MATCH-2-0</v>
      </c>
      <c r="AD162" s="8" t="str">
        <f>vlookup(L162,'Python sheet'!$E$2:$F$373,2,0)</f>
        <v>https://rtg-275.myshopify.com/products/SMART-MATCH-2-0?variant=47915102568586</v>
      </c>
    </row>
    <row r="163">
      <c r="A163" s="4">
        <v>5.050746E7</v>
      </c>
      <c r="B163" s="9">
        <v>2.0</v>
      </c>
      <c r="C163" s="9">
        <v>1.0</v>
      </c>
      <c r="D163" s="2" t="s">
        <v>60</v>
      </c>
      <c r="E163" s="2" t="s">
        <v>44</v>
      </c>
      <c r="F163" s="2" t="s">
        <v>61</v>
      </c>
      <c r="G163" s="9">
        <v>346.0</v>
      </c>
      <c r="H163" s="9">
        <v>4.43</v>
      </c>
      <c r="I163" s="9">
        <v>344.0</v>
      </c>
      <c r="J163" s="1" t="s">
        <v>62</v>
      </c>
      <c r="K163" s="1" t="s">
        <v>973</v>
      </c>
      <c r="L163" s="1" t="str">
        <f t="shared" si="1"/>
        <v>ADAPT-2-0-MEDIUMQueen</v>
      </c>
      <c r="M163" s="1" t="s">
        <v>477</v>
      </c>
      <c r="N163" s="6">
        <v>2199.0</v>
      </c>
      <c r="O163" s="6">
        <v>2199.0</v>
      </c>
      <c r="P163" s="1" t="s">
        <v>64</v>
      </c>
      <c r="Q163" s="7"/>
      <c r="R163" s="1" t="s">
        <v>65</v>
      </c>
      <c r="S163" s="1" t="s">
        <v>31</v>
      </c>
      <c r="T163" s="1" t="s">
        <v>470</v>
      </c>
      <c r="U163" s="1" t="s">
        <v>33</v>
      </c>
      <c r="V163" s="1" t="s">
        <v>42</v>
      </c>
      <c r="W163" s="1" t="s">
        <v>35</v>
      </c>
      <c r="X163" s="1" t="s">
        <v>42</v>
      </c>
      <c r="Y163" s="1" t="s">
        <v>42</v>
      </c>
      <c r="Z163" s="1" t="s">
        <v>37</v>
      </c>
      <c r="AA163" s="8" t="str">
        <f>IFERROR(VLOOKUP(A163,Sheet3!B:H,6,false),VLOOKUP(J163,Sheet2!A:C,2,false))</f>
        <v>https://assets.roomstogo.com/product/tempur-pedic-adapt-20-medium-twin-xl-mattress_50007460_image-item</v>
      </c>
      <c r="AB163" s="8" t="str">
        <f>IFERROR(VLOOKUP(A163,Sheet3!B:H,7,false),VLOOKUP(J163,Sheet2!A:C,3,false))</f>
        <v>https://assets.roomstogo.com/product/tempur-pedic-adapt-20-medium-twin-xl-mattress_50007460_alt-image-1</v>
      </c>
      <c r="AC163" s="8" t="str">
        <f t="shared" si="2"/>
        <v>https://rtg-275.myshopify.com/products/ADAPT-2-0-MEDIUM</v>
      </c>
      <c r="AD163" s="8" t="str">
        <f>vlookup(L163,'Python sheet'!$E$2:$F$373,2,0)</f>
        <v>https://rtg-275.myshopify.com/products/ADAPT-2-0-MEDIUM?variant=47915102863498</v>
      </c>
    </row>
    <row r="164">
      <c r="A164" s="4">
        <v>5.0507472E7</v>
      </c>
      <c r="B164" s="9">
        <v>7.0</v>
      </c>
      <c r="C164" s="9">
        <v>4.0</v>
      </c>
      <c r="D164" s="2" t="s">
        <v>66</v>
      </c>
      <c r="E164" s="2" t="s">
        <v>44</v>
      </c>
      <c r="F164" s="2" t="s">
        <v>67</v>
      </c>
      <c r="G164" s="9">
        <v>2587.0</v>
      </c>
      <c r="H164" s="9">
        <v>4.2</v>
      </c>
      <c r="I164" s="9">
        <v>2580.0</v>
      </c>
      <c r="J164" s="1" t="s">
        <v>68</v>
      </c>
      <c r="K164" s="1" t="s">
        <v>974</v>
      </c>
      <c r="L164" s="1" t="str">
        <f t="shared" si="1"/>
        <v>ADAPT-2-0-MEDIUM-HYBRIDQueen</v>
      </c>
      <c r="M164" s="1" t="s">
        <v>478</v>
      </c>
      <c r="N164" s="6">
        <v>2499.0</v>
      </c>
      <c r="O164" s="6">
        <v>2499.0</v>
      </c>
      <c r="P164" s="1" t="s">
        <v>64</v>
      </c>
      <c r="Q164" s="7"/>
      <c r="R164" s="1" t="s">
        <v>70</v>
      </c>
      <c r="S164" s="1" t="s">
        <v>31</v>
      </c>
      <c r="T164" s="1" t="s">
        <v>470</v>
      </c>
      <c r="U164" s="1" t="s">
        <v>41</v>
      </c>
      <c r="V164" s="1" t="s">
        <v>42</v>
      </c>
      <c r="W164" s="1" t="s">
        <v>35</v>
      </c>
      <c r="X164" s="1" t="s">
        <v>42</v>
      </c>
      <c r="Y164" s="1" t="s">
        <v>42</v>
      </c>
      <c r="Z164" s="1" t="s">
        <v>37</v>
      </c>
      <c r="AA164" s="8" t="str">
        <f>IFERROR(VLOOKUP(A164,Sheet3!B:H,6,false),VLOOKUP(J164,Sheet2!A:C,2,false))</f>
        <v>https://assets.roomstogo.com/product/tempur-pedic-adapt-20-medium-hybrid-twin-xl-mattress_50007472_image-item</v>
      </c>
      <c r="AB164" s="8" t="str">
        <f>IFERROR(VLOOKUP(A164,Sheet3!B:H,7,false),VLOOKUP(J164,Sheet2!A:C,3,false))</f>
        <v>https://assets.roomstogo.com/product/tempur-pedic-adapt-20-medium-hybrid-twin-xl-mattress_50007472_alt-image-1</v>
      </c>
      <c r="AC164" s="8" t="str">
        <f t="shared" si="2"/>
        <v>https://rtg-275.myshopify.com/products/ADAPT-2-0-MEDIUM-HYBRID</v>
      </c>
      <c r="AD164" s="8" t="str">
        <f>vlookup(L164,'Python sheet'!$E$2:$F$373,2,0)</f>
        <v>https://rtg-275.myshopify.com/products/ADAPT-2-0-MEDIUM-HYBRID?variant=47915103223946</v>
      </c>
    </row>
    <row r="165">
      <c r="A165" s="4">
        <v>5.0507484E7</v>
      </c>
      <c r="B165" s="9">
        <v>4.0</v>
      </c>
      <c r="C165" s="9">
        <v>5.0</v>
      </c>
      <c r="D165" s="2" t="s">
        <v>71</v>
      </c>
      <c r="E165" s="2" t="s">
        <v>44</v>
      </c>
      <c r="F165" s="2" t="s">
        <v>72</v>
      </c>
      <c r="G165" s="9">
        <v>245.0</v>
      </c>
      <c r="H165" s="9">
        <v>4.62</v>
      </c>
      <c r="I165" s="9">
        <v>241.0</v>
      </c>
      <c r="J165" s="1" t="s">
        <v>73</v>
      </c>
      <c r="K165" s="1" t="s">
        <v>975</v>
      </c>
      <c r="L165" s="1" t="str">
        <f t="shared" si="1"/>
        <v>PROADAPT-2-0-FIRMQueen</v>
      </c>
      <c r="M165" s="1" t="s">
        <v>479</v>
      </c>
      <c r="N165" s="6">
        <v>3399.0</v>
      </c>
      <c r="O165" s="6">
        <v>3399.0</v>
      </c>
      <c r="P165" s="1" t="s">
        <v>64</v>
      </c>
      <c r="Q165" s="7"/>
      <c r="R165" s="1" t="s">
        <v>75</v>
      </c>
      <c r="S165" s="1" t="s">
        <v>31</v>
      </c>
      <c r="T165" s="1" t="s">
        <v>470</v>
      </c>
      <c r="U165" s="1" t="s">
        <v>33</v>
      </c>
      <c r="V165" s="1" t="s">
        <v>42</v>
      </c>
      <c r="W165" s="1" t="s">
        <v>76</v>
      </c>
      <c r="X165" s="1" t="s">
        <v>50</v>
      </c>
      <c r="Y165" s="1" t="s">
        <v>42</v>
      </c>
      <c r="Z165" s="1" t="s">
        <v>77</v>
      </c>
      <c r="AA165" s="8" t="str">
        <f>IFERROR(VLOOKUP(A165,Sheet3!B:H,6,false),VLOOKUP(J165,Sheet2!A:C,2,false))</f>
        <v>https://assets.roomstogo.com/product/tempur-pedic-proadapt-20-firm-twin-xl-mattress_50007484_image-item</v>
      </c>
      <c r="AB165" s="8" t="str">
        <f>IFERROR(VLOOKUP(A165,Sheet3!B:H,7,false),VLOOKUP(J165,Sheet2!A:C,3,false))</f>
        <v>https://assets.roomstogo.com/product/tempur-pedic-proadapt-20-firm-twin-xl-mattress_50007484_alt-image-1</v>
      </c>
      <c r="AC165" s="8" t="str">
        <f t="shared" si="2"/>
        <v>https://rtg-275.myshopify.com/products/PROADAPT-2-0-FIRM</v>
      </c>
      <c r="AD165" s="8" t="str">
        <f>vlookup(L165,'Python sheet'!$E$2:$F$373,2,0)</f>
        <v>https://rtg-275.myshopify.com/products/PROADAPT-2-0-FIRM?variant=47915103551626</v>
      </c>
    </row>
    <row r="166">
      <c r="A166" s="4">
        <v>5.0507511E7</v>
      </c>
      <c r="B166" s="9">
        <v>1.0</v>
      </c>
      <c r="C166" s="9">
        <v>4.0</v>
      </c>
      <c r="D166" s="2" t="s">
        <v>78</v>
      </c>
      <c r="E166" s="2" t="s">
        <v>44</v>
      </c>
      <c r="F166" s="2" t="s">
        <v>79</v>
      </c>
      <c r="G166" s="9">
        <v>306.0</v>
      </c>
      <c r="H166" s="9">
        <v>4.48</v>
      </c>
      <c r="I166" s="9">
        <v>305.0</v>
      </c>
      <c r="J166" s="1" t="s">
        <v>80</v>
      </c>
      <c r="K166" s="1" t="s">
        <v>976</v>
      </c>
      <c r="L166" s="1" t="str">
        <f t="shared" si="1"/>
        <v>PROBREEZE-2-0-MEDIUM-HYBRIDQueen</v>
      </c>
      <c r="M166" s="1" t="s">
        <v>480</v>
      </c>
      <c r="N166" s="6">
        <v>4399.0</v>
      </c>
      <c r="O166" s="6">
        <v>4399.0</v>
      </c>
      <c r="P166" s="1" t="s">
        <v>64</v>
      </c>
      <c r="Q166" s="7"/>
      <c r="R166" s="1" t="s">
        <v>82</v>
      </c>
      <c r="S166" s="1" t="s">
        <v>31</v>
      </c>
      <c r="T166" s="1" t="s">
        <v>470</v>
      </c>
      <c r="U166" s="1" t="s">
        <v>41</v>
      </c>
      <c r="V166" s="1" t="s">
        <v>42</v>
      </c>
      <c r="W166" s="1" t="s">
        <v>35</v>
      </c>
      <c r="X166" s="1" t="s">
        <v>50</v>
      </c>
      <c r="Y166" s="1" t="s">
        <v>50</v>
      </c>
      <c r="Z166" s="1" t="s">
        <v>37</v>
      </c>
      <c r="AA166" s="8" t="str">
        <f>IFERROR(VLOOKUP(A166,Sheet3!B:H,6,false),VLOOKUP(J166,Sheet2!A:C,2,false))</f>
        <v>https://assets.roomstogo.com/product/tempur-pedic-probreeze-20-medium-hybrid-twin-xl-mattress_50007511_image-item</v>
      </c>
      <c r="AB166" s="8" t="str">
        <f>IFERROR(VLOOKUP(A166,Sheet3!B:H,7,false),VLOOKUP(J166,Sheet2!A:C,3,false))</f>
        <v>https://assets.roomstogo.com/product/tempur-pedic-probreeze-20-medium-hybrid-twin-xl-mattress_50007511_image-item</v>
      </c>
      <c r="AC166" s="8" t="str">
        <f t="shared" si="2"/>
        <v>https://rtg-275.myshopify.com/products/PROBREEZE-2-0-MEDIUM-HYBRID</v>
      </c>
      <c r="AD166" s="8" t="str">
        <f>vlookup(L166,'Python sheet'!$E$2:$F$373,2,0)</f>
        <v>https://rtg-275.myshopify.com/products/PROBREEZE-2-0-MEDIUM-HYBRID?variant=47915104075914</v>
      </c>
    </row>
    <row r="167">
      <c r="A167" s="4">
        <v>5.0507523E7</v>
      </c>
      <c r="B167" s="9">
        <v>3.0</v>
      </c>
      <c r="C167" s="9">
        <v>4.67</v>
      </c>
      <c r="D167" s="2" t="s">
        <v>83</v>
      </c>
      <c r="E167" s="2" t="s">
        <v>44</v>
      </c>
      <c r="F167" s="2" t="s">
        <v>84</v>
      </c>
      <c r="G167" s="9">
        <v>5219.0</v>
      </c>
      <c r="H167" s="9">
        <v>4.27</v>
      </c>
      <c r="I167" s="9">
        <v>5216.0</v>
      </c>
      <c r="J167" s="1" t="s">
        <v>85</v>
      </c>
      <c r="K167" s="1" t="s">
        <v>977</v>
      </c>
      <c r="L167" s="1" t="str">
        <f t="shared" si="1"/>
        <v>PROADAPT-2-0-MEDIUMQueen</v>
      </c>
      <c r="M167" s="1" t="s">
        <v>481</v>
      </c>
      <c r="N167" s="6">
        <v>3399.0</v>
      </c>
      <c r="O167" s="6">
        <v>3399.0</v>
      </c>
      <c r="P167" s="1" t="s">
        <v>64</v>
      </c>
      <c r="Q167" s="7"/>
      <c r="R167" s="1" t="s">
        <v>75</v>
      </c>
      <c r="S167" s="1" t="s">
        <v>31</v>
      </c>
      <c r="T167" s="1" t="s">
        <v>470</v>
      </c>
      <c r="U167" s="1" t="s">
        <v>33</v>
      </c>
      <c r="V167" s="1" t="s">
        <v>42</v>
      </c>
      <c r="W167" s="1" t="s">
        <v>35</v>
      </c>
      <c r="X167" s="1" t="s">
        <v>50</v>
      </c>
      <c r="Y167" s="1" t="s">
        <v>42</v>
      </c>
      <c r="Z167" s="1" t="s">
        <v>37</v>
      </c>
      <c r="AA167" s="8" t="str">
        <f>IFERROR(VLOOKUP(A167,Sheet3!B:H,6,false),VLOOKUP(J167,Sheet2!A:C,2,false))</f>
        <v>https://assets.roomstogo.com/product/tempur-pedic-proadapt-20-medium-twin-xl-mattress_50007523_image-item</v>
      </c>
      <c r="AB167" s="8" t="str">
        <f>IFERROR(VLOOKUP(A167,Sheet3!B:H,7,false),VLOOKUP(J167,Sheet2!A:C,3,false))</f>
        <v>https://assets.roomstogo.com/product/tempur-pedic-proadapt-20-medium-twin-xl-mattress_50007523_alt-image-1</v>
      </c>
      <c r="AC167" s="8" t="str">
        <f t="shared" si="2"/>
        <v>https://rtg-275.myshopify.com/products/PROADAPT-2-0-MEDIUM</v>
      </c>
      <c r="AD167" s="8" t="str">
        <f>vlookup(L167,'Python sheet'!$E$2:$F$373,2,0)</f>
        <v>https://rtg-275.myshopify.com/products/PROADAPT-2-0-MEDIUM?variant=47915104403594</v>
      </c>
    </row>
    <row r="168">
      <c r="A168" s="4">
        <v>5.0507535E7</v>
      </c>
      <c r="B168" s="9">
        <v>3.0</v>
      </c>
      <c r="C168" s="9">
        <v>3.67</v>
      </c>
      <c r="D168" s="2" t="s">
        <v>87</v>
      </c>
      <c r="E168" s="2" t="s">
        <v>44</v>
      </c>
      <c r="F168" s="2" t="s">
        <v>88</v>
      </c>
      <c r="G168" s="9">
        <v>77.0</v>
      </c>
      <c r="H168" s="9">
        <v>4.19</v>
      </c>
      <c r="I168" s="9">
        <v>74.0</v>
      </c>
      <c r="J168" s="1" t="s">
        <v>89</v>
      </c>
      <c r="K168" s="1" t="s">
        <v>978</v>
      </c>
      <c r="L168" s="1" t="str">
        <f t="shared" si="1"/>
        <v>PROADAPT-2-0-SOFTQueen</v>
      </c>
      <c r="M168" s="1" t="s">
        <v>482</v>
      </c>
      <c r="N168" s="6">
        <v>3399.0</v>
      </c>
      <c r="O168" s="6">
        <v>3399.0</v>
      </c>
      <c r="P168" s="1" t="s">
        <v>64</v>
      </c>
      <c r="Q168" s="7"/>
      <c r="R168" s="1" t="s">
        <v>91</v>
      </c>
      <c r="S168" s="1" t="s">
        <v>31</v>
      </c>
      <c r="T168" s="1" t="s">
        <v>470</v>
      </c>
      <c r="U168" s="1" t="s">
        <v>33</v>
      </c>
      <c r="V168" s="1" t="s">
        <v>50</v>
      </c>
      <c r="W168" s="1" t="s">
        <v>49</v>
      </c>
      <c r="X168" s="1" t="s">
        <v>50</v>
      </c>
      <c r="Y168" s="1" t="s">
        <v>42</v>
      </c>
      <c r="Z168" s="1" t="s">
        <v>51</v>
      </c>
      <c r="AA168" s="8" t="str">
        <f>IFERROR(VLOOKUP(A168,Sheet3!B:H,6,false),VLOOKUP(J168,Sheet2!A:C,2,false))</f>
        <v>https://assets.roomstogo.com/product/tempur-pedic-proadapt-20-soft-twin-xl-mattress_50007535_image-item</v>
      </c>
      <c r="AB168" s="8" t="str">
        <f>IFERROR(VLOOKUP(A168,Sheet3!B:H,7,false),VLOOKUP(J168,Sheet2!A:C,3,false))</f>
        <v>https://assets.roomstogo.com/product/tempur-pedic-proadapt-20-soft-twin-xl-mattress_50007535_alt-image-1</v>
      </c>
      <c r="AC168" s="8" t="str">
        <f t="shared" si="2"/>
        <v>https://rtg-275.myshopify.com/products/PROADAPT-2-0-SOFT</v>
      </c>
      <c r="AD168" s="8" t="str">
        <f>vlookup(L168,'Python sheet'!$E$2:$F$373,2,0)</f>
        <v>https://rtg-275.myshopify.com/products/PROADAPT-2-0-SOFT?variant=47915104665738</v>
      </c>
    </row>
    <row r="169">
      <c r="A169" s="4">
        <v>5.0507559E7</v>
      </c>
      <c r="B169" s="9">
        <v>6.0</v>
      </c>
      <c r="C169" s="9">
        <v>3.0</v>
      </c>
      <c r="D169" s="2" t="s">
        <v>92</v>
      </c>
      <c r="E169" s="2" t="s">
        <v>44</v>
      </c>
      <c r="F169" s="2" t="s">
        <v>93</v>
      </c>
      <c r="G169" s="9">
        <v>975.0</v>
      </c>
      <c r="H169" s="9">
        <v>4.38</v>
      </c>
      <c r="I169" s="9">
        <v>969.0</v>
      </c>
      <c r="J169" s="1" t="s">
        <v>94</v>
      </c>
      <c r="K169" s="1" t="s">
        <v>979</v>
      </c>
      <c r="L169" s="1" t="str">
        <f t="shared" si="1"/>
        <v>PROADAPT-2-0-MEDIUM-HYBRIDQueen</v>
      </c>
      <c r="M169" s="1" t="s">
        <v>483</v>
      </c>
      <c r="N169" s="6">
        <v>3399.0</v>
      </c>
      <c r="O169" s="6">
        <v>3399.0</v>
      </c>
      <c r="P169" s="1" t="s">
        <v>64</v>
      </c>
      <c r="Q169" s="7"/>
      <c r="R169" s="1" t="s">
        <v>390</v>
      </c>
      <c r="S169" s="1" t="s">
        <v>31</v>
      </c>
      <c r="T169" s="1" t="s">
        <v>470</v>
      </c>
      <c r="U169" s="1" t="s">
        <v>41</v>
      </c>
      <c r="V169" s="1" t="s">
        <v>42</v>
      </c>
      <c r="W169" s="1" t="s">
        <v>35</v>
      </c>
      <c r="X169" s="1" t="s">
        <v>50</v>
      </c>
      <c r="Y169" s="1" t="s">
        <v>42</v>
      </c>
      <c r="Z169" s="1" t="s">
        <v>37</v>
      </c>
      <c r="AA169" s="8" t="str">
        <f>IFERROR(VLOOKUP(A169,Sheet3!B:H,6,false),VLOOKUP(J169,Sheet2!A:C,2,false))</f>
        <v>https://assets.roomstogo.com/product/tempur-pedic-proadapt-20-medium-hybrid-twin-xl-mattress_50007559_image-item</v>
      </c>
      <c r="AB169" s="8" t="str">
        <f>IFERROR(VLOOKUP(A169,Sheet3!B:H,7,false),VLOOKUP(J169,Sheet2!A:C,3,false))</f>
        <v>https://assets.roomstogo.com/product/tempur-pedic-proadapt-20-medium-hybrid-twin-xl-mattress_50007559_alt-image-1</v>
      </c>
      <c r="AC169" s="8" t="str">
        <f t="shared" si="2"/>
        <v>https://rtg-275.myshopify.com/products/PROADAPT-2-0-MEDIUM-HYBRID</v>
      </c>
      <c r="AD169" s="8" t="str">
        <f>vlookup(L169,'Python sheet'!$E$2:$F$373,2,0)</f>
        <v>https://rtg-275.myshopify.com/products/PROADAPT-2-0-MEDIUM-HYBRID?variant=47915104993418</v>
      </c>
    </row>
    <row r="170">
      <c r="A170" s="4">
        <v>5.0507561E7</v>
      </c>
      <c r="B170" s="5"/>
      <c r="C170" s="5"/>
      <c r="D170" s="5"/>
      <c r="E170" s="5"/>
      <c r="F170" s="5"/>
      <c r="G170" s="5"/>
      <c r="H170" s="5"/>
      <c r="I170" s="5"/>
      <c r="J170" s="1" t="s">
        <v>99</v>
      </c>
      <c r="K170" s="1" t="s">
        <v>980</v>
      </c>
      <c r="L170" s="1" t="str">
        <f t="shared" si="1"/>
        <v>LUXEADAPT-2-0-SOFTQueen</v>
      </c>
      <c r="M170" s="1" t="s">
        <v>484</v>
      </c>
      <c r="N170" s="6">
        <v>4699.0</v>
      </c>
      <c r="O170" s="6">
        <v>4699.0</v>
      </c>
      <c r="P170" s="1" t="s">
        <v>64</v>
      </c>
      <c r="Q170" s="7"/>
      <c r="R170" s="1" t="s">
        <v>101</v>
      </c>
      <c r="S170" s="1" t="s">
        <v>31</v>
      </c>
      <c r="T170" s="1" t="s">
        <v>470</v>
      </c>
      <c r="U170" s="1" t="s">
        <v>33</v>
      </c>
      <c r="V170" s="1" t="s">
        <v>50</v>
      </c>
      <c r="W170" s="1" t="s">
        <v>49</v>
      </c>
      <c r="X170" s="1" t="s">
        <v>50</v>
      </c>
      <c r="Y170" s="1" t="s">
        <v>42</v>
      </c>
      <c r="Z170" s="1" t="s">
        <v>51</v>
      </c>
      <c r="AA170" s="8" t="str">
        <f>IFERROR(VLOOKUP(A170,Sheet3!B:H,6,false),VLOOKUP(J170,Sheet2!A:C,2,false))</f>
        <v>https://assets.roomstogo.com/product/tempur-pedic-luxeadapt-20-soft-twin-xl-mattress_50007561_image-item</v>
      </c>
      <c r="AB170" s="8" t="str">
        <f>IFERROR(VLOOKUP(A170,Sheet3!B:H,7,false),VLOOKUP(J170,Sheet2!A:C,3,false))</f>
        <v>https://assets.roomstogo.com/product/tempur-pedic-luxeadapt-20-soft-twin-xl-mattress_50007561_alt-image-1</v>
      </c>
      <c r="AC170" s="8" t="str">
        <f t="shared" si="2"/>
        <v>https://rtg-275.myshopify.com/products/LUXEADAPT-2-0-SOFT</v>
      </c>
      <c r="AD170" s="8" t="str">
        <f>vlookup(L170,'Python sheet'!$E$2:$F$373,2,0)</f>
        <v>https://rtg-275.myshopify.com/products/LUXEADAPT-2-0-SOFT?variant=47915105190026</v>
      </c>
    </row>
    <row r="171">
      <c r="A171" s="4">
        <v>5.0507585E7</v>
      </c>
      <c r="B171" s="9">
        <v>3.0</v>
      </c>
      <c r="C171" s="9">
        <v>5.0</v>
      </c>
      <c r="D171" s="2" t="s">
        <v>102</v>
      </c>
      <c r="E171" s="2" t="s">
        <v>44</v>
      </c>
      <c r="F171" s="2" t="s">
        <v>103</v>
      </c>
      <c r="G171" s="9">
        <v>129.0</v>
      </c>
      <c r="H171" s="9">
        <v>4.62</v>
      </c>
      <c r="I171" s="9">
        <v>126.0</v>
      </c>
      <c r="J171" s="1" t="s">
        <v>104</v>
      </c>
      <c r="K171" s="1" t="s">
        <v>981</v>
      </c>
      <c r="L171" s="1" t="str">
        <f t="shared" si="1"/>
        <v>LUXEADAPT-2-0-MEDIUM-HYBRIDQueen</v>
      </c>
      <c r="M171" s="1" t="s">
        <v>485</v>
      </c>
      <c r="N171" s="6">
        <v>4699.0</v>
      </c>
      <c r="O171" s="6">
        <v>4699.0</v>
      </c>
      <c r="P171" s="1" t="s">
        <v>64</v>
      </c>
      <c r="Q171" s="7"/>
      <c r="R171" s="1" t="s">
        <v>106</v>
      </c>
      <c r="S171" s="1" t="s">
        <v>31</v>
      </c>
      <c r="T171" s="1" t="s">
        <v>470</v>
      </c>
      <c r="U171" s="1" t="s">
        <v>41</v>
      </c>
      <c r="V171" s="1" t="s">
        <v>50</v>
      </c>
      <c r="W171" s="1" t="s">
        <v>35</v>
      </c>
      <c r="X171" s="1" t="s">
        <v>50</v>
      </c>
      <c r="Y171" s="1" t="s">
        <v>42</v>
      </c>
      <c r="Z171" s="1" t="s">
        <v>37</v>
      </c>
      <c r="AA171" s="8" t="str">
        <f>IFERROR(VLOOKUP(A171,Sheet3!B:H,6,false),VLOOKUP(J171,Sheet2!A:C,2,false))</f>
        <v>https://assets.roomstogo.com/product/tempur-pedic-luxeadapt-20-medium-hybrid-twin-xl-mattress_50007585_image-item</v>
      </c>
      <c r="AB171" s="8" t="str">
        <f>IFERROR(VLOOKUP(A171,Sheet3!B:H,7,false),VLOOKUP(J171,Sheet2!A:C,3,false))</f>
        <v>https://assets.roomstogo.com/product/tempur-pedic-luxeadapt-20-medium-hybrid-twin-xl-mattress_50007585_alt-image-1</v>
      </c>
      <c r="AC171" s="8" t="str">
        <f t="shared" si="2"/>
        <v>https://rtg-275.myshopify.com/products/LUXEADAPT-2-0-MEDIUM-HYBRID</v>
      </c>
      <c r="AD171" s="8" t="str">
        <f>vlookup(L171,'Python sheet'!$E$2:$F$373,2,0)</f>
        <v>https://rtg-275.myshopify.com/products/LUXEADAPT-2-0-MEDIUM-HYBRID?variant=47915105419402</v>
      </c>
    </row>
    <row r="172">
      <c r="A172" s="4">
        <v>5.0507624E7</v>
      </c>
      <c r="B172" s="9">
        <v>2.0</v>
      </c>
      <c r="C172" s="9">
        <v>5.0</v>
      </c>
      <c r="D172" s="2" t="s">
        <v>107</v>
      </c>
      <c r="E172" s="2" t="s">
        <v>44</v>
      </c>
      <c r="F172" s="2" t="s">
        <v>108</v>
      </c>
      <c r="G172" s="9">
        <v>440.0</v>
      </c>
      <c r="H172" s="9">
        <v>4.54</v>
      </c>
      <c r="I172" s="9">
        <v>438.0</v>
      </c>
      <c r="J172" s="1" t="s">
        <v>109</v>
      </c>
      <c r="K172" s="1" t="s">
        <v>982</v>
      </c>
      <c r="L172" s="1" t="str">
        <f t="shared" si="1"/>
        <v>LUXEBREEZE-2-0-FIRMQueen</v>
      </c>
      <c r="M172" s="1" t="s">
        <v>486</v>
      </c>
      <c r="N172" s="6">
        <v>5699.0</v>
      </c>
      <c r="O172" s="6">
        <v>5699.0</v>
      </c>
      <c r="P172" s="1" t="s">
        <v>64</v>
      </c>
      <c r="Q172" s="7"/>
      <c r="R172" s="1" t="s">
        <v>111</v>
      </c>
      <c r="S172" s="1" t="s">
        <v>31</v>
      </c>
      <c r="T172" s="1" t="s">
        <v>470</v>
      </c>
      <c r="U172" s="1" t="s">
        <v>33</v>
      </c>
      <c r="V172" s="1" t="s">
        <v>50</v>
      </c>
      <c r="W172" s="1" t="s">
        <v>76</v>
      </c>
      <c r="X172" s="1" t="s">
        <v>50</v>
      </c>
      <c r="Y172" s="1" t="s">
        <v>50</v>
      </c>
      <c r="Z172" s="1" t="s">
        <v>77</v>
      </c>
      <c r="AA172" s="8" t="str">
        <f>IFERROR(VLOOKUP(A172,Sheet3!B:H,6,false),VLOOKUP(J172,Sheet2!A:C,2,false))</f>
        <v>https://assets.roomstogo.com/product/tempur-pedic-luxebreeze-20-firm-twin-xl-mattress_50007624_image-item</v>
      </c>
      <c r="AB172" s="8" t="str">
        <f>IFERROR(VLOOKUP(A172,Sheet3!B:H,7,false),VLOOKUP(J172,Sheet2!A:C,3,false))</f>
        <v>https://assets.roomstogo.com/product/tempur-pedic-luxebreeze-20-firm-twin-xl-mattress_50007624_image-item</v>
      </c>
      <c r="AC172" s="8" t="str">
        <f t="shared" si="2"/>
        <v>https://rtg-275.myshopify.com/products/LUXEBREEZE-2-0-FIRM</v>
      </c>
      <c r="AD172" s="8" t="str">
        <f>vlookup(L172,'Python sheet'!$E$2:$F$373,2,0)</f>
        <v>https://rtg-275.myshopify.com/products/LUXEBREEZE-2-0-FIRM?variant=47915105616010</v>
      </c>
    </row>
    <row r="173">
      <c r="A173" s="4">
        <v>5.050987E7</v>
      </c>
      <c r="B173" s="9">
        <v>5.0</v>
      </c>
      <c r="C173" s="9">
        <v>4.8</v>
      </c>
      <c r="D173" s="2" t="s">
        <v>391</v>
      </c>
      <c r="E173" s="2" t="s">
        <v>44</v>
      </c>
      <c r="F173" s="2" t="s">
        <v>392</v>
      </c>
      <c r="G173" s="9">
        <v>10.0</v>
      </c>
      <c r="H173" s="9">
        <v>4.0</v>
      </c>
      <c r="I173" s="9">
        <v>5.0</v>
      </c>
      <c r="J173" s="1" t="s">
        <v>112</v>
      </c>
      <c r="K173" s="1" t="s">
        <v>983</v>
      </c>
      <c r="L173" s="1" t="str">
        <f t="shared" si="1"/>
        <v>TUFT-NEEDLE-STITCH-TN3-1Queen</v>
      </c>
      <c r="M173" s="1" t="s">
        <v>487</v>
      </c>
      <c r="N173" s="6">
        <v>997.0</v>
      </c>
      <c r="O173" s="6">
        <v>1299.0</v>
      </c>
      <c r="P173" s="1" t="s">
        <v>114</v>
      </c>
      <c r="Q173" s="1" t="s">
        <v>54</v>
      </c>
      <c r="R173" s="7"/>
      <c r="S173" s="1" t="s">
        <v>31</v>
      </c>
      <c r="T173" s="1" t="s">
        <v>470</v>
      </c>
      <c r="U173" s="1" t="s">
        <v>41</v>
      </c>
      <c r="V173" s="1" t="s">
        <v>34</v>
      </c>
      <c r="W173" s="1" t="s">
        <v>35</v>
      </c>
      <c r="X173" s="1" t="s">
        <v>34</v>
      </c>
      <c r="Y173" s="1" t="s">
        <v>34</v>
      </c>
      <c r="Z173" s="1" t="s">
        <v>37</v>
      </c>
      <c r="AA173" s="8" t="str">
        <f>IFERROR(VLOOKUP(A173,Sheet3!B:H,6,false),VLOOKUP(J173,Sheet2!A:C,2,false))</f>
        <v>https://assets.roomstogo.com/product/tuft-needle-stitch-tn31-twin-xl-mattress_50009870_image-item</v>
      </c>
      <c r="AB173" s="8" t="str">
        <f>IFERROR(VLOOKUP(A173,Sheet3!B:H,7,false),VLOOKUP(J173,Sheet2!A:C,3,false))</f>
        <v>https://assets.roomstogo.com/product/tuft-needle-stitch-tn31-twin-xl-mattress_50009870_alt-image-1</v>
      </c>
      <c r="AC173" s="8" t="str">
        <f t="shared" si="2"/>
        <v>https://rtg-275.myshopify.com/products/TUFT-NEEDLE-STITCH-TN3-1</v>
      </c>
      <c r="AD173" s="8" t="str">
        <f>vlookup(L173,'Python sheet'!$E$2:$F$373,2,0)</f>
        <v>https://rtg-275.myshopify.com/products/TUFT-NEEDLE-STITCH-TN3-1?variant=47915106009226</v>
      </c>
    </row>
    <row r="174">
      <c r="A174" s="4">
        <v>5.0509882E7</v>
      </c>
      <c r="B174" s="9">
        <v>5.0</v>
      </c>
      <c r="C174" s="9">
        <v>4.0</v>
      </c>
      <c r="D174" s="2" t="s">
        <v>394</v>
      </c>
      <c r="E174" s="2" t="s">
        <v>44</v>
      </c>
      <c r="F174" s="2" t="s">
        <v>395</v>
      </c>
      <c r="G174" s="9">
        <v>11.0</v>
      </c>
      <c r="H174" s="9">
        <v>3.91</v>
      </c>
      <c r="I174" s="9">
        <v>6.0</v>
      </c>
      <c r="J174" s="1" t="s">
        <v>115</v>
      </c>
      <c r="K174" s="1" t="s">
        <v>984</v>
      </c>
      <c r="L174" s="1" t="str">
        <f t="shared" si="1"/>
        <v>TUFT-NEEDLE-STITCH-TN5-1Queen</v>
      </c>
      <c r="M174" s="1" t="s">
        <v>488</v>
      </c>
      <c r="N174" s="6">
        <v>1095.0</v>
      </c>
      <c r="O174" s="6">
        <v>1799.0</v>
      </c>
      <c r="P174" s="1" t="s">
        <v>114</v>
      </c>
      <c r="Q174" s="1" t="s">
        <v>54</v>
      </c>
      <c r="R174" s="7"/>
      <c r="S174" s="1" t="s">
        <v>31</v>
      </c>
      <c r="T174" s="1" t="s">
        <v>470</v>
      </c>
      <c r="U174" s="1" t="s">
        <v>41</v>
      </c>
      <c r="V174" s="1" t="s">
        <v>42</v>
      </c>
      <c r="W174" s="1" t="s">
        <v>76</v>
      </c>
      <c r="X174" s="1" t="s">
        <v>42</v>
      </c>
      <c r="Y174" s="1" t="s">
        <v>42</v>
      </c>
      <c r="Z174" s="1" t="s">
        <v>77</v>
      </c>
      <c r="AA174" s="8" t="str">
        <f>IFERROR(VLOOKUP(A174,Sheet3!B:H,6,false),VLOOKUP(J174,Sheet2!A:C,2,false))</f>
        <v>https://assets.roomstogo.com/product/tuft-needle-stitch-tn51-twin-xl-mattress_50009882_image-item</v>
      </c>
      <c r="AB174" s="8" t="str">
        <f>IFERROR(VLOOKUP(A174,Sheet3!B:H,7,false),VLOOKUP(J174,Sheet2!A:C,3,false))</f>
        <v>https://assets.roomstogo.com/product/tuft-needle-stitch-tn51-twin-xl-mattress_50009882_alt-image-1</v>
      </c>
      <c r="AC174" s="8" t="str">
        <f t="shared" si="2"/>
        <v>https://rtg-275.myshopify.com/products/TUFT-NEEDLE-STITCH-TN5-1</v>
      </c>
      <c r="AD174" s="8" t="str">
        <f>vlookup(L174,'Python sheet'!$E$2:$F$373,2,0)</f>
        <v>https://rtg-275.myshopify.com/products/TUFT-NEEDLE-STITCH-TN5-1?variant=47915106238602</v>
      </c>
    </row>
    <row r="175">
      <c r="A175" s="4">
        <v>5.0509907E7</v>
      </c>
      <c r="B175" s="5"/>
      <c r="C175" s="5"/>
      <c r="D175" s="5"/>
      <c r="E175" s="5"/>
      <c r="F175" s="5"/>
      <c r="G175" s="5"/>
      <c r="H175" s="5"/>
      <c r="I175" s="5"/>
      <c r="J175" s="1" t="s">
        <v>117</v>
      </c>
      <c r="K175" s="1" t="s">
        <v>985</v>
      </c>
      <c r="L175" s="1" t="str">
        <f t="shared" si="1"/>
        <v>TUFT-NEEDLE-STITCH-TN9-1Queen</v>
      </c>
      <c r="M175" s="1" t="s">
        <v>489</v>
      </c>
      <c r="N175" s="6">
        <v>1997.0</v>
      </c>
      <c r="O175" s="6">
        <v>2499.0</v>
      </c>
      <c r="P175" s="1" t="s">
        <v>114</v>
      </c>
      <c r="Q175" s="1" t="s">
        <v>54</v>
      </c>
      <c r="R175" s="7"/>
      <c r="S175" s="1" t="s">
        <v>31</v>
      </c>
      <c r="T175" s="1" t="s">
        <v>470</v>
      </c>
      <c r="U175" s="1" t="s">
        <v>41</v>
      </c>
      <c r="V175" s="1" t="s">
        <v>50</v>
      </c>
      <c r="W175" s="1" t="s">
        <v>49</v>
      </c>
      <c r="X175" s="1" t="s">
        <v>42</v>
      </c>
      <c r="Y175" s="1" t="s">
        <v>42</v>
      </c>
      <c r="Z175" s="1" t="s">
        <v>51</v>
      </c>
      <c r="AA175" s="8" t="str">
        <f>IFERROR(VLOOKUP(A175,Sheet3!B:H,6,false),VLOOKUP(J175,Sheet2!A:C,2,false))</f>
        <v>https://assets.roomstogo.com/product/tuft-needle-stitch-tn91-twin-xl-mattress_50009907_image-item</v>
      </c>
      <c r="AB175" s="8" t="str">
        <f>IFERROR(VLOOKUP(A175,Sheet3!B:H,7,false),VLOOKUP(J175,Sheet2!A:C,3,false))</f>
        <v>https://assets.roomstogo.com/product/tuft-needle-stitch-tn91-twin-xl-mattress_50009907_alt-image-1</v>
      </c>
      <c r="AC175" s="8" t="str">
        <f t="shared" si="2"/>
        <v>https://rtg-275.myshopify.com/products/TUFT-NEEDLE-STITCH-TN9-1</v>
      </c>
      <c r="AD175" s="8" t="str">
        <f>vlookup(L175,'Python sheet'!$E$2:$F$373,2,0)</f>
        <v>https://rtg-275.myshopify.com/products/TUFT-NEEDLE-STITCH-TN9-1?variant=47915106664586</v>
      </c>
    </row>
    <row r="176">
      <c r="A176" s="4">
        <v>5.0509933E7</v>
      </c>
      <c r="B176" s="9">
        <v>2.0</v>
      </c>
      <c r="C176" s="9">
        <v>5.0</v>
      </c>
      <c r="D176" s="2" t="s">
        <v>274</v>
      </c>
      <c r="E176" s="2" t="s">
        <v>44</v>
      </c>
      <c r="F176" s="2" t="s">
        <v>275</v>
      </c>
      <c r="G176" s="9">
        <v>9.0</v>
      </c>
      <c r="H176" s="9">
        <v>4.89</v>
      </c>
      <c r="I176" s="9">
        <v>7.0</v>
      </c>
      <c r="J176" s="1" t="s">
        <v>119</v>
      </c>
      <c r="K176" s="1" t="s">
        <v>986</v>
      </c>
      <c r="L176" s="1" t="str">
        <f t="shared" si="1"/>
        <v>TUFT-NEEDLE-TN1Queen</v>
      </c>
      <c r="M176" s="1" t="s">
        <v>490</v>
      </c>
      <c r="N176" s="6">
        <v>777.0</v>
      </c>
      <c r="O176" s="6">
        <v>899.0</v>
      </c>
      <c r="P176" s="1" t="s">
        <v>114</v>
      </c>
      <c r="Q176" s="1" t="s">
        <v>54</v>
      </c>
      <c r="R176" s="1" t="s">
        <v>121</v>
      </c>
      <c r="S176" s="1" t="s">
        <v>31</v>
      </c>
      <c r="T176" s="1" t="s">
        <v>470</v>
      </c>
      <c r="U176" s="1" t="s">
        <v>33</v>
      </c>
      <c r="V176" s="1" t="s">
        <v>36</v>
      </c>
      <c r="W176" s="1" t="s">
        <v>76</v>
      </c>
      <c r="X176" s="1" t="s">
        <v>36</v>
      </c>
      <c r="Y176" s="1" t="s">
        <v>36</v>
      </c>
      <c r="Z176" s="1" t="s">
        <v>77</v>
      </c>
      <c r="AA176" s="8" t="str">
        <f>IFERROR(VLOOKUP(A176,Sheet3!B:H,6,false),VLOOKUP(J176,Sheet2!A:C,2,false))</f>
        <v>https://assets.roomstogo.com/product/tuft-needle-tn1-twin-xl-mattress_50009933_image-item</v>
      </c>
      <c r="AB176" s="8" t="str">
        <f>IFERROR(VLOOKUP(A176,Sheet3!B:H,7,false),VLOOKUP(J176,Sheet2!A:C,3,false))</f>
        <v>https://assets.roomstogo.com/product/tuft-needle-tn1-twin-xl-mattress_50009933_alt-image-1</v>
      </c>
      <c r="AC176" s="8" t="str">
        <f t="shared" si="2"/>
        <v>https://rtg-275.myshopify.com/products/TUFT-NEEDLE-TN1</v>
      </c>
      <c r="AD176" s="8" t="str">
        <f>vlookup(L176,'Python sheet'!$E$2:$F$373,2,0)</f>
        <v>https://rtg-275.myshopify.com/products/TUFT-NEEDLE-TN1?variant=47915106926730</v>
      </c>
    </row>
    <row r="177">
      <c r="A177" s="4">
        <v>5.051057E7</v>
      </c>
      <c r="B177" s="9">
        <v>4.0</v>
      </c>
      <c r="C177" s="9">
        <v>4.75</v>
      </c>
      <c r="D177" s="2" t="s">
        <v>277</v>
      </c>
      <c r="E177" s="2" t="s">
        <v>44</v>
      </c>
      <c r="F177" s="2" t="s">
        <v>278</v>
      </c>
      <c r="G177" s="9">
        <v>8.0</v>
      </c>
      <c r="H177" s="9">
        <v>4.88</v>
      </c>
      <c r="I177" s="9">
        <v>4.0</v>
      </c>
      <c r="J177" s="1" t="s">
        <v>122</v>
      </c>
      <c r="K177" s="1" t="s">
        <v>987</v>
      </c>
      <c r="L177" s="1" t="str">
        <f t="shared" si="1"/>
        <v>MOLECULE-COREQueen</v>
      </c>
      <c r="M177" s="1" t="s">
        <v>491</v>
      </c>
      <c r="N177" s="6">
        <v>497.0</v>
      </c>
      <c r="O177" s="6">
        <v>999.0</v>
      </c>
      <c r="P177" s="1" t="s">
        <v>124</v>
      </c>
      <c r="Q177" s="7"/>
      <c r="R177" s="1" t="s">
        <v>492</v>
      </c>
      <c r="S177" s="1" t="s">
        <v>31</v>
      </c>
      <c r="T177" s="1" t="s">
        <v>470</v>
      </c>
      <c r="U177" s="1" t="s">
        <v>33</v>
      </c>
      <c r="V177" s="1" t="s">
        <v>34</v>
      </c>
      <c r="W177" s="1" t="s">
        <v>35</v>
      </c>
      <c r="X177" s="1" t="s">
        <v>34</v>
      </c>
      <c r="Y177" s="1" t="s">
        <v>34</v>
      </c>
      <c r="Z177" s="1" t="s">
        <v>37</v>
      </c>
      <c r="AA177" s="8" t="str">
        <f>IFERROR(VLOOKUP(A177,Sheet3!B:H,6,false),VLOOKUP(J177,Sheet2!A:C,2,false))</f>
        <v>https://assets.roomstogo.com/product/molecule-core-twin-xl-mattress_50010570_image-item</v>
      </c>
      <c r="AB177" s="8" t="str">
        <f>IFERROR(VLOOKUP(A177,Sheet3!B:H,7,false),VLOOKUP(J177,Sheet2!A:C,3,false))</f>
        <v>https://assets.roomstogo.com/product/molecule-core-twin-xl-mattress_50010570_alt-image-1</v>
      </c>
      <c r="AC177" s="8" t="str">
        <f t="shared" si="2"/>
        <v>https://rtg-275.myshopify.com/products/MOLECULE-CORE</v>
      </c>
      <c r="AD177" s="8" t="str">
        <f>vlookup(L177,'Python sheet'!$E$2:$F$373,2,0)</f>
        <v>https://rtg-275.myshopify.com/products/MOLECULE-CORE?variant=47915107188874</v>
      </c>
    </row>
    <row r="178">
      <c r="A178" s="4">
        <v>5.0510671E7</v>
      </c>
      <c r="B178" s="9">
        <v>97.0</v>
      </c>
      <c r="C178" s="9">
        <v>4.51</v>
      </c>
      <c r="D178" s="2" t="s">
        <v>125</v>
      </c>
      <c r="E178" s="2" t="s">
        <v>44</v>
      </c>
      <c r="F178" s="2" t="s">
        <v>126</v>
      </c>
      <c r="G178" s="9">
        <v>192.0</v>
      </c>
      <c r="H178" s="9">
        <v>4.4</v>
      </c>
      <c r="I178" s="9">
        <v>95.0</v>
      </c>
      <c r="J178" s="1" t="s">
        <v>127</v>
      </c>
      <c r="K178" s="1" t="s">
        <v>988</v>
      </c>
      <c r="L178" s="1" t="str">
        <f t="shared" si="1"/>
        <v>BROAD-PEAK-MEDIUM-HYBRIDQueen</v>
      </c>
      <c r="M178" s="1" t="s">
        <v>493</v>
      </c>
      <c r="N178" s="6">
        <v>795.0</v>
      </c>
      <c r="O178" s="6">
        <v>1099.99</v>
      </c>
      <c r="P178" s="1" t="s">
        <v>129</v>
      </c>
      <c r="Q178" s="1" t="s">
        <v>54</v>
      </c>
      <c r="R178" s="1" t="s">
        <v>130</v>
      </c>
      <c r="S178" s="1" t="s">
        <v>31</v>
      </c>
      <c r="T178" s="1" t="s">
        <v>470</v>
      </c>
      <c r="U178" s="1" t="s">
        <v>41</v>
      </c>
      <c r="V178" s="1" t="s">
        <v>34</v>
      </c>
      <c r="W178" s="1" t="s">
        <v>35</v>
      </c>
      <c r="X178" s="1" t="s">
        <v>34</v>
      </c>
      <c r="Y178" s="1" t="s">
        <v>34</v>
      </c>
      <c r="Z178" s="1" t="s">
        <v>37</v>
      </c>
      <c r="AA178" s="8" t="str">
        <f>IFERROR(VLOOKUP(A178,Sheet3!B:H,6,false),VLOOKUP(J178,Sheet2!A:C,2,false))</f>
        <v>https://assets.roomstogo.com/product/beautyrest-select-broad-peak-medium-hybrid-twin-xl-mattress_50010671_image-item</v>
      </c>
      <c r="AB178" s="8" t="str">
        <f>IFERROR(VLOOKUP(A178,Sheet3!B:H,7,false),VLOOKUP(J178,Sheet2!A:C,3,false))</f>
        <v>https://assets.roomstogo.com/product/beautyrest-select-broad-peak-medium-hybrid-twin-xl-mattress_50010671_alt-image-1</v>
      </c>
      <c r="AC178" s="8" t="str">
        <f t="shared" si="2"/>
        <v>https://rtg-275.myshopify.com/products/BROAD-PEAK-MEDIUM-HYBRID</v>
      </c>
      <c r="AD178" s="8" t="str">
        <f>vlookup(L178,'Python sheet'!$E$2:$F$373,2,0)</f>
        <v>https://rtg-275.myshopify.com/products/BROAD-PEAK-MEDIUM-HYBRID?variant=47915107385482</v>
      </c>
    </row>
    <row r="179">
      <c r="A179" s="4">
        <v>5.0511053E7</v>
      </c>
      <c r="B179" s="5"/>
      <c r="C179" s="5"/>
      <c r="D179" s="5"/>
      <c r="E179" s="5"/>
      <c r="F179" s="5"/>
      <c r="G179" s="5"/>
      <c r="H179" s="5"/>
      <c r="I179" s="5"/>
      <c r="J179" s="1" t="s">
        <v>131</v>
      </c>
      <c r="K179" s="1" t="s">
        <v>989</v>
      </c>
      <c r="L179" s="1" t="str">
        <f t="shared" si="1"/>
        <v>BAY-DREAMERQueen</v>
      </c>
      <c r="M179" s="1" t="s">
        <v>494</v>
      </c>
      <c r="N179" s="6">
        <v>595.0</v>
      </c>
      <c r="O179" s="6">
        <v>699.99</v>
      </c>
      <c r="P179" s="1" t="s">
        <v>133</v>
      </c>
      <c r="Q179" s="1" t="s">
        <v>54</v>
      </c>
      <c r="R179" s="7"/>
      <c r="S179" s="1" t="s">
        <v>134</v>
      </c>
      <c r="T179" s="1" t="s">
        <v>470</v>
      </c>
      <c r="U179" s="1" t="s">
        <v>59</v>
      </c>
      <c r="V179" s="1" t="s">
        <v>36</v>
      </c>
      <c r="W179" s="1" t="s">
        <v>49</v>
      </c>
      <c r="X179" s="1" t="s">
        <v>42</v>
      </c>
      <c r="Y179" s="1" t="s">
        <v>36</v>
      </c>
      <c r="Z179" s="1" t="s">
        <v>51</v>
      </c>
      <c r="AA179" s="8" t="str">
        <f>IFERROR(VLOOKUP(A179,Sheet3!B:H,6,false),VLOOKUP(J179,Sheet2!A:C,2,false))</f>
        <v>https://assets.roomstogo.com/product/tommy-bahama-bay-dreamer-twin-mattress_50111055_image-item</v>
      </c>
      <c r="AB179" s="8" t="str">
        <f>IFERROR(VLOOKUP(A179,Sheet3!B:H,7,false),VLOOKUP(J179,Sheet2!A:C,3,false))</f>
        <v>https://assets.roomstogo.com/product/tommy-bahama-bay-dreamer-twin-mattress_50111055_alt-image-1</v>
      </c>
      <c r="AC179" s="8" t="str">
        <f t="shared" si="2"/>
        <v>https://rtg-275.myshopify.com/products/BAY-DREAMER</v>
      </c>
      <c r="AD179" s="8" t="str">
        <f>vlookup(L179,'Python sheet'!$E$2:$F$373,2,0)</f>
        <v>https://rtg-275.myshopify.com/products/BAY-DREAMER?variant=47915107614858</v>
      </c>
    </row>
    <row r="180">
      <c r="A180" s="4">
        <v>5.0511065E7</v>
      </c>
      <c r="B180" s="5"/>
      <c r="C180" s="5"/>
      <c r="D180" s="5"/>
      <c r="E180" s="5"/>
      <c r="F180" s="5"/>
      <c r="G180" s="5"/>
      <c r="H180" s="5"/>
      <c r="I180" s="5"/>
      <c r="J180" s="1" t="s">
        <v>135</v>
      </c>
      <c r="K180" s="1" t="s">
        <v>990</v>
      </c>
      <c r="L180" s="1" t="str">
        <f t="shared" si="1"/>
        <v>MAKE-WAVESQueen</v>
      </c>
      <c r="M180" s="1" t="s">
        <v>495</v>
      </c>
      <c r="N180" s="6">
        <v>645.0</v>
      </c>
      <c r="O180" s="6">
        <v>749.99</v>
      </c>
      <c r="P180" s="1" t="s">
        <v>133</v>
      </c>
      <c r="Q180" s="1" t="s">
        <v>54</v>
      </c>
      <c r="R180" s="7"/>
      <c r="S180" s="1" t="s">
        <v>134</v>
      </c>
      <c r="T180" s="1" t="s">
        <v>470</v>
      </c>
      <c r="U180" s="1" t="s">
        <v>41</v>
      </c>
      <c r="V180" s="1" t="s">
        <v>36</v>
      </c>
      <c r="W180" s="1" t="s">
        <v>76</v>
      </c>
      <c r="X180" s="1" t="s">
        <v>42</v>
      </c>
      <c r="Y180" s="1" t="s">
        <v>36</v>
      </c>
      <c r="Z180" s="1" t="s">
        <v>77</v>
      </c>
      <c r="AA180" s="8" t="str">
        <f>IFERROR(VLOOKUP(A180,Sheet3!B:H,6,false),VLOOKUP(J180,Sheet2!A:C,2,false))</f>
        <v>https://assets.roomstogo.com/product/tommy-bahama-make-waves-twin-mattress_50111067_image-item</v>
      </c>
      <c r="AB180" s="8" t="str">
        <f>IFERROR(VLOOKUP(A180,Sheet3!B:H,7,false),VLOOKUP(J180,Sheet2!A:C,3,false))</f>
        <v>https://assets.roomstogo.com/product/tommy-bahama-make-waves-twin-mattress_50111067_alt-image-1</v>
      </c>
      <c r="AC180" s="8" t="str">
        <f t="shared" si="2"/>
        <v>https://rtg-275.myshopify.com/products/MAKE-WAVES</v>
      </c>
      <c r="AD180" s="8" t="str">
        <f>vlookup(L180,'Python sheet'!$E$2:$F$373,2,0)</f>
        <v>https://rtg-275.myshopify.com/products/MAKE-WAVES?variant=47915107811466</v>
      </c>
    </row>
    <row r="181">
      <c r="A181" s="4">
        <v>5.0511077E7</v>
      </c>
      <c r="B181" s="5"/>
      <c r="C181" s="5"/>
      <c r="D181" s="5"/>
      <c r="E181" s="5"/>
      <c r="F181" s="5"/>
      <c r="G181" s="5"/>
      <c r="H181" s="5"/>
      <c r="I181" s="5"/>
      <c r="J181" s="1" t="s">
        <v>137</v>
      </c>
      <c r="K181" s="1" t="s">
        <v>991</v>
      </c>
      <c r="L181" s="1" t="str">
        <f t="shared" si="1"/>
        <v>SEASIDE-SERENITYQueen</v>
      </c>
      <c r="M181" s="1" t="s">
        <v>496</v>
      </c>
      <c r="N181" s="6">
        <v>745.0</v>
      </c>
      <c r="O181" s="6">
        <v>849.99</v>
      </c>
      <c r="P181" s="1" t="s">
        <v>133</v>
      </c>
      <c r="Q181" s="1" t="s">
        <v>54</v>
      </c>
      <c r="R181" s="7"/>
      <c r="S181" s="1" t="s">
        <v>134</v>
      </c>
      <c r="T181" s="1" t="s">
        <v>470</v>
      </c>
      <c r="U181" s="1" t="s">
        <v>59</v>
      </c>
      <c r="V181" s="1" t="s">
        <v>36</v>
      </c>
      <c r="W181" s="1" t="s">
        <v>35</v>
      </c>
      <c r="X181" s="1" t="s">
        <v>42</v>
      </c>
      <c r="Y181" s="1" t="s">
        <v>36</v>
      </c>
      <c r="Z181" s="1" t="s">
        <v>37</v>
      </c>
      <c r="AA181" s="8" t="str">
        <f>IFERROR(VLOOKUP(A181,Sheet3!B:H,6,false),VLOOKUP(J181,Sheet2!A:C,2,false))</f>
        <v>https://assets.roomstogo.com/product/tommy-bahama-seaside-serenity-twin-mattress_50111079_image-item</v>
      </c>
      <c r="AB181" s="8" t="str">
        <f>IFERROR(VLOOKUP(A181,Sheet3!B:H,7,false),VLOOKUP(J181,Sheet2!A:C,3,false))</f>
        <v>https://assets.roomstogo.com/product/tommy-bahama-seaside-serenity-twin-mattress_50111079_alt-image-1</v>
      </c>
      <c r="AC181" s="8" t="str">
        <f t="shared" si="2"/>
        <v>https://rtg-275.myshopify.com/products/SEASIDE-SERENITY</v>
      </c>
      <c r="AD181" s="8" t="str">
        <f>vlookup(L181,'Python sheet'!$E$2:$F$373,2,0)</f>
        <v>https://rtg-275.myshopify.com/products/SEASIDE-SERENITY?variant=47915107975306</v>
      </c>
    </row>
    <row r="182">
      <c r="A182" s="4">
        <v>5.0511344E7</v>
      </c>
      <c r="B182" s="9">
        <v>6.0</v>
      </c>
      <c r="C182" s="9">
        <v>4.0</v>
      </c>
      <c r="D182" s="2" t="s">
        <v>139</v>
      </c>
      <c r="E182" s="2" t="s">
        <v>44</v>
      </c>
      <c r="F182" s="2" t="s">
        <v>140</v>
      </c>
      <c r="G182" s="9">
        <v>10.0</v>
      </c>
      <c r="H182" s="9">
        <v>4.2</v>
      </c>
      <c r="I182" s="9">
        <v>4.0</v>
      </c>
      <c r="J182" s="1" t="s">
        <v>141</v>
      </c>
      <c r="K182" s="1" t="s">
        <v>141</v>
      </c>
      <c r="L182" s="1" t="str">
        <f t="shared" si="1"/>
        <v>FORESTERQueen</v>
      </c>
      <c r="M182" s="1" t="s">
        <v>497</v>
      </c>
      <c r="N182" s="6">
        <v>697.0</v>
      </c>
      <c r="O182" s="6">
        <v>899.99</v>
      </c>
      <c r="P182" s="1" t="s">
        <v>143</v>
      </c>
      <c r="Q182" s="1" t="s">
        <v>54</v>
      </c>
      <c r="R182" s="7"/>
      <c r="S182" s="1" t="s">
        <v>31</v>
      </c>
      <c r="T182" s="1" t="s">
        <v>470</v>
      </c>
      <c r="U182" s="1" t="s">
        <v>59</v>
      </c>
      <c r="V182" s="1" t="s">
        <v>36</v>
      </c>
      <c r="W182" s="1" t="s">
        <v>76</v>
      </c>
      <c r="X182" s="1" t="s">
        <v>34</v>
      </c>
      <c r="Y182" s="1" t="s">
        <v>36</v>
      </c>
      <c r="Z182" s="1" t="s">
        <v>144</v>
      </c>
      <c r="AA182" s="8" t="str">
        <f>IFERROR(VLOOKUP(A182,Sheet3!B:H,6,false),VLOOKUP(J182,Sheet2!A:C,2,false))</f>
        <v>https://assets.roomstogo.com/product/therapedic-forester-twin-xl-mattress_50011344_image-item</v>
      </c>
      <c r="AB182" s="8" t="str">
        <f>IFERROR(VLOOKUP(A182,Sheet3!B:H,7,false),VLOOKUP(J182,Sheet2!A:C,3,false))</f>
        <v>https://assets.roomstogo.com/product/therapedic-forester-twin-xl-mattress_50011344_alt-image-1</v>
      </c>
      <c r="AC182" s="8" t="str">
        <f t="shared" si="2"/>
        <v>https://rtg-275.myshopify.com/products/FORESTER</v>
      </c>
      <c r="AD182" s="8" t="str">
        <f>vlookup(L182,'Python sheet'!$E$2:$F$373,2,0)</f>
        <v>https://rtg-275.myshopify.com/products/FORESTER?variant=47915108171914</v>
      </c>
    </row>
    <row r="183">
      <c r="A183" s="4">
        <v>5.0511368E7</v>
      </c>
      <c r="B183" s="9">
        <v>13.0</v>
      </c>
      <c r="C183" s="9">
        <v>3.92</v>
      </c>
      <c r="D183" s="2" t="s">
        <v>332</v>
      </c>
      <c r="E183" s="2" t="s">
        <v>44</v>
      </c>
      <c r="F183" s="2" t="s">
        <v>333</v>
      </c>
      <c r="G183" s="9">
        <v>20.0</v>
      </c>
      <c r="H183" s="9">
        <v>4.3</v>
      </c>
      <c r="I183" s="9">
        <v>7.0</v>
      </c>
      <c r="J183" s="1" t="s">
        <v>145</v>
      </c>
      <c r="K183" s="1" t="s">
        <v>145</v>
      </c>
      <c r="L183" s="1" t="str">
        <f t="shared" si="1"/>
        <v>DARLINGTONQueen</v>
      </c>
      <c r="M183" s="1" t="s">
        <v>498</v>
      </c>
      <c r="N183" s="6">
        <v>597.0</v>
      </c>
      <c r="O183" s="6">
        <v>699.99</v>
      </c>
      <c r="P183" s="1" t="s">
        <v>143</v>
      </c>
      <c r="Q183" s="1" t="s">
        <v>54</v>
      </c>
      <c r="R183" s="7"/>
      <c r="S183" s="1" t="s">
        <v>31</v>
      </c>
      <c r="T183" s="1" t="s">
        <v>470</v>
      </c>
      <c r="U183" s="1" t="s">
        <v>59</v>
      </c>
      <c r="V183" s="1" t="s">
        <v>36</v>
      </c>
      <c r="W183" s="1" t="s">
        <v>35</v>
      </c>
      <c r="X183" s="1" t="s">
        <v>36</v>
      </c>
      <c r="Y183" s="1" t="s">
        <v>34</v>
      </c>
      <c r="Z183" s="1" t="s">
        <v>37</v>
      </c>
      <c r="AA183" s="8" t="str">
        <f>IFERROR(VLOOKUP(A183,Sheet3!B:H,6,false),VLOOKUP(J183,Sheet2!A:C,2,false))</f>
        <v>https://assets.roomstogo.com/product/therapedic-darlington-twin-xl-mattress_50011368_image-item</v>
      </c>
      <c r="AB183" s="8" t="str">
        <f>IFERROR(VLOOKUP(A183,Sheet3!B:H,7,false),VLOOKUP(J183,Sheet2!A:C,3,false))</f>
        <v>https://assets.roomstogo.com/product/therapedic-darlington-twin-xl-mattress_50011368_alt-image-1</v>
      </c>
      <c r="AC183" s="8" t="str">
        <f t="shared" si="2"/>
        <v>https://rtg-275.myshopify.com/products/DARLINGTON</v>
      </c>
      <c r="AD183" s="8" t="str">
        <f>vlookup(L183,'Python sheet'!$E$2:$F$373,2,0)</f>
        <v>https://rtg-275.myshopify.com/products/DARLINGTON?variant=47915108401290</v>
      </c>
    </row>
    <row r="184">
      <c r="A184" s="4">
        <v>5.0511382E7</v>
      </c>
      <c r="B184" s="5"/>
      <c r="C184" s="5"/>
      <c r="D184" s="5"/>
      <c r="E184" s="5"/>
      <c r="F184" s="5"/>
      <c r="G184" s="5"/>
      <c r="H184" s="5"/>
      <c r="I184" s="5"/>
      <c r="J184" s="1" t="s">
        <v>147</v>
      </c>
      <c r="K184" s="1" t="s">
        <v>147</v>
      </c>
      <c r="L184" s="1" t="str">
        <f t="shared" si="1"/>
        <v>HASTINGSQueen</v>
      </c>
      <c r="M184" s="1" t="s">
        <v>499</v>
      </c>
      <c r="N184" s="6">
        <v>777.0</v>
      </c>
      <c r="O184" s="6">
        <v>1099.99</v>
      </c>
      <c r="P184" s="1" t="s">
        <v>149</v>
      </c>
      <c r="Q184" s="1" t="s">
        <v>54</v>
      </c>
      <c r="R184" s="7"/>
      <c r="S184" s="7"/>
      <c r="T184" s="1" t="s">
        <v>470</v>
      </c>
      <c r="U184" s="1" t="s">
        <v>41</v>
      </c>
      <c r="V184" s="1" t="s">
        <v>36</v>
      </c>
      <c r="W184" s="1" t="s">
        <v>49</v>
      </c>
      <c r="X184" s="1" t="s">
        <v>34</v>
      </c>
      <c r="Y184" s="1" t="s">
        <v>34</v>
      </c>
      <c r="Z184" s="1" t="s">
        <v>51</v>
      </c>
      <c r="AA184" s="8" t="str">
        <f>IFERROR(VLOOKUP(A184,Sheet3!B:H,6,false),VLOOKUP(J184,Sheet2!A:C,2,false))</f>
        <v>https://assets.roomstogo.com/product/therapedic-hastings-twin-xl-mattress_50011382_image-item</v>
      </c>
      <c r="AB184" s="8" t="str">
        <f>IFERROR(VLOOKUP(A184,Sheet3!B:H,7,false),VLOOKUP(J184,Sheet2!A:C,3,false))</f>
        <v>https://assets.roomstogo.com/product/therapedic-hastings-twin-xl-mattress_50011382_alt-image-1</v>
      </c>
      <c r="AC184" s="8" t="str">
        <f t="shared" si="2"/>
        <v>https://rtg-275.myshopify.com/products/HASTINGS</v>
      </c>
      <c r="AD184" s="8" t="str">
        <f>vlookup(L184,'Python sheet'!$E$2:$F$373,2,0)</f>
        <v>https://rtg-275.myshopify.com/products/HASTINGS?variant=47915108565130</v>
      </c>
    </row>
    <row r="185">
      <c r="A185" s="4">
        <v>5.0511457E7</v>
      </c>
      <c r="B185" s="9">
        <v>4.0</v>
      </c>
      <c r="C185" s="9">
        <v>4.75</v>
      </c>
      <c r="D185" s="2" t="s">
        <v>500</v>
      </c>
      <c r="E185" s="2" t="s">
        <v>44</v>
      </c>
      <c r="F185" s="2" t="s">
        <v>501</v>
      </c>
      <c r="G185" s="9">
        <v>9.0</v>
      </c>
      <c r="H185" s="9">
        <v>4.33</v>
      </c>
      <c r="I185" s="9">
        <v>5.0</v>
      </c>
      <c r="J185" s="1" t="s">
        <v>150</v>
      </c>
      <c r="K185" s="1" t="s">
        <v>150</v>
      </c>
      <c r="L185" s="1" t="str">
        <f t="shared" si="1"/>
        <v>KAANAPALIQueen</v>
      </c>
      <c r="M185" s="1" t="s">
        <v>502</v>
      </c>
      <c r="N185" s="6">
        <v>1499.99</v>
      </c>
      <c r="O185" s="6">
        <v>1499.99</v>
      </c>
      <c r="P185" s="1" t="s">
        <v>149</v>
      </c>
      <c r="Q185" s="1" t="s">
        <v>54</v>
      </c>
      <c r="R185" s="7"/>
      <c r="S185" s="1" t="s">
        <v>31</v>
      </c>
      <c r="T185" s="1" t="s">
        <v>470</v>
      </c>
      <c r="U185" s="1" t="s">
        <v>41</v>
      </c>
      <c r="V185" s="1" t="s">
        <v>34</v>
      </c>
      <c r="W185" s="1" t="s">
        <v>76</v>
      </c>
      <c r="X185" s="1" t="s">
        <v>42</v>
      </c>
      <c r="Y185" s="1" t="s">
        <v>34</v>
      </c>
      <c r="Z185" s="1" t="s">
        <v>77</v>
      </c>
      <c r="AA185" s="8" t="str">
        <f>IFERROR(VLOOKUP(A185,Sheet3!B:H,6,false),VLOOKUP(J185,Sheet2!A:C,2,false))</f>
        <v>https://assets.roomstogo.com/product/therapedic-kaanapali-twin-xl-mattress_50011457_image-item</v>
      </c>
      <c r="AB185" s="8" t="str">
        <f>IFERROR(VLOOKUP(A185,Sheet3!B:H,7,false),VLOOKUP(J185,Sheet2!A:C,3,false))</f>
        <v>https://assets.roomstogo.com/product/therapedic-kaanapali-twin-xl-mattress_50011457_alt-image-1</v>
      </c>
      <c r="AC185" s="8" t="str">
        <f t="shared" si="2"/>
        <v>https://rtg-275.myshopify.com/products/KAANAPALI</v>
      </c>
      <c r="AD185" s="8" t="str">
        <f>vlookup(L185,'Python sheet'!$E$2:$F$373,2,0)</f>
        <v>https://rtg-275.myshopify.com/products/KAANAPALI?variant=47915108663434</v>
      </c>
    </row>
    <row r="186">
      <c r="A186" s="4">
        <v>5.0511495E7</v>
      </c>
      <c r="B186" s="9">
        <v>7.0</v>
      </c>
      <c r="C186" s="9">
        <v>3.57</v>
      </c>
      <c r="D186" s="2" t="s">
        <v>152</v>
      </c>
      <c r="E186" s="2" t="s">
        <v>44</v>
      </c>
      <c r="F186" s="2" t="s">
        <v>153</v>
      </c>
      <c r="G186" s="9">
        <v>13.0</v>
      </c>
      <c r="H186" s="9">
        <v>3.92</v>
      </c>
      <c r="I186" s="9">
        <v>6.0</v>
      </c>
      <c r="J186" s="1" t="s">
        <v>154</v>
      </c>
      <c r="K186" s="1" t="s">
        <v>154</v>
      </c>
      <c r="L186" s="1" t="str">
        <f t="shared" si="1"/>
        <v>LEDOQueen</v>
      </c>
      <c r="M186" s="1" t="s">
        <v>503</v>
      </c>
      <c r="N186" s="6">
        <v>1799.99</v>
      </c>
      <c r="O186" s="6">
        <v>1799.99</v>
      </c>
      <c r="P186" s="1" t="s">
        <v>149</v>
      </c>
      <c r="Q186" s="1" t="s">
        <v>54</v>
      </c>
      <c r="R186" s="7"/>
      <c r="S186" s="1" t="s">
        <v>31</v>
      </c>
      <c r="T186" s="1" t="s">
        <v>470</v>
      </c>
      <c r="U186" s="1" t="s">
        <v>41</v>
      </c>
      <c r="V186" s="1" t="s">
        <v>42</v>
      </c>
      <c r="W186" s="1" t="s">
        <v>35</v>
      </c>
      <c r="X186" s="1" t="s">
        <v>42</v>
      </c>
      <c r="Y186" s="1" t="s">
        <v>34</v>
      </c>
      <c r="Z186" s="1" t="s">
        <v>37</v>
      </c>
      <c r="AA186" s="8" t="str">
        <f>IFERROR(VLOOKUP(A186,Sheet3!B:H,6,false),VLOOKUP(J186,Sheet2!A:C,2,false))</f>
        <v>https://assets.roomstogo.com/product/therapedic-ledo-twin-xl-mattress_50011495_image-item</v>
      </c>
      <c r="AB186" s="8" t="str">
        <f>IFERROR(VLOOKUP(A186,Sheet3!B:H,7,false),VLOOKUP(J186,Sheet2!A:C,3,false))</f>
        <v>https://assets.roomstogo.com/product/therapedic-ledo-twin-xl-mattress_50011495_alt-image-1</v>
      </c>
      <c r="AC186" s="8" t="str">
        <f t="shared" si="2"/>
        <v>https://rtg-275.myshopify.com/products/LEDO</v>
      </c>
      <c r="AD186" s="8" t="str">
        <f>vlookup(L186,'Python sheet'!$E$2:$F$373,2,0)</f>
        <v>https://rtg-275.myshopify.com/products/LEDO?variant=47915108761738</v>
      </c>
    </row>
    <row r="187">
      <c r="A187" s="4">
        <v>5.0520862E7</v>
      </c>
      <c r="B187" s="9">
        <v>6.0</v>
      </c>
      <c r="C187" s="9">
        <v>3.5</v>
      </c>
      <c r="D187" s="2" t="s">
        <v>504</v>
      </c>
      <c r="E187" s="2" t="s">
        <v>44</v>
      </c>
      <c r="F187" s="2" t="s">
        <v>505</v>
      </c>
      <c r="G187" s="9">
        <v>9.0</v>
      </c>
      <c r="H187" s="9">
        <v>4.0</v>
      </c>
      <c r="I187" s="9">
        <v>3.0</v>
      </c>
      <c r="J187" s="1" t="s">
        <v>156</v>
      </c>
      <c r="K187" s="1" t="s">
        <v>156</v>
      </c>
      <c r="L187" s="1" t="str">
        <f t="shared" si="1"/>
        <v>CAPERTEEQueen</v>
      </c>
      <c r="M187" s="1" t="s">
        <v>506</v>
      </c>
      <c r="N187" s="6">
        <v>997.0</v>
      </c>
      <c r="O187" s="6">
        <v>1299.99</v>
      </c>
      <c r="P187" s="1" t="s">
        <v>158</v>
      </c>
      <c r="Q187" s="1" t="s">
        <v>54</v>
      </c>
      <c r="R187" s="7"/>
      <c r="S187" s="1" t="s">
        <v>31</v>
      </c>
      <c r="T187" s="1" t="s">
        <v>470</v>
      </c>
      <c r="U187" s="1" t="s">
        <v>59</v>
      </c>
      <c r="V187" s="1" t="s">
        <v>34</v>
      </c>
      <c r="W187" s="1" t="s">
        <v>35</v>
      </c>
      <c r="X187" s="1" t="s">
        <v>34</v>
      </c>
      <c r="Y187" s="1" t="s">
        <v>34</v>
      </c>
      <c r="Z187" s="1" t="s">
        <v>37</v>
      </c>
      <c r="AA187" s="8" t="str">
        <f>IFERROR(VLOOKUP(A187,Sheet3!B:H,6,false),VLOOKUP(J187,Sheet2!A:C,2,false))</f>
        <v>https://assets.roomstogo.com/product/drew-jonathan-capertee-twin-xl-mattress_50020862_image-item</v>
      </c>
      <c r="AB187" s="8" t="str">
        <f>IFERROR(VLOOKUP(A187,Sheet3!B:H,7,false),VLOOKUP(J187,Sheet2!A:C,3,false))</f>
        <v>https://assets.roomstogo.com/product/drew-jonathan-capertee-twin-xl-mattress_50020862_alt-image-1</v>
      </c>
      <c r="AC187" s="8" t="str">
        <f t="shared" si="2"/>
        <v>https://rtg-275.myshopify.com/products/CAPERTEE</v>
      </c>
      <c r="AD187" s="8" t="str">
        <f>vlookup(L187,'Python sheet'!$E$2:$F$373,2,0)</f>
        <v>https://rtg-275.myshopify.com/products/CAPERTEE?variant=47915108860042</v>
      </c>
    </row>
    <row r="188">
      <c r="A188" s="4">
        <v>5.0520925E7</v>
      </c>
      <c r="B188" s="9">
        <v>2.0</v>
      </c>
      <c r="C188" s="9">
        <v>3.0</v>
      </c>
      <c r="D188" s="2" t="s">
        <v>507</v>
      </c>
      <c r="E188" s="2" t="s">
        <v>44</v>
      </c>
      <c r="F188" s="2" t="s">
        <v>508</v>
      </c>
      <c r="G188" s="9">
        <v>2.0</v>
      </c>
      <c r="H188" s="9">
        <v>3.0</v>
      </c>
      <c r="I188" s="9">
        <v>0.0</v>
      </c>
      <c r="J188" s="1" t="s">
        <v>159</v>
      </c>
      <c r="K188" s="1" t="s">
        <v>992</v>
      </c>
      <c r="L188" s="1" t="str">
        <f t="shared" si="1"/>
        <v>ARADA-CANYONQueen</v>
      </c>
      <c r="M188" s="1" t="s">
        <v>509</v>
      </c>
      <c r="N188" s="6">
        <v>1497.0</v>
      </c>
      <c r="O188" s="6">
        <v>1799.99</v>
      </c>
      <c r="P188" s="1" t="s">
        <v>158</v>
      </c>
      <c r="Q188" s="1" t="s">
        <v>54</v>
      </c>
      <c r="R188" s="7"/>
      <c r="S188" s="1" t="s">
        <v>31</v>
      </c>
      <c r="T188" s="1" t="s">
        <v>470</v>
      </c>
      <c r="U188" s="1" t="s">
        <v>59</v>
      </c>
      <c r="V188" s="1" t="s">
        <v>42</v>
      </c>
      <c r="W188" s="1" t="s">
        <v>49</v>
      </c>
      <c r="X188" s="1" t="s">
        <v>34</v>
      </c>
      <c r="Y188" s="1" t="s">
        <v>34</v>
      </c>
      <c r="Z188" s="1" t="s">
        <v>51</v>
      </c>
      <c r="AA188" s="8" t="str">
        <f>IFERROR(VLOOKUP(A188,Sheet3!B:H,6,false),VLOOKUP(J188,Sheet2!A:C,2,false))</f>
        <v>https://assets.roomstogo.com/product/drew-jonathan-arada-canyon-twin-xl-mattress_50020925_image-item</v>
      </c>
      <c r="AB188" s="8" t="str">
        <f>IFERROR(VLOOKUP(A188,Sheet3!B:H,7,false),VLOOKUP(J188,Sheet2!A:C,3,false))</f>
        <v>https://assets.roomstogo.com/product/drew-jonathan-arada-canyon-twin-xl-mattress_50020925_alt-image-1</v>
      </c>
      <c r="AC188" s="8" t="str">
        <f t="shared" si="2"/>
        <v>https://rtg-275.myshopify.com/products/ARADA-CANYON</v>
      </c>
      <c r="AD188" s="8" t="str">
        <f>vlookup(L188,'Python sheet'!$E$2:$F$373,2,0)</f>
        <v>https://rtg-275.myshopify.com/products/ARADA-CANYON?variant=47915108958346</v>
      </c>
    </row>
    <row r="189">
      <c r="A189" s="4">
        <v>5.052221E7</v>
      </c>
      <c r="B189" s="9">
        <v>20.0</v>
      </c>
      <c r="C189" s="9">
        <v>4.6</v>
      </c>
      <c r="D189" s="2" t="s">
        <v>161</v>
      </c>
      <c r="E189" s="2" t="s">
        <v>44</v>
      </c>
      <c r="F189" s="2" t="s">
        <v>162</v>
      </c>
      <c r="G189" s="9">
        <v>28.0</v>
      </c>
      <c r="H189" s="9">
        <v>4.71</v>
      </c>
      <c r="I189" s="9">
        <v>8.0</v>
      </c>
      <c r="J189" s="1" t="s">
        <v>163</v>
      </c>
      <c r="K189" s="1" t="s">
        <v>993</v>
      </c>
      <c r="L189" s="1" t="str">
        <f t="shared" si="1"/>
        <v>OCEANA-MISTQueen</v>
      </c>
      <c r="M189" s="1" t="s">
        <v>510</v>
      </c>
      <c r="N189" s="6">
        <v>397.0</v>
      </c>
      <c r="O189" s="6">
        <v>699.99</v>
      </c>
      <c r="P189" s="1" t="s">
        <v>165</v>
      </c>
      <c r="Q189" s="1" t="s">
        <v>54</v>
      </c>
      <c r="R189" s="1" t="s">
        <v>166</v>
      </c>
      <c r="S189" s="1" t="s">
        <v>31</v>
      </c>
      <c r="T189" s="1" t="s">
        <v>470</v>
      </c>
      <c r="U189" s="1" t="s">
        <v>41</v>
      </c>
      <c r="V189" s="1" t="s">
        <v>36</v>
      </c>
      <c r="W189" s="1" t="s">
        <v>35</v>
      </c>
      <c r="X189" s="1" t="s">
        <v>34</v>
      </c>
      <c r="Y189" s="1" t="s">
        <v>36</v>
      </c>
      <c r="Z189" s="1" t="s">
        <v>37</v>
      </c>
      <c r="AA189" s="8" t="str">
        <f>IFERROR(VLOOKUP(A189,Sheet3!B:H,6,false),VLOOKUP(J189,Sheet2!A:C,2,false))</f>
        <v>https://assets.roomstogo.com/product/beauty-sleep-oceana-mist-medium-hybrid-twin-xl-mattress_50022210_image-item</v>
      </c>
      <c r="AB189" s="8" t="str">
        <f>IFERROR(VLOOKUP(A189,Sheet3!B:H,7,false),VLOOKUP(J189,Sheet2!A:C,3,false))</f>
        <v>https://assets.roomstogo.com/product/beauty-sleep-oceana-mist-medium-hybrid-twin-xl-mattress_50022210_alt-image-8</v>
      </c>
      <c r="AC189" s="8" t="str">
        <f t="shared" si="2"/>
        <v>https://rtg-275.myshopify.com/products/OCEANA-MIST</v>
      </c>
      <c r="AD189" s="8" t="str">
        <f>vlookup(L189,'Python sheet'!$E$2:$F$373,2,0)</f>
        <v>https://rtg-275.myshopify.com/products/OCEANA-MIST?variant=47915109122186</v>
      </c>
    </row>
    <row r="190">
      <c r="A190" s="4">
        <v>5.0525747E7</v>
      </c>
      <c r="B190" s="9">
        <v>6.0</v>
      </c>
      <c r="C190" s="9">
        <v>4.83</v>
      </c>
      <c r="D190" s="2" t="s">
        <v>167</v>
      </c>
      <c r="E190" s="2" t="s">
        <v>44</v>
      </c>
      <c r="F190" s="2" t="s">
        <v>168</v>
      </c>
      <c r="G190" s="9">
        <v>13.0</v>
      </c>
      <c r="H190" s="9">
        <v>4.08</v>
      </c>
      <c r="I190" s="9">
        <v>7.0</v>
      </c>
      <c r="J190" s="1" t="s">
        <v>169</v>
      </c>
      <c r="K190" s="1" t="s">
        <v>994</v>
      </c>
      <c r="L190" s="1" t="str">
        <f t="shared" si="1"/>
        <v>LEVEL-THREE-PLUSHQueen</v>
      </c>
      <c r="M190" s="1" t="s">
        <v>511</v>
      </c>
      <c r="N190" s="6">
        <v>1399.0</v>
      </c>
      <c r="O190" s="6">
        <v>1399.0</v>
      </c>
      <c r="P190" s="1" t="s">
        <v>171</v>
      </c>
      <c r="Q190" s="7"/>
      <c r="R190" s="1" t="s">
        <v>172</v>
      </c>
      <c r="S190" s="1" t="s">
        <v>31</v>
      </c>
      <c r="T190" s="1" t="s">
        <v>470</v>
      </c>
      <c r="U190" s="1" t="s">
        <v>59</v>
      </c>
      <c r="V190" s="1" t="s">
        <v>42</v>
      </c>
      <c r="W190" s="1" t="s">
        <v>49</v>
      </c>
      <c r="X190" s="1" t="s">
        <v>42</v>
      </c>
      <c r="Y190" s="1" t="s">
        <v>42</v>
      </c>
      <c r="Z190" s="1" t="s">
        <v>51</v>
      </c>
      <c r="AA190" s="8" t="str">
        <f>IFERROR(VLOOKUP(A190,Sheet3!B:H,6,false),VLOOKUP(J190,Sheet2!A:C,2,false))</f>
        <v>https://assets.roomstogo.com/product/beautyrest-world-class-level-three-plush-twin-xl-mattress_50025747_image-item</v>
      </c>
      <c r="AB190" s="8" t="str">
        <f>IFERROR(VLOOKUP(A190,Sheet3!B:H,7,false),VLOOKUP(J190,Sheet2!A:C,3,false))</f>
        <v>https://assets.roomstogo.com/product/beautyrest-world-class-level-three-plush-twin-xl-mattress_50025747_alt-image-13</v>
      </c>
      <c r="AC190" s="8" t="str">
        <f t="shared" si="2"/>
        <v>https://rtg-275.myshopify.com/products/LEVEL-THREE-PLUSH</v>
      </c>
      <c r="AD190" s="8" t="str">
        <f>vlookup(L190,'Python sheet'!$E$2:$F$373,2,0)</f>
        <v>https://rtg-275.myshopify.com/products/LEVEL-THREE-PLUSH?variant=47915109318794</v>
      </c>
    </row>
    <row r="191">
      <c r="A191" s="4">
        <v>5.0525759E7</v>
      </c>
      <c r="B191" s="9">
        <v>6.0</v>
      </c>
      <c r="C191" s="9">
        <v>4.17</v>
      </c>
      <c r="D191" s="2" t="s">
        <v>512</v>
      </c>
      <c r="E191" s="2" t="s">
        <v>44</v>
      </c>
      <c r="F191" s="2" t="s">
        <v>513</v>
      </c>
      <c r="G191" s="9">
        <v>14.0</v>
      </c>
      <c r="H191" s="9">
        <v>3.71</v>
      </c>
      <c r="I191" s="9">
        <v>8.0</v>
      </c>
      <c r="J191" s="1" t="s">
        <v>173</v>
      </c>
      <c r="K191" s="1" t="s">
        <v>995</v>
      </c>
      <c r="L191" s="1" t="str">
        <f t="shared" si="1"/>
        <v>LEVEL-THREE-MEDIUM-PILLOWTOPQueen</v>
      </c>
      <c r="M191" s="1" t="s">
        <v>514</v>
      </c>
      <c r="N191" s="6">
        <v>1599.0</v>
      </c>
      <c r="O191" s="6">
        <v>1599.0</v>
      </c>
      <c r="P191" s="1" t="s">
        <v>171</v>
      </c>
      <c r="Q191" s="7"/>
      <c r="R191" s="1" t="s">
        <v>175</v>
      </c>
      <c r="S191" s="1" t="s">
        <v>31</v>
      </c>
      <c r="T191" s="1" t="s">
        <v>470</v>
      </c>
      <c r="U191" s="1" t="s">
        <v>59</v>
      </c>
      <c r="V191" s="1" t="s">
        <v>42</v>
      </c>
      <c r="W191" s="1" t="s">
        <v>35</v>
      </c>
      <c r="X191" s="1" t="s">
        <v>42</v>
      </c>
      <c r="Y191" s="1" t="s">
        <v>42</v>
      </c>
      <c r="Z191" s="1" t="s">
        <v>37</v>
      </c>
      <c r="AA191" s="8" t="str">
        <f>IFERROR(VLOOKUP(A191,Sheet3!B:H,6,false),VLOOKUP(J191,Sheet2!A:C,2,false))</f>
        <v>https://assets.roomstogo.com/product/beautyrest-world-class-level-three-medium-pillow-top-twin-xl-mattress_50025759_image-item</v>
      </c>
      <c r="AB191" s="8" t="str">
        <f>IFERROR(VLOOKUP(A191,Sheet3!B:H,7,false),VLOOKUP(J191,Sheet2!A:C,3,false))</f>
        <v>https://assets.roomstogo.com/product/beautyrest-world-class-level-three-medium-pillow-top-twin-xl-mattress_50025759_alt-image-13</v>
      </c>
      <c r="AC191" s="8" t="str">
        <f t="shared" si="2"/>
        <v>https://rtg-275.myshopify.com/products/LEVEL-THREE-MEDIUM-PILLOWTOP</v>
      </c>
      <c r="AD191" s="8" t="str">
        <f>vlookup(L191,'Python sheet'!$E$2:$F$373,2,0)</f>
        <v>https://rtg-275.myshopify.com/products/LEVEL-THREE-MEDIUM-PILLOWTOP?variant=47915109515402</v>
      </c>
    </row>
    <row r="192">
      <c r="A192" s="4">
        <v>5.05258E7</v>
      </c>
      <c r="B192" s="9">
        <v>1.0</v>
      </c>
      <c r="C192" s="9">
        <v>5.0</v>
      </c>
      <c r="D192" s="2" t="s">
        <v>515</v>
      </c>
      <c r="E192" s="2" t="s">
        <v>44</v>
      </c>
      <c r="F192" s="2" t="s">
        <v>516</v>
      </c>
      <c r="G192" s="9">
        <v>1.0</v>
      </c>
      <c r="H192" s="9">
        <v>5.0</v>
      </c>
      <c r="I192" s="9">
        <v>0.0</v>
      </c>
      <c r="J192" s="1" t="s">
        <v>176</v>
      </c>
      <c r="K192" s="1" t="s">
        <v>996</v>
      </c>
      <c r="L192" s="1" t="str">
        <f t="shared" si="1"/>
        <v>LEVEL-FOUR-PLUSH-PILLOWTOPQueen</v>
      </c>
      <c r="M192" s="1" t="s">
        <v>517</v>
      </c>
      <c r="N192" s="6">
        <v>1899.0</v>
      </c>
      <c r="O192" s="6">
        <v>1899.0</v>
      </c>
      <c r="P192" s="1" t="s">
        <v>171</v>
      </c>
      <c r="Q192" s="7"/>
      <c r="R192" s="1" t="s">
        <v>178</v>
      </c>
      <c r="S192" s="1" t="s">
        <v>31</v>
      </c>
      <c r="T192" s="1" t="s">
        <v>470</v>
      </c>
      <c r="U192" s="1" t="s">
        <v>59</v>
      </c>
      <c r="V192" s="1" t="s">
        <v>50</v>
      </c>
      <c r="W192" s="1" t="s">
        <v>49</v>
      </c>
      <c r="X192" s="1" t="s">
        <v>42</v>
      </c>
      <c r="Y192" s="1" t="s">
        <v>42</v>
      </c>
      <c r="Z192" s="1" t="s">
        <v>51</v>
      </c>
      <c r="AA192" s="8" t="str">
        <f>IFERROR(VLOOKUP(A192,Sheet3!B:H,6,false),VLOOKUP(J192,Sheet2!A:C,2,false))</f>
        <v>https://assets.roomstogo.com/product/beautyrest-world-class-level-four-plush-pillow-top-twin-xl-mattress_50025800_image-item</v>
      </c>
      <c r="AB192" s="8" t="str">
        <f>IFERROR(VLOOKUP(A192,Sheet3!B:H,7,false),VLOOKUP(J192,Sheet2!A:C,3,false))</f>
        <v>https://assets.roomstogo.com/product/beautyrest-world-class-level-four-plush-pillow-top-twin-xl-mattress_50025800_alt-image-13</v>
      </c>
      <c r="AC192" s="8" t="str">
        <f t="shared" si="2"/>
        <v>https://rtg-275.myshopify.com/products/LEVEL-FOUR-PLUSH-PILLOWTOP</v>
      </c>
      <c r="AD192" s="8" t="str">
        <f>vlookup(L192,'Python sheet'!$E$2:$F$373,2,0)</f>
        <v>https://rtg-275.myshopify.com/products/LEVEL-FOUR-PLUSH-PILLOWTOP?variant=47915109712010</v>
      </c>
    </row>
    <row r="193">
      <c r="A193" s="4">
        <v>5.0528957E7</v>
      </c>
      <c r="B193" s="9">
        <v>2.0</v>
      </c>
      <c r="C193" s="9">
        <v>5.0</v>
      </c>
      <c r="D193" s="2" t="s">
        <v>518</v>
      </c>
      <c r="E193" s="2" t="s">
        <v>44</v>
      </c>
      <c r="F193" s="2" t="s">
        <v>519</v>
      </c>
      <c r="G193" s="9">
        <v>3.0</v>
      </c>
      <c r="H193" s="9">
        <v>5.0</v>
      </c>
      <c r="I193" s="9">
        <v>1.0</v>
      </c>
      <c r="J193" s="1" t="s">
        <v>179</v>
      </c>
      <c r="K193" s="1" t="s">
        <v>997</v>
      </c>
      <c r="L193" s="1" t="str">
        <f t="shared" si="1"/>
        <v>KERRY-PARKQueen</v>
      </c>
      <c r="M193" s="1" t="s">
        <v>520</v>
      </c>
      <c r="N193" s="6">
        <v>897.0</v>
      </c>
      <c r="O193" s="6">
        <v>1499.0</v>
      </c>
      <c r="P193" s="1" t="s">
        <v>181</v>
      </c>
      <c r="Q193" s="1" t="s">
        <v>54</v>
      </c>
      <c r="R193" s="7"/>
      <c r="S193" s="1" t="s">
        <v>31</v>
      </c>
      <c r="T193" s="1" t="s">
        <v>470</v>
      </c>
      <c r="U193" s="1" t="s">
        <v>59</v>
      </c>
      <c r="V193" s="1" t="s">
        <v>42</v>
      </c>
      <c r="W193" s="1" t="s">
        <v>49</v>
      </c>
      <c r="X193" s="1" t="s">
        <v>34</v>
      </c>
      <c r="Y193" s="1" t="s">
        <v>34</v>
      </c>
      <c r="Z193" s="1" t="s">
        <v>182</v>
      </c>
      <c r="AA193" s="8" t="str">
        <f>IFERROR(VLOOKUP(A193,Sheet3!B:H,6,false),VLOOKUP(J193,Sheet2!A:C,2,false))</f>
        <v>https://assets.roomstogo.com/product/sealy-correct-comfort-kerry-park-twin-xl-mattress_50028957_image-item</v>
      </c>
      <c r="AB193" s="8" t="str">
        <f>IFERROR(VLOOKUP(A193,Sheet3!B:H,7,false),VLOOKUP(J193,Sheet2!A:C,3,false))</f>
        <v>https://assets.roomstogo.com/product/sealy-correct-comfort-kerry-park-twin-xl-mattress_50028957_alt-image-1</v>
      </c>
      <c r="AC193" s="8" t="str">
        <f t="shared" si="2"/>
        <v>https://rtg-275.myshopify.com/products/KERRY-PARK</v>
      </c>
      <c r="AD193" s="8" t="str">
        <f>vlookup(L193,'Python sheet'!$E$2:$F$373,2,0)</f>
        <v>https://rtg-275.myshopify.com/products/KERRY-PARK?variant=47915109941386</v>
      </c>
    </row>
    <row r="194">
      <c r="A194" s="4">
        <v>5.0528969E7</v>
      </c>
      <c r="B194" s="9">
        <v>5.0</v>
      </c>
      <c r="C194" s="9">
        <v>4.6</v>
      </c>
      <c r="D194" s="2" t="s">
        <v>183</v>
      </c>
      <c r="E194" s="2" t="s">
        <v>44</v>
      </c>
      <c r="F194" s="2" t="s">
        <v>184</v>
      </c>
      <c r="G194" s="9">
        <v>12.0</v>
      </c>
      <c r="H194" s="9">
        <v>4.83</v>
      </c>
      <c r="I194" s="9">
        <v>7.0</v>
      </c>
      <c r="J194" s="1" t="s">
        <v>185</v>
      </c>
      <c r="K194" s="1" t="s">
        <v>998</v>
      </c>
      <c r="L194" s="1" t="str">
        <f t="shared" si="1"/>
        <v>BRADFORD-HILLQueen</v>
      </c>
      <c r="M194" s="1" t="s">
        <v>521</v>
      </c>
      <c r="N194" s="6">
        <v>695.0</v>
      </c>
      <c r="O194" s="6">
        <v>799.0</v>
      </c>
      <c r="P194" s="1" t="s">
        <v>181</v>
      </c>
      <c r="Q194" s="1" t="s">
        <v>54</v>
      </c>
      <c r="R194" s="7"/>
      <c r="S194" s="1" t="s">
        <v>31</v>
      </c>
      <c r="T194" s="1" t="s">
        <v>470</v>
      </c>
      <c r="U194" s="1" t="s">
        <v>33</v>
      </c>
      <c r="V194" s="1" t="s">
        <v>34</v>
      </c>
      <c r="W194" s="1" t="s">
        <v>35</v>
      </c>
      <c r="X194" s="1" t="s">
        <v>34</v>
      </c>
      <c r="Y194" s="1" t="s">
        <v>36</v>
      </c>
      <c r="Z194" s="1" t="s">
        <v>37</v>
      </c>
      <c r="AA194" s="8" t="str">
        <f>IFERROR(VLOOKUP(A194,Sheet3!B:H,6,false),VLOOKUP(J194,Sheet2!A:C,2,false))</f>
        <v>https://assets.roomstogo.com/product/sealy-correct-comfort-bradford-hill-twin-xl-mattress_50028969_image-item</v>
      </c>
      <c r="AB194" s="8" t="str">
        <f>IFERROR(VLOOKUP(A194,Sheet3!B:H,7,false),VLOOKUP(J194,Sheet2!A:C,3,false))</f>
        <v>https://assets.roomstogo.com/product/sealy-correct-comfort-bradford-hill-twin-xl-mattress_50028969_alt-image-1</v>
      </c>
      <c r="AC194" s="8" t="str">
        <f t="shared" si="2"/>
        <v>https://rtg-275.myshopify.com/products/BRADFORD-HILL</v>
      </c>
      <c r="AD194" s="8" t="str">
        <f>vlookup(L194,'Python sheet'!$E$2:$F$373,2,0)</f>
        <v>https://rtg-275.myshopify.com/products/BRADFORD-HILL?variant=47915110137994</v>
      </c>
    </row>
    <row r="195">
      <c r="A195" s="4">
        <v>5.0528971E7</v>
      </c>
      <c r="B195" s="9">
        <v>1.0</v>
      </c>
      <c r="C195" s="9">
        <v>5.0</v>
      </c>
      <c r="D195" s="2" t="s">
        <v>522</v>
      </c>
      <c r="E195" s="2" t="s">
        <v>44</v>
      </c>
      <c r="F195" s="2" t="s">
        <v>523</v>
      </c>
      <c r="G195" s="9">
        <v>1.0</v>
      </c>
      <c r="H195" s="9">
        <v>5.0</v>
      </c>
      <c r="I195" s="9">
        <v>0.0</v>
      </c>
      <c r="J195" s="1" t="s">
        <v>187</v>
      </c>
      <c r="K195" s="1" t="s">
        <v>187</v>
      </c>
      <c r="L195" s="1" t="str">
        <f t="shared" si="1"/>
        <v>NORTHGATEQueen</v>
      </c>
      <c r="M195" s="1" t="s">
        <v>524</v>
      </c>
      <c r="N195" s="6">
        <v>997.0</v>
      </c>
      <c r="O195" s="6">
        <v>1799.0</v>
      </c>
      <c r="P195" s="1" t="s">
        <v>181</v>
      </c>
      <c r="Q195" s="1" t="s">
        <v>54</v>
      </c>
      <c r="R195" s="7"/>
      <c r="S195" s="7"/>
      <c r="T195" s="1" t="s">
        <v>470</v>
      </c>
      <c r="U195" s="1" t="s">
        <v>33</v>
      </c>
      <c r="V195" s="1" t="s">
        <v>42</v>
      </c>
      <c r="W195" s="1" t="s">
        <v>35</v>
      </c>
      <c r="X195" s="1" t="s">
        <v>34</v>
      </c>
      <c r="Y195" s="1" t="s">
        <v>34</v>
      </c>
      <c r="Z195" s="1" t="s">
        <v>37</v>
      </c>
      <c r="AA195" s="8" t="str">
        <f>IFERROR(VLOOKUP(A195,Sheet3!B:H,6,false),VLOOKUP(J195,Sheet2!A:C,2,false))</f>
        <v>https://assets.roomstogo.com/product/posturepedic-northgate-twin-xl-mattress_50028971_image-item</v>
      </c>
      <c r="AB195" s="8" t="str">
        <f>IFERROR(VLOOKUP(A195,Sheet3!B:H,7,false),VLOOKUP(J195,Sheet2!A:C,3,false))</f>
        <v>https://assets.roomstogo.com/product/posturepedic-northgate-twin-xl-mattress_50028971_alt-image-1</v>
      </c>
      <c r="AC195" s="8" t="str">
        <f t="shared" si="2"/>
        <v>https://rtg-275.myshopify.com/products/NORTHGATE</v>
      </c>
      <c r="AD195" s="8" t="str">
        <f>vlookup(L195,'Python sheet'!$E$2:$F$373,2,0)</f>
        <v>https://rtg-275.myshopify.com/products/NORTHGATE?variant=47915110236298</v>
      </c>
    </row>
    <row r="196">
      <c r="A196" s="4">
        <v>5.0529175E7</v>
      </c>
      <c r="B196" s="9">
        <v>3.0</v>
      </c>
      <c r="C196" s="9">
        <v>4.67</v>
      </c>
      <c r="D196" s="2" t="s">
        <v>341</v>
      </c>
      <c r="E196" s="2" t="s">
        <v>44</v>
      </c>
      <c r="F196" s="2" t="s">
        <v>342</v>
      </c>
      <c r="G196" s="9">
        <v>6.0</v>
      </c>
      <c r="H196" s="9">
        <v>4.17</v>
      </c>
      <c r="I196" s="9">
        <v>3.0</v>
      </c>
      <c r="J196" s="1" t="s">
        <v>189</v>
      </c>
      <c r="K196" s="1" t="s">
        <v>189</v>
      </c>
      <c r="L196" s="1" t="str">
        <f t="shared" si="1"/>
        <v>BRIERWOODQueen</v>
      </c>
      <c r="M196" s="1" t="s">
        <v>525</v>
      </c>
      <c r="N196" s="6">
        <v>677.0</v>
      </c>
      <c r="O196" s="6">
        <v>799.0</v>
      </c>
      <c r="P196" s="1" t="s">
        <v>191</v>
      </c>
      <c r="Q196" s="1" t="s">
        <v>54</v>
      </c>
      <c r="R196" s="1" t="s">
        <v>192</v>
      </c>
      <c r="S196" s="1" t="s">
        <v>31</v>
      </c>
      <c r="T196" s="1" t="s">
        <v>470</v>
      </c>
      <c r="U196" s="1" t="s">
        <v>59</v>
      </c>
      <c r="V196" s="1" t="s">
        <v>36</v>
      </c>
      <c r="W196" s="1" t="s">
        <v>35</v>
      </c>
      <c r="X196" s="1" t="s">
        <v>36</v>
      </c>
      <c r="Y196" s="1" t="s">
        <v>36</v>
      </c>
      <c r="Z196" s="1" t="s">
        <v>37</v>
      </c>
      <c r="AA196" s="8" t="str">
        <f>IFERROR(VLOOKUP(A196,Sheet3!B:H,6,false),VLOOKUP(J196,Sheet2!A:C,2,false))</f>
        <v>https://assets.roomstogo.com/product/sealy-posturepedic-brierwood-twin-xl-mattress_50029175_image-item</v>
      </c>
      <c r="AB196" s="8" t="str">
        <f>IFERROR(VLOOKUP(A196,Sheet3!B:H,7,false),VLOOKUP(J196,Sheet2!A:C,3,false))</f>
        <v>https://assets.roomstogo.com/product/sealy-posturepedic-brierwood-twin-xl-mattress_50029175_alt-image-1</v>
      </c>
      <c r="AC196" s="8" t="str">
        <f t="shared" si="2"/>
        <v>https://rtg-275.myshopify.com/products/BRIERWOOD</v>
      </c>
      <c r="AD196" s="8" t="str">
        <f>vlookup(L196,'Python sheet'!$E$2:$F$373,2,0)</f>
        <v>https://rtg-275.myshopify.com/products/BRIERWOOD?variant=47915110432906</v>
      </c>
    </row>
    <row r="197">
      <c r="A197" s="4">
        <v>5.0529202E7</v>
      </c>
      <c r="B197" s="9">
        <v>2.0</v>
      </c>
      <c r="C197" s="9">
        <v>4.0</v>
      </c>
      <c r="D197" s="2" t="s">
        <v>526</v>
      </c>
      <c r="E197" s="2" t="s">
        <v>44</v>
      </c>
      <c r="F197" s="2" t="s">
        <v>527</v>
      </c>
      <c r="G197" s="9">
        <v>3.0</v>
      </c>
      <c r="H197" s="9">
        <v>4.0</v>
      </c>
      <c r="I197" s="9">
        <v>1.0</v>
      </c>
      <c r="J197" s="1" t="s">
        <v>193</v>
      </c>
      <c r="K197" s="1" t="s">
        <v>999</v>
      </c>
      <c r="L197" s="1" t="str">
        <f t="shared" si="1"/>
        <v>CASTLE-ROCKQueen</v>
      </c>
      <c r="M197" s="1" t="s">
        <v>528</v>
      </c>
      <c r="N197" s="6">
        <v>997.0</v>
      </c>
      <c r="O197" s="6">
        <v>1199.0</v>
      </c>
      <c r="P197" s="1" t="s">
        <v>195</v>
      </c>
      <c r="Q197" s="1" t="s">
        <v>54</v>
      </c>
      <c r="R197" s="1" t="s">
        <v>196</v>
      </c>
      <c r="S197" s="1" t="s">
        <v>31</v>
      </c>
      <c r="T197" s="1" t="s">
        <v>470</v>
      </c>
      <c r="U197" s="1" t="s">
        <v>59</v>
      </c>
      <c r="V197" s="1" t="s">
        <v>34</v>
      </c>
      <c r="W197" s="1" t="s">
        <v>35</v>
      </c>
      <c r="X197" s="1" t="s">
        <v>34</v>
      </c>
      <c r="Y197" s="1" t="s">
        <v>36</v>
      </c>
      <c r="Z197" s="1" t="s">
        <v>37</v>
      </c>
      <c r="AA197" s="8" t="str">
        <f>IFERROR(VLOOKUP(A197,Sheet3!B:H,6,false),VLOOKUP(J197,Sheet2!A:C,2,false))</f>
        <v>https://assets.roomstogo.com/product/sealy-posturepedic-castle-rock-twin-xl-mattress_50029202_image-item</v>
      </c>
      <c r="AB197" s="8" t="str">
        <f>IFERROR(VLOOKUP(A197,Sheet3!B:H,7,false),VLOOKUP(J197,Sheet2!A:C,3,false))</f>
        <v>https://assets.roomstogo.com/product/sealy-posturepedic-castle-rock-twin-xl-mattress_50029202_alt-image-1</v>
      </c>
      <c r="AC197" s="8" t="str">
        <f t="shared" si="2"/>
        <v>https://rtg-275.myshopify.com/products/CASTLE-ROCK</v>
      </c>
      <c r="AD197" s="8" t="str">
        <f>vlookup(L197,'Python sheet'!$E$2:$F$373,2,0)</f>
        <v>https://rtg-275.myshopify.com/products/CASTLE-ROCK?variant=47915110727818</v>
      </c>
    </row>
    <row r="198">
      <c r="A198" s="4">
        <v>5.0529214E7</v>
      </c>
      <c r="B198" s="5"/>
      <c r="C198" s="5"/>
      <c r="D198" s="5"/>
      <c r="E198" s="5"/>
      <c r="F198" s="5"/>
      <c r="G198" s="5"/>
      <c r="H198" s="5"/>
      <c r="I198" s="5"/>
      <c r="J198" s="1" t="s">
        <v>197</v>
      </c>
      <c r="K198" s="1" t="s">
        <v>197</v>
      </c>
      <c r="L198" s="1" t="str">
        <f t="shared" si="1"/>
        <v>PEBBLEBROOKQueen</v>
      </c>
      <c r="M198" s="1" t="s">
        <v>529</v>
      </c>
      <c r="N198" s="6">
        <v>1077.0</v>
      </c>
      <c r="O198" s="6">
        <v>1299.0</v>
      </c>
      <c r="P198" s="1" t="s">
        <v>199</v>
      </c>
      <c r="Q198" s="7"/>
      <c r="R198" s="1" t="s">
        <v>200</v>
      </c>
      <c r="S198" s="1" t="s">
        <v>31</v>
      </c>
      <c r="T198" s="1" t="s">
        <v>470</v>
      </c>
      <c r="U198" s="1" t="s">
        <v>59</v>
      </c>
      <c r="V198" s="1" t="s">
        <v>34</v>
      </c>
      <c r="W198" s="1" t="s">
        <v>35</v>
      </c>
      <c r="X198" s="1" t="s">
        <v>42</v>
      </c>
      <c r="Y198" s="1" t="s">
        <v>34</v>
      </c>
      <c r="Z198" s="1" t="s">
        <v>37</v>
      </c>
      <c r="AA198" s="8" t="str">
        <f>IFERROR(VLOOKUP(A198,Sheet3!B:H,6,false),VLOOKUP(J198,Sheet2!A:C,2,false))</f>
        <v>https://assets.roomstogo.com/product/sealy-posturepedic-pebblebrook-twin-xl-mattress_50029214_image-item</v>
      </c>
      <c r="AB198" s="8" t="str">
        <f>IFERROR(VLOOKUP(A198,Sheet3!B:H,7,false),VLOOKUP(J198,Sheet2!A:C,3,false))</f>
        <v>https://assets.roomstogo.com/product/sealy-posturepedic-pebblebrook-twin-xl-mattress_50029214_alt-image-1</v>
      </c>
      <c r="AC198" s="8" t="str">
        <f t="shared" si="2"/>
        <v>https://rtg-275.myshopify.com/products/PEBBLEBROOK</v>
      </c>
      <c r="AD198" s="8" t="str">
        <f>vlookup(L198,'Python sheet'!$E$2:$F$373,2,0)</f>
        <v>https://rtg-275.myshopify.com/products/PEBBLEBROOK?variant=47915110957194</v>
      </c>
    </row>
    <row r="199">
      <c r="A199" s="4">
        <v>5.0537057E7</v>
      </c>
      <c r="B199" s="9">
        <v>9.0</v>
      </c>
      <c r="C199" s="9">
        <v>4.56</v>
      </c>
      <c r="D199" s="2" t="s">
        <v>201</v>
      </c>
      <c r="E199" s="2" t="s">
        <v>44</v>
      </c>
      <c r="F199" s="2" t="s">
        <v>202</v>
      </c>
      <c r="G199" s="9">
        <v>347.0</v>
      </c>
      <c r="H199" s="9">
        <v>4.52</v>
      </c>
      <c r="I199" s="9">
        <v>338.0</v>
      </c>
      <c r="J199" s="1" t="s">
        <v>203</v>
      </c>
      <c r="K199" s="1" t="s">
        <v>1000</v>
      </c>
      <c r="L199" s="1" t="str">
        <f t="shared" si="1"/>
        <v>SERIES-ONE-EXTRA-FIRMQueen</v>
      </c>
      <c r="M199" s="1" t="s">
        <v>530</v>
      </c>
      <c r="N199" s="6">
        <v>1999.0</v>
      </c>
      <c r="O199" s="6">
        <v>1999.0</v>
      </c>
      <c r="P199" s="1" t="s">
        <v>205</v>
      </c>
      <c r="Q199" s="7"/>
      <c r="R199" s="1" t="s">
        <v>206</v>
      </c>
      <c r="S199" s="1" t="s">
        <v>31</v>
      </c>
      <c r="T199" s="1" t="s">
        <v>470</v>
      </c>
      <c r="U199" s="1" t="s">
        <v>59</v>
      </c>
      <c r="V199" s="1" t="s">
        <v>34</v>
      </c>
      <c r="W199" s="1" t="s">
        <v>76</v>
      </c>
      <c r="X199" s="1" t="s">
        <v>50</v>
      </c>
      <c r="Y199" s="1" t="s">
        <v>42</v>
      </c>
      <c r="Z199" s="1" t="s">
        <v>144</v>
      </c>
      <c r="AA199" s="8" t="str">
        <f>IFERROR(VLOOKUP(A199,Sheet3!B:H,6,false),VLOOKUP(J199,Sheet2!A:C,2,false))</f>
        <v>https://assets.roomstogo.com/product/beautyrest-black-series-one-extra-firm-twin-xl-mattress_50037057_image-item</v>
      </c>
      <c r="AB199" s="8" t="str">
        <f>IFERROR(VLOOKUP(A199,Sheet3!B:H,7,false),VLOOKUP(J199,Sheet2!A:C,3,false))</f>
        <v>https://assets.roomstogo.com/product/beautyrest-black-series-one-extra-firm-twin-xl-mattress_50037057_alt-image-1</v>
      </c>
      <c r="AC199" s="8" t="str">
        <f t="shared" si="2"/>
        <v>https://rtg-275.myshopify.com/products/SERIES-ONE-EXTRA-FIRM</v>
      </c>
      <c r="AD199" s="8" t="str">
        <f>vlookup(L199,'Python sheet'!$E$2:$F$373,2,0)</f>
        <v>https://rtg-275.myshopify.com/products/SERIES-ONE-EXTRA-FIRM?variant=47915111153802</v>
      </c>
    </row>
    <row r="200">
      <c r="A200" s="4">
        <v>5.0537134E7</v>
      </c>
      <c r="B200" s="9">
        <v>1.0</v>
      </c>
      <c r="C200" s="9">
        <v>5.0</v>
      </c>
      <c r="D200" s="2" t="s">
        <v>207</v>
      </c>
      <c r="E200" s="2" t="s">
        <v>44</v>
      </c>
      <c r="F200" s="2" t="s">
        <v>208</v>
      </c>
      <c r="G200" s="9">
        <v>137.0</v>
      </c>
      <c r="H200" s="9">
        <v>4.58</v>
      </c>
      <c r="I200" s="9">
        <v>136.0</v>
      </c>
      <c r="J200" s="1" t="s">
        <v>209</v>
      </c>
      <c r="K200" s="1" t="s">
        <v>1001</v>
      </c>
      <c r="L200" s="1" t="str">
        <f t="shared" si="1"/>
        <v>SERIES-TWO-MEDIUMQueen</v>
      </c>
      <c r="M200" s="1" t="s">
        <v>531</v>
      </c>
      <c r="N200" s="6">
        <v>2999.0</v>
      </c>
      <c r="O200" s="6">
        <v>2999.0</v>
      </c>
      <c r="P200" s="1" t="s">
        <v>205</v>
      </c>
      <c r="Q200" s="7"/>
      <c r="R200" s="1" t="s">
        <v>211</v>
      </c>
      <c r="S200" s="1" t="s">
        <v>31</v>
      </c>
      <c r="T200" s="1" t="s">
        <v>470</v>
      </c>
      <c r="U200" s="1" t="s">
        <v>59</v>
      </c>
      <c r="V200" s="1" t="s">
        <v>42</v>
      </c>
      <c r="W200" s="1" t="s">
        <v>35</v>
      </c>
      <c r="X200" s="1" t="s">
        <v>50</v>
      </c>
      <c r="Y200" s="1" t="s">
        <v>42</v>
      </c>
      <c r="Z200" s="1" t="s">
        <v>37</v>
      </c>
      <c r="AA200" s="8" t="str">
        <f>IFERROR(VLOOKUP(A200,Sheet3!B:H,6,false),VLOOKUP(J200,Sheet2!A:C,2,false))</f>
        <v>https://assets.roomstogo.com/product/beautyrest-black-series-two-medium-twin-xl-mattress_50037134_image-item</v>
      </c>
      <c r="AB200" s="8" t="str">
        <f>IFERROR(VLOOKUP(A200,Sheet3!B:H,7,false),VLOOKUP(J200,Sheet2!A:C,3,false))</f>
        <v>https://assets.roomstogo.com/product/beautyrest-black-series-two-medium-twin-xl-mattress_50037134_alt-image-1</v>
      </c>
      <c r="AC200" s="8" t="str">
        <f t="shared" si="2"/>
        <v>https://rtg-275.myshopify.com/products/SERIES-TWO-MEDIUM</v>
      </c>
      <c r="AD200" s="8" t="str">
        <f>vlookup(L200,'Python sheet'!$E$2:$F$373,2,0)</f>
        <v>https://rtg-275.myshopify.com/products/SERIES-TWO-MEDIUM?variant=47915111350410</v>
      </c>
    </row>
    <row r="201">
      <c r="A201" s="4">
        <v>5.0537223E7</v>
      </c>
      <c r="B201" s="9">
        <v>2.0</v>
      </c>
      <c r="C201" s="9">
        <v>5.0</v>
      </c>
      <c r="D201" s="2" t="s">
        <v>212</v>
      </c>
      <c r="E201" s="2" t="s">
        <v>44</v>
      </c>
      <c r="F201" s="2" t="s">
        <v>213</v>
      </c>
      <c r="G201" s="9">
        <v>290.0</v>
      </c>
      <c r="H201" s="9">
        <v>4.72</v>
      </c>
      <c r="I201" s="9">
        <v>288.0</v>
      </c>
      <c r="J201" s="1" t="s">
        <v>214</v>
      </c>
      <c r="K201" s="1" t="s">
        <v>1002</v>
      </c>
      <c r="L201" s="1" t="str">
        <f t="shared" si="1"/>
        <v>SERIES-THREE-PLUSH-PILLOW-TOPQueen</v>
      </c>
      <c r="M201" s="1" t="s">
        <v>532</v>
      </c>
      <c r="N201" s="6">
        <v>4199.0</v>
      </c>
      <c r="O201" s="6">
        <v>4199.0</v>
      </c>
      <c r="P201" s="1" t="s">
        <v>205</v>
      </c>
      <c r="Q201" s="7"/>
      <c r="R201" s="1" t="s">
        <v>216</v>
      </c>
      <c r="S201" s="1" t="s">
        <v>31</v>
      </c>
      <c r="T201" s="1" t="s">
        <v>470</v>
      </c>
      <c r="U201" s="1" t="s">
        <v>59</v>
      </c>
      <c r="V201" s="1" t="s">
        <v>50</v>
      </c>
      <c r="W201" s="1" t="s">
        <v>49</v>
      </c>
      <c r="X201" s="1" t="s">
        <v>50</v>
      </c>
      <c r="Y201" s="1" t="s">
        <v>42</v>
      </c>
      <c r="Z201" s="1" t="s">
        <v>51</v>
      </c>
      <c r="AA201" s="8" t="str">
        <f>IFERROR(VLOOKUP(A201,Sheet3!B:H,6,false),VLOOKUP(J201,Sheet2!A:C,2,false))</f>
        <v>https://assets.roomstogo.com/product/beautyrest-black-series-three-plush-pillow-top-twin-xl-mattress_50037223_image-item</v>
      </c>
      <c r="AB201" s="8" t="str">
        <f>IFERROR(VLOOKUP(A201,Sheet3!B:H,7,false),VLOOKUP(J201,Sheet2!A:C,3,false))</f>
        <v>https://assets.roomstogo.com/product/beautyrest-black-series-three-plush-pillow-top-twin-xl-mattress_50037223_alt-image-1</v>
      </c>
      <c r="AC201" s="8" t="str">
        <f t="shared" si="2"/>
        <v>https://rtg-275.myshopify.com/products/SERIES-THREE-PLUSH-PILLOW-TOP</v>
      </c>
      <c r="AD201" s="8" t="str">
        <f>vlookup(L201,'Python sheet'!$E$2:$F$373,2,0)</f>
        <v>https://rtg-275.myshopify.com/products/SERIES-THREE-PLUSH-PILLOW-TOP?variant=47915111579786</v>
      </c>
    </row>
    <row r="202">
      <c r="A202" s="4">
        <v>5.0548036E7</v>
      </c>
      <c r="B202" s="9">
        <v>8.0</v>
      </c>
      <c r="C202" s="9">
        <v>3.5</v>
      </c>
      <c r="D202" s="2" t="s">
        <v>217</v>
      </c>
      <c r="E202" s="2" t="s">
        <v>44</v>
      </c>
      <c r="F202" s="2" t="s">
        <v>218</v>
      </c>
      <c r="G202" s="9">
        <v>438.0</v>
      </c>
      <c r="H202" s="9">
        <v>4.52</v>
      </c>
      <c r="I202" s="9">
        <v>430.0</v>
      </c>
      <c r="J202" s="1" t="s">
        <v>219</v>
      </c>
      <c r="K202" s="1" t="s">
        <v>1003</v>
      </c>
      <c r="L202" s="1" t="str">
        <f t="shared" si="1"/>
        <v>ESTATE-FIRM-TTQueen</v>
      </c>
      <c r="M202" s="1" t="s">
        <v>533</v>
      </c>
      <c r="N202" s="6">
        <v>2399.0</v>
      </c>
      <c r="O202" s="6">
        <v>2399.0</v>
      </c>
      <c r="P202" s="1" t="s">
        <v>221</v>
      </c>
      <c r="Q202" s="7"/>
      <c r="R202" s="1" t="s">
        <v>222</v>
      </c>
      <c r="S202" s="1" t="s">
        <v>31</v>
      </c>
      <c r="T202" s="1" t="s">
        <v>470</v>
      </c>
      <c r="U202" s="1" t="s">
        <v>59</v>
      </c>
      <c r="V202" s="1" t="s">
        <v>34</v>
      </c>
      <c r="W202" s="1" t="s">
        <v>76</v>
      </c>
      <c r="X202" s="1" t="s">
        <v>42</v>
      </c>
      <c r="Y202" s="1" t="s">
        <v>34</v>
      </c>
      <c r="Z202" s="1" t="s">
        <v>77</v>
      </c>
      <c r="AA202" s="8" t="str">
        <f>IFERROR(VLOOKUP(A202,Sheet3!B:H,6,false),VLOOKUP(J202,Sheet2!A:C,2,false))</f>
        <v>https://assets.roomstogo.com/product/stearns-and-foster-estate-firm-tight-top-twin-xl-mattress_50048036_image-item</v>
      </c>
      <c r="AB202" s="8" t="str">
        <f>IFERROR(VLOOKUP(A202,Sheet3!B:H,7,false),VLOOKUP(J202,Sheet2!A:C,3,false))</f>
        <v>https://assets.roomstogo.com/product/stearns-and-foster-estate-firm-tight-top-twin-xl-mattress_50048036_alt-image-1</v>
      </c>
      <c r="AC202" s="8" t="str">
        <f t="shared" si="2"/>
        <v>https://rtg-275.myshopify.com/products/ESTATE-FIRM-TT</v>
      </c>
      <c r="AD202" s="8" t="str">
        <f>vlookup(L202,'Python sheet'!$E$2:$F$373,2,0)</f>
        <v>https://rtg-275.myshopify.com/products/ESTATE-FIRM-TT?variant=47915111776394</v>
      </c>
    </row>
    <row r="203">
      <c r="A203" s="4">
        <v>5.054805E7</v>
      </c>
      <c r="B203" s="9">
        <v>4.0</v>
      </c>
      <c r="C203" s="9">
        <v>3.5</v>
      </c>
      <c r="D203" s="2" t="s">
        <v>435</v>
      </c>
      <c r="E203" s="2" t="s">
        <v>44</v>
      </c>
      <c r="F203" s="2" t="s">
        <v>436</v>
      </c>
      <c r="G203" s="9">
        <v>7.0</v>
      </c>
      <c r="H203" s="9">
        <v>3.86</v>
      </c>
      <c r="I203" s="9">
        <v>3.0</v>
      </c>
      <c r="J203" s="1" t="s">
        <v>223</v>
      </c>
      <c r="K203" s="1" t="s">
        <v>1004</v>
      </c>
      <c r="L203" s="1" t="str">
        <f t="shared" si="1"/>
        <v>ESTATE-FIRM-PTQueen</v>
      </c>
      <c r="M203" s="1" t="s">
        <v>534</v>
      </c>
      <c r="N203" s="6">
        <v>2599.0</v>
      </c>
      <c r="O203" s="6">
        <v>2599.0</v>
      </c>
      <c r="P203" s="1" t="s">
        <v>221</v>
      </c>
      <c r="Q203" s="7"/>
      <c r="R203" s="1" t="s">
        <v>222</v>
      </c>
      <c r="S203" s="1" t="s">
        <v>31</v>
      </c>
      <c r="T203" s="1" t="s">
        <v>470</v>
      </c>
      <c r="U203" s="1" t="s">
        <v>59</v>
      </c>
      <c r="V203" s="1" t="s">
        <v>34</v>
      </c>
      <c r="W203" s="1" t="s">
        <v>76</v>
      </c>
      <c r="X203" s="1" t="s">
        <v>42</v>
      </c>
      <c r="Y203" s="1" t="s">
        <v>34</v>
      </c>
      <c r="Z203" s="1" t="s">
        <v>77</v>
      </c>
      <c r="AA203" s="8" t="str">
        <f>IFERROR(VLOOKUP(A203,Sheet3!B:H,6,false),VLOOKUP(J203,Sheet2!A:C,2,false))</f>
        <v>https://assets.roomstogo.com/product/stearns-and-foster-estate-firm-pillow-top-twin-xl-mattress_50048050_image-item</v>
      </c>
      <c r="AB203" s="8" t="str">
        <f>IFERROR(VLOOKUP(A203,Sheet3!B:H,7,false),VLOOKUP(J203,Sheet2!A:C,3,false))</f>
        <v>https://assets.roomstogo.com/product/stearns-and-foster-estate-firm-pillow-top-twin-xl-mattress_50048050_alt-image-1</v>
      </c>
      <c r="AC203" s="8" t="str">
        <f t="shared" si="2"/>
        <v>https://rtg-275.myshopify.com/products/ESTATE-FIRM-PT</v>
      </c>
      <c r="AD203" s="8" t="str">
        <f>vlookup(L203,'Python sheet'!$E$2:$F$373,2,0)</f>
        <v>https://rtg-275.myshopify.com/products/ESTATE-FIRM-PT?variant=47915111973002</v>
      </c>
    </row>
    <row r="204">
      <c r="A204" s="4">
        <v>5.0548276E7</v>
      </c>
      <c r="B204" s="5"/>
      <c r="C204" s="5"/>
      <c r="D204" s="5"/>
      <c r="E204" s="5"/>
      <c r="F204" s="5"/>
      <c r="G204" s="5"/>
      <c r="H204" s="5"/>
      <c r="I204" s="5"/>
      <c r="J204" s="1" t="s">
        <v>227</v>
      </c>
      <c r="K204" s="1" t="s">
        <v>1005</v>
      </c>
      <c r="L204" s="1" t="str">
        <f t="shared" si="1"/>
        <v>LUX-ESTATE-ELITEQueen</v>
      </c>
      <c r="M204" s="1" t="s">
        <v>535</v>
      </c>
      <c r="N204" s="6">
        <v>4199.0</v>
      </c>
      <c r="O204" s="6">
        <v>4199.0</v>
      </c>
      <c r="P204" s="1" t="s">
        <v>221</v>
      </c>
      <c r="Q204" s="7"/>
      <c r="R204" s="1" t="s">
        <v>229</v>
      </c>
      <c r="S204" s="1" t="s">
        <v>31</v>
      </c>
      <c r="T204" s="1" t="s">
        <v>470</v>
      </c>
      <c r="U204" s="1" t="s">
        <v>59</v>
      </c>
      <c r="V204" s="1" t="s">
        <v>42</v>
      </c>
      <c r="W204" s="1" t="s">
        <v>35</v>
      </c>
      <c r="X204" s="1" t="s">
        <v>50</v>
      </c>
      <c r="Y204" s="1" t="s">
        <v>42</v>
      </c>
      <c r="Z204" s="1" t="s">
        <v>37</v>
      </c>
      <c r="AA204" s="8" t="str">
        <f>IFERROR(VLOOKUP(A204,Sheet3!B:H,6,false),VLOOKUP(J204,Sheet2!A:C,2,false))</f>
        <v>https://assets.roomstogo.com/product/stearns-and-foster-lux-estate-elite-medium-pillow-top-twin-xl-mattress_50048276_image-item</v>
      </c>
      <c r="AB204" s="8" t="str">
        <f>IFERROR(VLOOKUP(A204,Sheet3!B:H,7,false),VLOOKUP(J204,Sheet2!A:C,3,false))</f>
        <v>https://assets.roomstogo.com/product/stearns-and-foster-lux-estate-elite-medium-pillow-top-twin-xl-mattress_50048276_alt-image-1</v>
      </c>
      <c r="AC204" s="8" t="str">
        <f t="shared" si="2"/>
        <v>https://rtg-275.myshopify.com/products/LUX-ESTATE-ELITE</v>
      </c>
      <c r="AD204" s="8" t="str">
        <f>vlookup(L204,'Python sheet'!$E$2:$F$373,2,0)</f>
        <v>https://rtg-275.myshopify.com/products/LUX-ESTATE-ELITE?variant=47915112071306</v>
      </c>
    </row>
    <row r="205">
      <c r="A205" s="4">
        <v>5.057011E7</v>
      </c>
      <c r="B205" s="9">
        <v>2.0</v>
      </c>
      <c r="C205" s="9">
        <v>5.0</v>
      </c>
      <c r="D205" s="2" t="s">
        <v>230</v>
      </c>
      <c r="E205" s="2" t="s">
        <v>44</v>
      </c>
      <c r="F205" s="2" t="s">
        <v>231</v>
      </c>
      <c r="G205" s="9">
        <v>9006.0</v>
      </c>
      <c r="H205" s="9">
        <v>4.32</v>
      </c>
      <c r="I205" s="9">
        <v>9004.0</v>
      </c>
      <c r="J205" s="1" t="s">
        <v>232</v>
      </c>
      <c r="K205" s="1" t="s">
        <v>1006</v>
      </c>
      <c r="L205" s="1" t="str">
        <f t="shared" si="1"/>
        <v>HELIX-MIDNIGHT-LUXEQueen</v>
      </c>
      <c r="M205" s="1" t="s">
        <v>536</v>
      </c>
      <c r="N205" s="6">
        <v>2118.0</v>
      </c>
      <c r="O205" s="6">
        <v>2647.5</v>
      </c>
      <c r="P205" s="1" t="s">
        <v>234</v>
      </c>
      <c r="Q205" s="7"/>
      <c r="R205" s="7"/>
      <c r="S205" s="1" t="s">
        <v>31</v>
      </c>
      <c r="T205" s="1" t="s">
        <v>470</v>
      </c>
      <c r="U205" s="1" t="s">
        <v>59</v>
      </c>
      <c r="V205" s="1" t="s">
        <v>42</v>
      </c>
      <c r="W205" s="1" t="s">
        <v>35</v>
      </c>
      <c r="X205" s="1" t="s">
        <v>42</v>
      </c>
      <c r="Y205" s="1" t="s">
        <v>34</v>
      </c>
      <c r="Z205" s="1" t="s">
        <v>37</v>
      </c>
      <c r="AA205" s="8" t="str">
        <f>IFERROR(VLOOKUP(A205,Sheet3!B:H,6,false),VLOOKUP(J205,Sheet2!A:C,2,false))</f>
        <v>https://assets.roomstogo.com/product/helix-midnight-luxe-twin-xl-mattress_50070110_image-item</v>
      </c>
      <c r="AB205" s="8" t="str">
        <f>IFERROR(VLOOKUP(A205,Sheet3!B:H,7,false),VLOOKUP(J205,Sheet2!A:C,3,false))</f>
        <v>https://assets.roomstogo.com/product/helix-midnight-luxe-twin-xl-mattress_50070110_alt-image-1</v>
      </c>
      <c r="AC205" s="8" t="str">
        <f t="shared" si="2"/>
        <v>https://rtg-275.myshopify.com/products/HELIX-MIDNIGHT-LUXE</v>
      </c>
      <c r="AD205" s="8" t="str">
        <f>vlookup(L205,'Python sheet'!$E$2:$F$373,2,0)</f>
        <v>https://rtg-275.myshopify.com/products/HELIX-MIDNIGHT-LUXE?variant=47915112267914</v>
      </c>
    </row>
    <row r="206">
      <c r="A206" s="4">
        <v>5.0570122E7</v>
      </c>
      <c r="B206" s="9">
        <v>2.0</v>
      </c>
      <c r="C206" s="9">
        <v>3.5</v>
      </c>
      <c r="D206" s="2" t="s">
        <v>235</v>
      </c>
      <c r="E206" s="2" t="s">
        <v>44</v>
      </c>
      <c r="F206" s="2" t="s">
        <v>236</v>
      </c>
      <c r="G206" s="9">
        <v>501.0</v>
      </c>
      <c r="H206" s="9">
        <v>4.22</v>
      </c>
      <c r="I206" s="9">
        <v>499.0</v>
      </c>
      <c r="J206" s="1" t="s">
        <v>237</v>
      </c>
      <c r="K206" s="1" t="s">
        <v>1007</v>
      </c>
      <c r="L206" s="1" t="str">
        <f t="shared" si="1"/>
        <v>HELIX-MIDNIGHT-ELITEQueen</v>
      </c>
      <c r="M206" s="1" t="s">
        <v>537</v>
      </c>
      <c r="N206" s="6">
        <v>2999.0</v>
      </c>
      <c r="O206" s="6">
        <v>3748.75</v>
      </c>
      <c r="P206" s="1" t="s">
        <v>234</v>
      </c>
      <c r="Q206" s="7"/>
      <c r="R206" s="7"/>
      <c r="S206" s="1" t="s">
        <v>31</v>
      </c>
      <c r="T206" s="1" t="s">
        <v>470</v>
      </c>
      <c r="U206" s="1" t="s">
        <v>59</v>
      </c>
      <c r="V206" s="1" t="s">
        <v>50</v>
      </c>
      <c r="W206" s="1" t="s">
        <v>35</v>
      </c>
      <c r="X206" s="1" t="s">
        <v>42</v>
      </c>
      <c r="Y206" s="1" t="s">
        <v>42</v>
      </c>
      <c r="Z206" s="1" t="s">
        <v>37</v>
      </c>
      <c r="AA206" s="8" t="str">
        <f>IFERROR(VLOOKUP(A206,Sheet3!B:H,6,false),VLOOKUP(J206,Sheet2!A:C,2,false))</f>
        <v>https://assets.roomstogo.com/product/helix-midnight-elite-twin-xl-mattress_50070122_image-item</v>
      </c>
      <c r="AB206" s="8" t="str">
        <f>IFERROR(VLOOKUP(A206,Sheet3!B:H,7,false),VLOOKUP(J206,Sheet2!A:C,3,false))</f>
        <v>https://assets.roomstogo.com/product/helix-midnight-elite-twin-xl-mattress_50070122_alt-image-1</v>
      </c>
      <c r="AC206" s="8" t="str">
        <f t="shared" si="2"/>
        <v>https://rtg-275.myshopify.com/products/HELIX-MIDNIGHT-ELITE</v>
      </c>
      <c r="AD206" s="8" t="str">
        <f>vlookup(L206,'Python sheet'!$E$2:$F$373,2,0)</f>
        <v>https://rtg-275.myshopify.com/products/HELIX-MIDNIGHT-ELITE?variant=47915112497290</v>
      </c>
    </row>
    <row r="207">
      <c r="A207" s="4">
        <v>5.0600482E7</v>
      </c>
      <c r="B207" s="9">
        <v>53.0</v>
      </c>
      <c r="C207" s="9">
        <v>4.68</v>
      </c>
      <c r="D207" s="2" t="s">
        <v>538</v>
      </c>
      <c r="E207" s="2" t="s">
        <v>539</v>
      </c>
      <c r="F207" s="2" t="s">
        <v>446</v>
      </c>
      <c r="G207" s="9">
        <v>14.0</v>
      </c>
      <c r="H207" s="9">
        <v>4.79</v>
      </c>
      <c r="I207" s="9">
        <v>-39.0</v>
      </c>
      <c r="J207" s="1" t="s">
        <v>447</v>
      </c>
      <c r="K207" s="1" t="s">
        <v>1014</v>
      </c>
      <c r="L207" s="1" t="str">
        <f t="shared" si="1"/>
        <v>BASELOGIC-SILVERQueen</v>
      </c>
      <c r="M207" s="1" t="s">
        <v>540</v>
      </c>
      <c r="N207" s="6">
        <v>699.0</v>
      </c>
      <c r="O207" s="6">
        <v>799.0</v>
      </c>
      <c r="P207" s="1" t="s">
        <v>449</v>
      </c>
      <c r="Q207" s="7"/>
      <c r="R207" s="1" t="s">
        <v>450</v>
      </c>
      <c r="S207" s="1" t="s">
        <v>31</v>
      </c>
      <c r="T207" s="1" t="s">
        <v>470</v>
      </c>
      <c r="U207" s="7"/>
      <c r="V207" s="7"/>
      <c r="W207" s="7"/>
      <c r="X207" s="7"/>
      <c r="Y207" s="7"/>
      <c r="Z207" s="7"/>
      <c r="AA207" s="11" t="str">
        <f>IFERROR(VLOOKUP(A207,Sheet3!B:H,6,false),VLOOKUP(J207,Sheet2!A:C,2,false))</f>
        <v>#N/A</v>
      </c>
      <c r="AB207" s="11" t="str">
        <f>IFERROR(VLOOKUP(A207,Sheet3!B:H,7,false),VLOOKUP(J207,Sheet2!A:C,3,false))</f>
        <v>#N/A</v>
      </c>
      <c r="AC207" s="8" t="str">
        <f t="shared" si="2"/>
        <v>https://rtg-275.myshopify.com/products/BASELOGIC-SILVER</v>
      </c>
      <c r="AD207" s="8" t="str">
        <f>vlookup(L207,'Python sheet'!$E$2:$F$373,2,0)</f>
        <v>https://rtg-275.myshopify.com/products/BASELOGIC-SILVER?variant=47915114365066</v>
      </c>
    </row>
    <row r="208">
      <c r="A208" s="4">
        <v>5.0600519E7</v>
      </c>
      <c r="B208" s="9">
        <v>4.0</v>
      </c>
      <c r="C208" s="9">
        <v>5.0</v>
      </c>
      <c r="D208" s="2" t="s">
        <v>541</v>
      </c>
      <c r="E208" s="2" t="s">
        <v>539</v>
      </c>
      <c r="F208" s="2" t="s">
        <v>452</v>
      </c>
      <c r="G208" s="9">
        <v>1.0</v>
      </c>
      <c r="H208" s="9">
        <v>5.0</v>
      </c>
      <c r="I208" s="9">
        <v>-3.0</v>
      </c>
      <c r="J208" s="1" t="s">
        <v>453</v>
      </c>
      <c r="K208" s="1" t="s">
        <v>1015</v>
      </c>
      <c r="L208" s="1" t="str">
        <f t="shared" si="1"/>
        <v>BASELOGIC-PLATINUMQueen</v>
      </c>
      <c r="M208" s="1" t="s">
        <v>542</v>
      </c>
      <c r="N208" s="6">
        <v>1499.0</v>
      </c>
      <c r="O208" s="6">
        <v>1699.0</v>
      </c>
      <c r="P208" s="1" t="s">
        <v>449</v>
      </c>
      <c r="Q208" s="7"/>
      <c r="R208" s="1" t="s">
        <v>455</v>
      </c>
      <c r="S208" s="1" t="s">
        <v>31</v>
      </c>
      <c r="T208" s="1" t="s">
        <v>470</v>
      </c>
      <c r="U208" s="7"/>
      <c r="V208" s="7"/>
      <c r="W208" s="7"/>
      <c r="X208" s="7"/>
      <c r="Y208" s="7"/>
      <c r="Z208" s="7"/>
      <c r="AA208" s="11" t="str">
        <f>IFERROR(VLOOKUP(A208,Sheet3!B:H,6,false),VLOOKUP(J208,Sheet2!A:C,2,false))</f>
        <v>#N/A</v>
      </c>
      <c r="AB208" s="11" t="str">
        <f>IFERROR(VLOOKUP(A208,Sheet3!B:H,7,false),VLOOKUP(J208,Sheet2!A:C,3,false))</f>
        <v>#N/A</v>
      </c>
      <c r="AC208" s="8" t="str">
        <f t="shared" si="2"/>
        <v>https://rtg-275.myshopify.com/products/BASELOGIC-PLATINUM</v>
      </c>
      <c r="AD208" s="8" t="str">
        <f>vlookup(L208,'Python sheet'!$E$2:$F$373,2,0)</f>
        <v>https://rtg-275.myshopify.com/products/BASELOGIC-PLATINUM?variant=47915114561674</v>
      </c>
    </row>
    <row r="209">
      <c r="A209" s="4">
        <v>5.0608161E7</v>
      </c>
      <c r="B209" s="9">
        <v>14.0</v>
      </c>
      <c r="C209" s="9">
        <v>4.79</v>
      </c>
      <c r="D209" s="2" t="s">
        <v>543</v>
      </c>
      <c r="E209" s="2" t="s">
        <v>539</v>
      </c>
      <c r="F209" s="2" t="s">
        <v>457</v>
      </c>
      <c r="G209" s="9">
        <v>1.0</v>
      </c>
      <c r="H209" s="9">
        <v>5.0</v>
      </c>
      <c r="I209" s="9">
        <v>-13.0</v>
      </c>
      <c r="J209" s="1" t="s">
        <v>458</v>
      </c>
      <c r="K209" s="1" t="s">
        <v>1016</v>
      </c>
      <c r="L209" s="1" t="str">
        <f t="shared" si="1"/>
        <v>TEMPUR-ERGO-3-0Queen</v>
      </c>
      <c r="M209" s="1" t="s">
        <v>544</v>
      </c>
      <c r="N209" s="6">
        <v>1699.0</v>
      </c>
      <c r="O209" s="6">
        <v>1699.0</v>
      </c>
      <c r="P209" s="1" t="s">
        <v>64</v>
      </c>
      <c r="Q209" s="7"/>
      <c r="R209" s="1" t="s">
        <v>460</v>
      </c>
      <c r="S209" s="1" t="s">
        <v>31</v>
      </c>
      <c r="T209" s="1" t="s">
        <v>470</v>
      </c>
      <c r="U209" s="7"/>
      <c r="V209" s="7"/>
      <c r="W209" s="7"/>
      <c r="X209" s="7"/>
      <c r="Y209" s="7"/>
      <c r="Z209" s="7"/>
      <c r="AA209" s="11" t="str">
        <f>IFERROR(VLOOKUP(A209,Sheet3!B:H,6,false),VLOOKUP(J209,Sheet2!A:C,2,false))</f>
        <v>#N/A</v>
      </c>
      <c r="AB209" s="11" t="str">
        <f>IFERROR(VLOOKUP(A209,Sheet3!B:H,7,false),VLOOKUP(J209,Sheet2!A:C,3,false))</f>
        <v>#N/A</v>
      </c>
      <c r="AC209" s="8" t="str">
        <f t="shared" si="2"/>
        <v>https://rtg-275.myshopify.com/products/TEMPUR-ERGO-3-0</v>
      </c>
      <c r="AD209" s="8" t="str">
        <f>vlookup(L209,'Python sheet'!$E$2:$F$373,2,0)</f>
        <v>https://rtg-275.myshopify.com/products/TEMPUR-ERGO-3-0?variant=47915114791050</v>
      </c>
    </row>
    <row r="210">
      <c r="A210" s="4">
        <v>5.0608185E7</v>
      </c>
      <c r="B210" s="9">
        <v>7.0</v>
      </c>
      <c r="C210" s="9">
        <v>4.86</v>
      </c>
      <c r="D210" s="2" t="s">
        <v>545</v>
      </c>
      <c r="E210" s="2" t="s">
        <v>539</v>
      </c>
      <c r="F210" s="2" t="s">
        <v>462</v>
      </c>
      <c r="G210" s="9">
        <v>405.0</v>
      </c>
      <c r="H210" s="9">
        <v>4.6</v>
      </c>
      <c r="I210" s="9">
        <v>398.0</v>
      </c>
      <c r="J210" s="1" t="s">
        <v>463</v>
      </c>
      <c r="K210" s="1" t="s">
        <v>1017</v>
      </c>
      <c r="L210" s="1" t="str">
        <f t="shared" si="1"/>
        <v>TEMPUR-ERGO-3-0-SMARTQueen</v>
      </c>
      <c r="M210" s="1" t="s">
        <v>546</v>
      </c>
      <c r="N210" s="6">
        <v>2199.0</v>
      </c>
      <c r="O210" s="6">
        <v>2199.0</v>
      </c>
      <c r="P210" s="1" t="s">
        <v>64</v>
      </c>
      <c r="Q210" s="7"/>
      <c r="R210" s="1" t="s">
        <v>465</v>
      </c>
      <c r="S210" s="1" t="s">
        <v>31</v>
      </c>
      <c r="T210" s="1" t="s">
        <v>470</v>
      </c>
      <c r="U210" s="7"/>
      <c r="V210" s="7"/>
      <c r="W210" s="7"/>
      <c r="X210" s="7"/>
      <c r="Y210" s="7"/>
      <c r="Z210" s="7"/>
      <c r="AA210" s="11" t="str">
        <f>IFERROR(VLOOKUP(A210,Sheet3!B:H,6,false),VLOOKUP(J210,Sheet2!A:C,2,false))</f>
        <v>#N/A</v>
      </c>
      <c r="AB210" s="11" t="str">
        <f>IFERROR(VLOOKUP(A210,Sheet3!B:H,7,false),VLOOKUP(J210,Sheet2!A:C,3,false))</f>
        <v>#N/A</v>
      </c>
      <c r="AC210" s="8" t="str">
        <f t="shared" si="2"/>
        <v>https://rtg-275.myshopify.com/products/TEMPUR-ERGO-3-0-SMART</v>
      </c>
      <c r="AD210" s="8" t="str">
        <f>vlookup(L210,'Python sheet'!$E$2:$F$373,2,0)</f>
        <v>https://rtg-275.myshopify.com/products/TEMPUR-ERGO-3-0-SMART?variant=47915115020426</v>
      </c>
    </row>
    <row r="211">
      <c r="A211" s="4">
        <v>5.0608197E7</v>
      </c>
      <c r="B211" s="9">
        <v>199.0</v>
      </c>
      <c r="C211" s="9">
        <v>4.71</v>
      </c>
      <c r="D211" s="2" t="s">
        <v>547</v>
      </c>
      <c r="E211" s="2" t="s">
        <v>539</v>
      </c>
      <c r="F211" s="2" t="s">
        <v>548</v>
      </c>
      <c r="G211" s="9">
        <v>5.0</v>
      </c>
      <c r="H211" s="9">
        <v>4.4</v>
      </c>
      <c r="I211" s="9">
        <v>-194.0</v>
      </c>
      <c r="J211" s="1" t="s">
        <v>549</v>
      </c>
      <c r="K211" s="1" t="s">
        <v>1018</v>
      </c>
      <c r="L211" s="1" t="str">
        <f t="shared" si="1"/>
        <v>TEMPUR-ERGO-PROSMARTQueen</v>
      </c>
      <c r="M211" s="1" t="s">
        <v>550</v>
      </c>
      <c r="N211" s="6">
        <v>2699.0</v>
      </c>
      <c r="O211" s="6">
        <v>2699.0</v>
      </c>
      <c r="P211" s="1" t="s">
        <v>64</v>
      </c>
      <c r="Q211" s="7"/>
      <c r="R211" s="1" t="s">
        <v>551</v>
      </c>
      <c r="S211" s="1" t="s">
        <v>31</v>
      </c>
      <c r="T211" s="1" t="s">
        <v>470</v>
      </c>
      <c r="U211" s="7"/>
      <c r="V211" s="7"/>
      <c r="W211" s="7"/>
      <c r="X211" s="7"/>
      <c r="Y211" s="7"/>
      <c r="Z211" s="7"/>
      <c r="AA211" s="11" t="str">
        <f>IFERROR(VLOOKUP(A211,Sheet3!B:H,6,false),VLOOKUP(J211,Sheet2!A:C,2,false))</f>
        <v>#N/A</v>
      </c>
      <c r="AB211" s="11" t="str">
        <f>IFERROR(VLOOKUP(A211,Sheet3!B:H,7,false),VLOOKUP(J211,Sheet2!A:C,3,false))</f>
        <v>#N/A</v>
      </c>
      <c r="AC211" s="8" t="str">
        <f t="shared" si="2"/>
        <v>https://rtg-275.myshopify.com/products/TEMPUR-ERGO-PROSMART</v>
      </c>
      <c r="AD211" s="8" t="str">
        <f>vlookup(L211,'Python sheet'!$E$2:$F$373,2,0)</f>
        <v>https://rtg-275.myshopify.com/products/TEMPUR-ERGO-PROSMART?variant=47915115217034</v>
      </c>
    </row>
    <row r="212">
      <c r="A212" s="4">
        <v>5.0608832E7</v>
      </c>
      <c r="B212" s="9">
        <v>7.0</v>
      </c>
      <c r="C212" s="9">
        <v>4.43</v>
      </c>
      <c r="D212" s="2" t="s">
        <v>552</v>
      </c>
      <c r="E212" s="2" t="s">
        <v>539</v>
      </c>
      <c r="F212" s="2" t="s">
        <v>553</v>
      </c>
      <c r="G212" s="9">
        <v>12.0</v>
      </c>
      <c r="H212" s="9">
        <v>3.33</v>
      </c>
      <c r="I212" s="9">
        <v>5.0</v>
      </c>
      <c r="J212" s="1" t="s">
        <v>554</v>
      </c>
      <c r="K212" s="1" t="s">
        <v>1019</v>
      </c>
      <c r="L212" s="1" t="str">
        <f t="shared" si="1"/>
        <v>RTG-SLEEP-2900Queen</v>
      </c>
      <c r="M212" s="1" t="s">
        <v>555</v>
      </c>
      <c r="N212" s="6">
        <v>599.0</v>
      </c>
      <c r="O212" s="6">
        <v>599.0</v>
      </c>
      <c r="P212" s="1" t="s">
        <v>556</v>
      </c>
      <c r="Q212" s="1" t="s">
        <v>54</v>
      </c>
      <c r="R212" s="1" t="s">
        <v>557</v>
      </c>
      <c r="S212" s="1" t="s">
        <v>31</v>
      </c>
      <c r="T212" s="1" t="s">
        <v>470</v>
      </c>
      <c r="U212" s="7"/>
      <c r="V212" s="7"/>
      <c r="W212" s="7"/>
      <c r="X212" s="7"/>
      <c r="Y212" s="7"/>
      <c r="Z212" s="7"/>
      <c r="AA212" s="11" t="str">
        <f>IFERROR(VLOOKUP(A212,Sheet3!B:H,6,false),VLOOKUP(J212,Sheet2!A:C,2,false))</f>
        <v>#N/A</v>
      </c>
      <c r="AB212" s="11" t="str">
        <f>IFERROR(VLOOKUP(A212,Sheet3!B:H,7,false),VLOOKUP(J212,Sheet2!A:C,3,false))</f>
        <v>#N/A</v>
      </c>
      <c r="AC212" s="8" t="str">
        <f t="shared" si="2"/>
        <v>https://rtg-275.myshopify.com/products/RTG-SLEEP-2900</v>
      </c>
      <c r="AD212" s="8" t="str">
        <f>vlookup(L212,'Python sheet'!$E$2:$F$373,2,0)</f>
        <v>https://rtg-275.myshopify.com/products/RTG-SLEEP-2900?variant=47915115413642</v>
      </c>
    </row>
    <row r="213">
      <c r="A213" s="4">
        <v>5.0608894E7</v>
      </c>
      <c r="B213" s="9">
        <v>21.0</v>
      </c>
      <c r="C213" s="9">
        <v>4.38</v>
      </c>
      <c r="D213" s="2" t="s">
        <v>558</v>
      </c>
      <c r="E213" s="2" t="s">
        <v>539</v>
      </c>
      <c r="F213" s="2" t="s">
        <v>559</v>
      </c>
      <c r="G213" s="9">
        <v>17.0</v>
      </c>
      <c r="H213" s="9">
        <v>4.47</v>
      </c>
      <c r="I213" s="9">
        <v>-4.0</v>
      </c>
      <c r="J213" s="1" t="s">
        <v>560</v>
      </c>
      <c r="K213" s="1" t="s">
        <v>1020</v>
      </c>
      <c r="L213" s="1" t="str">
        <f t="shared" si="1"/>
        <v>RTG-SLEEP-3900Queen</v>
      </c>
      <c r="M213" s="1" t="s">
        <v>561</v>
      </c>
      <c r="N213" s="6">
        <v>799.0</v>
      </c>
      <c r="O213" s="6">
        <v>999.0</v>
      </c>
      <c r="P213" s="1" t="s">
        <v>556</v>
      </c>
      <c r="Q213" s="1" t="s">
        <v>54</v>
      </c>
      <c r="R213" s="7"/>
      <c r="S213" s="1" t="s">
        <v>31</v>
      </c>
      <c r="T213" s="1" t="s">
        <v>470</v>
      </c>
      <c r="U213" s="7"/>
      <c r="V213" s="7"/>
      <c r="W213" s="7"/>
      <c r="X213" s="7"/>
      <c r="Y213" s="7"/>
      <c r="Z213" s="7"/>
      <c r="AA213" s="11" t="str">
        <f>IFERROR(VLOOKUP(A213,Sheet3!B:H,6,false),VLOOKUP(J213,Sheet2!A:C,2,false))</f>
        <v>#N/A</v>
      </c>
      <c r="AB213" s="11" t="str">
        <f>IFERROR(VLOOKUP(A213,Sheet3!B:H,7,false),VLOOKUP(J213,Sheet2!A:C,3,false))</f>
        <v>#N/A</v>
      </c>
      <c r="AC213" s="8" t="str">
        <f t="shared" si="2"/>
        <v>https://rtg-275.myshopify.com/products/RTG-SLEEP-3900</v>
      </c>
      <c r="AD213" s="8" t="str">
        <f>vlookup(L213,'Python sheet'!$E$2:$F$373,2,0)</f>
        <v>https://rtg-275.myshopify.com/products/RTG-SLEEP-3900?variant=47915115610250</v>
      </c>
    </row>
    <row r="214">
      <c r="A214" s="4">
        <v>5.0608957E7</v>
      </c>
      <c r="B214" s="5"/>
      <c r="C214" s="5"/>
      <c r="D214" s="5"/>
      <c r="E214" s="5"/>
      <c r="F214" s="5"/>
      <c r="G214" s="5"/>
      <c r="H214" s="5"/>
      <c r="I214" s="5"/>
      <c r="J214" s="1" t="s">
        <v>562</v>
      </c>
      <c r="K214" s="1" t="s">
        <v>1021</v>
      </c>
      <c r="L214" s="1" t="str">
        <f t="shared" si="1"/>
        <v>RTG-SLEEP-5900Queen</v>
      </c>
      <c r="M214" s="1" t="s">
        <v>563</v>
      </c>
      <c r="N214" s="6">
        <v>1599.0</v>
      </c>
      <c r="O214" s="6">
        <v>1799.0</v>
      </c>
      <c r="P214" s="1" t="s">
        <v>564</v>
      </c>
      <c r="Q214" s="1" t="s">
        <v>54</v>
      </c>
      <c r="R214" s="7"/>
      <c r="S214" s="7"/>
      <c r="T214" s="1" t="s">
        <v>470</v>
      </c>
      <c r="U214" s="7"/>
      <c r="V214" s="7"/>
      <c r="W214" s="7"/>
      <c r="X214" s="7"/>
      <c r="Y214" s="7"/>
      <c r="Z214" s="7"/>
      <c r="AA214" s="11" t="str">
        <f>IFERROR(VLOOKUP(A214,Sheet3!B:H,6,false),VLOOKUP(J214,Sheet2!A:C,2,false))</f>
        <v>#N/A</v>
      </c>
      <c r="AB214" s="11" t="str">
        <f>IFERROR(VLOOKUP(A214,Sheet3!B:H,7,false),VLOOKUP(J214,Sheet2!A:C,3,false))</f>
        <v>#N/A</v>
      </c>
      <c r="AC214" s="8" t="str">
        <f t="shared" si="2"/>
        <v>https://rtg-275.myshopify.com/products/RTG-SLEEP-5900</v>
      </c>
      <c r="AD214" s="8" t="str">
        <f>vlookup(L214,'Python sheet'!$E$2:$F$373,2,0)</f>
        <v>https://rtg-275.myshopify.com/products/RTG-SLEEP-5900?variant=47915115708554</v>
      </c>
    </row>
    <row r="215">
      <c r="A215" s="4">
        <v>5.0618605E7</v>
      </c>
      <c r="B215" s="9">
        <v>670.0</v>
      </c>
      <c r="C215" s="9">
        <v>4.51</v>
      </c>
      <c r="D215" s="2" t="s">
        <v>565</v>
      </c>
      <c r="E215" s="2" t="s">
        <v>539</v>
      </c>
      <c r="F215" s="2" t="s">
        <v>368</v>
      </c>
      <c r="G215" s="9">
        <v>11.0</v>
      </c>
      <c r="H215" s="9">
        <v>4.45</v>
      </c>
      <c r="I215" s="9">
        <v>-659.0</v>
      </c>
      <c r="J215" s="1" t="s">
        <v>369</v>
      </c>
      <c r="K215" s="1" t="s">
        <v>1013</v>
      </c>
      <c r="L215" s="1" t="str">
        <f t="shared" si="1"/>
        <v>EASE-4-0Queen</v>
      </c>
      <c r="M215" s="1" t="s">
        <v>566</v>
      </c>
      <c r="N215" s="6">
        <v>999.0</v>
      </c>
      <c r="O215" s="6">
        <v>999.0</v>
      </c>
      <c r="P215" s="1" t="s">
        <v>468</v>
      </c>
      <c r="Q215" s="7"/>
      <c r="R215" s="1" t="s">
        <v>371</v>
      </c>
      <c r="S215" s="1" t="s">
        <v>31</v>
      </c>
      <c r="T215" s="1" t="s">
        <v>470</v>
      </c>
      <c r="U215" s="7"/>
      <c r="V215" s="7"/>
      <c r="W215" s="7"/>
      <c r="X215" s="7"/>
      <c r="Y215" s="7"/>
      <c r="Z215" s="7"/>
      <c r="AA215" s="11" t="str">
        <f>IFERROR(VLOOKUP(A215,Sheet3!B:H,6,false),VLOOKUP(J215,Sheet2!A:C,2,false))</f>
        <v>#N/A</v>
      </c>
      <c r="AB215" s="11" t="str">
        <f>IFERROR(VLOOKUP(A215,Sheet3!B:H,7,false),VLOOKUP(J215,Sheet2!A:C,3,false))</f>
        <v>#N/A</v>
      </c>
      <c r="AC215" s="8" t="str">
        <f t="shared" si="2"/>
        <v>https://rtg-275.myshopify.com/products/EASE-4-0</v>
      </c>
      <c r="AD215" s="8" t="str">
        <f>vlookup(L215,'Python sheet'!$E$2:$F$373,2,0)</f>
        <v>https://rtg-275.myshopify.com/products/EASE-4-0?variant=47915114135690</v>
      </c>
    </row>
    <row r="216">
      <c r="A216" s="4">
        <v>5.0700547E7</v>
      </c>
      <c r="B216" s="5"/>
      <c r="C216" s="5"/>
      <c r="D216" s="5"/>
      <c r="E216" s="5"/>
      <c r="F216" s="5"/>
      <c r="G216" s="5"/>
      <c r="H216" s="5"/>
      <c r="I216" s="5"/>
      <c r="J216" s="1" t="s">
        <v>28</v>
      </c>
      <c r="K216" s="1" t="s">
        <v>968</v>
      </c>
      <c r="L216" s="1" t="str">
        <f t="shared" si="1"/>
        <v>CASPER-CLOUD-ONEKing</v>
      </c>
      <c r="M216" s="1" t="s">
        <v>567</v>
      </c>
      <c r="N216" s="6">
        <v>1319.0</v>
      </c>
      <c r="O216" s="6">
        <v>1649.0</v>
      </c>
      <c r="P216" s="1" t="s">
        <v>30</v>
      </c>
      <c r="Q216" s="7"/>
      <c r="R216" s="7"/>
      <c r="S216" s="1" t="s">
        <v>31</v>
      </c>
      <c r="T216" s="1" t="s">
        <v>568</v>
      </c>
      <c r="U216" s="1" t="s">
        <v>33</v>
      </c>
      <c r="V216" s="1" t="s">
        <v>34</v>
      </c>
      <c r="W216" s="1" t="s">
        <v>35</v>
      </c>
      <c r="X216" s="1" t="s">
        <v>34</v>
      </c>
      <c r="Y216" s="1" t="s">
        <v>36</v>
      </c>
      <c r="Z216" s="1" t="s">
        <v>37</v>
      </c>
      <c r="AA216" s="8" t="str">
        <f>IFERROR(VLOOKUP(A216,Sheet3!B:H,6,false),VLOOKUP(J216,Sheet2!A:C,2,false))</f>
        <v>https://assets.roomstogo.com/product/casper-cloud-one-twin-xl-mattress_50000543_image-item</v>
      </c>
      <c r="AB216" s="8" t="str">
        <f>IFERROR(VLOOKUP(A216,Sheet3!B:H,7,false),VLOOKUP(J216,Sheet2!A:C,3,false))</f>
        <v>https://assets.roomstogo.com/product/casper-cloud-one-twin-xl-mattress_50000543_alt-image-1</v>
      </c>
      <c r="AC216" s="8" t="str">
        <f t="shared" si="2"/>
        <v>https://rtg-275.myshopify.com/products/CASPER-CLOUD-ONE</v>
      </c>
      <c r="AD216" s="8" t="str">
        <f>vlookup(L216,'Python sheet'!$E$2:$F$373,2,0)</f>
        <v>https://rtg-275.myshopify.com/products/CASPER-CLOUD-ONE?variant=47915101651082</v>
      </c>
    </row>
    <row r="217">
      <c r="A217" s="4">
        <v>5.0700573E7</v>
      </c>
      <c r="B217" s="9">
        <v>18.0</v>
      </c>
      <c r="C217" s="9">
        <v>4.22</v>
      </c>
      <c r="D217" s="2" t="s">
        <v>471</v>
      </c>
      <c r="E217" s="2" t="s">
        <v>44</v>
      </c>
      <c r="F217" s="2" t="s">
        <v>472</v>
      </c>
      <c r="G217" s="9">
        <v>807.0</v>
      </c>
      <c r="H217" s="9">
        <v>4.46</v>
      </c>
      <c r="I217" s="9">
        <v>789.0</v>
      </c>
      <c r="J217" s="1" t="s">
        <v>38</v>
      </c>
      <c r="K217" s="1" t="s">
        <v>969</v>
      </c>
      <c r="L217" s="1" t="str">
        <f t="shared" si="1"/>
        <v>CASPER-SNOW-2-0King</v>
      </c>
      <c r="M217" s="1" t="s">
        <v>569</v>
      </c>
      <c r="N217" s="6">
        <v>2595.0</v>
      </c>
      <c r="O217" s="6">
        <v>3295.0</v>
      </c>
      <c r="P217" s="1" t="s">
        <v>30</v>
      </c>
      <c r="Q217" s="7"/>
      <c r="R217" s="1" t="s">
        <v>40</v>
      </c>
      <c r="S217" s="1" t="s">
        <v>31</v>
      </c>
      <c r="T217" s="1" t="s">
        <v>568</v>
      </c>
      <c r="U217" s="1" t="s">
        <v>41</v>
      </c>
      <c r="V217" s="1" t="s">
        <v>34</v>
      </c>
      <c r="W217" s="1" t="s">
        <v>35</v>
      </c>
      <c r="X217" s="1" t="s">
        <v>34</v>
      </c>
      <c r="Y217" s="1" t="s">
        <v>42</v>
      </c>
      <c r="Z217" s="1" t="s">
        <v>37</v>
      </c>
      <c r="AA217" s="8" t="str">
        <f>IFERROR(VLOOKUP(A217,Sheet3!B:H,6,false),VLOOKUP(J217,Sheet2!A:C,2,false))</f>
        <v>https://assets.roomstogo.com/product/casper-snow-20-twin-xl-mattress_50000579_image-item</v>
      </c>
      <c r="AB217" s="8" t="str">
        <f>IFERROR(VLOOKUP(A217,Sheet3!B:H,7,false),VLOOKUP(J217,Sheet2!A:C,3,false))</f>
        <v>https://assets.roomstogo.com/product/casper-snow-20-twin-xl-mattress_50000579_alt-image-1</v>
      </c>
      <c r="AC217" s="8" t="str">
        <f t="shared" si="2"/>
        <v>https://rtg-275.myshopify.com/products/CASPER-SNOW-2-0</v>
      </c>
      <c r="AD217" s="8" t="str">
        <f>vlookup(L217,'Python sheet'!$E$2:$F$373,2,0)</f>
        <v>https://rtg-275.myshopify.com/products/CASPER-SNOW-2-0?variant=47915101847690</v>
      </c>
    </row>
    <row r="218">
      <c r="A218" s="4">
        <v>5.0700585E7</v>
      </c>
      <c r="B218" s="9">
        <v>3.0</v>
      </c>
      <c r="C218" s="9">
        <v>5.0</v>
      </c>
      <c r="D218" s="2" t="s">
        <v>43</v>
      </c>
      <c r="E218" s="2" t="s">
        <v>44</v>
      </c>
      <c r="F218" s="2" t="s">
        <v>45</v>
      </c>
      <c r="G218" s="9">
        <v>380.0</v>
      </c>
      <c r="H218" s="9">
        <v>4.42</v>
      </c>
      <c r="I218" s="9">
        <v>377.0</v>
      </c>
      <c r="J218" s="1" t="s">
        <v>46</v>
      </c>
      <c r="K218" s="1" t="s">
        <v>970</v>
      </c>
      <c r="L218" s="1" t="str">
        <f t="shared" si="1"/>
        <v>CASPER-SNOW-MAXKing</v>
      </c>
      <c r="M218" s="1" t="s">
        <v>570</v>
      </c>
      <c r="N218" s="6">
        <v>3895.0</v>
      </c>
      <c r="O218" s="6">
        <v>4895.0</v>
      </c>
      <c r="P218" s="1" t="s">
        <v>30</v>
      </c>
      <c r="Q218" s="7"/>
      <c r="R218" s="1" t="s">
        <v>48</v>
      </c>
      <c r="S218" s="1" t="s">
        <v>31</v>
      </c>
      <c r="T218" s="1" t="s">
        <v>568</v>
      </c>
      <c r="U218" s="1" t="s">
        <v>41</v>
      </c>
      <c r="V218" s="1" t="s">
        <v>42</v>
      </c>
      <c r="W218" s="1" t="s">
        <v>49</v>
      </c>
      <c r="X218" s="1" t="s">
        <v>34</v>
      </c>
      <c r="Y218" s="1" t="s">
        <v>50</v>
      </c>
      <c r="Z218" s="1" t="s">
        <v>51</v>
      </c>
      <c r="AA218" s="8" t="str">
        <f>IFERROR(VLOOKUP(A218,Sheet3!B:H,6,false),VLOOKUP(J218,Sheet2!A:C,2,false))</f>
        <v>https://assets.roomstogo.com/product/casper-snow-max-twin-xl-mattress_50000581_image-item</v>
      </c>
      <c r="AB218" s="8" t="str">
        <f>IFERROR(VLOOKUP(A218,Sheet3!B:H,7,false),VLOOKUP(J218,Sheet2!A:C,3,false))</f>
        <v>https://assets.roomstogo.com/product/casper-snow-max-twin-xl-mattress_50000581_alt-image-1</v>
      </c>
      <c r="AC218" s="8" t="str">
        <f t="shared" si="2"/>
        <v>https://rtg-275.myshopify.com/products/CASPER-SNOW-MAX</v>
      </c>
      <c r="AD218" s="8" t="str">
        <f>vlookup(L218,'Python sheet'!$E$2:$F$373,2,0)</f>
        <v>https://rtg-275.myshopify.com/products/CASPER-SNOW-MAX?variant=47915102077066</v>
      </c>
    </row>
    <row r="219">
      <c r="A219" s="4">
        <v>5.0700686E7</v>
      </c>
      <c r="B219" s="9">
        <v>1.0</v>
      </c>
      <c r="C219" s="9">
        <v>1.0</v>
      </c>
      <c r="D219" s="2" t="s">
        <v>377</v>
      </c>
      <c r="E219" s="2" t="s">
        <v>44</v>
      </c>
      <c r="F219" s="2" t="s">
        <v>378</v>
      </c>
      <c r="G219" s="9">
        <v>6.0</v>
      </c>
      <c r="H219" s="9">
        <v>3.67</v>
      </c>
      <c r="I219" s="9">
        <v>5.0</v>
      </c>
      <c r="J219" s="1" t="s">
        <v>52</v>
      </c>
      <c r="K219" s="1" t="s">
        <v>971</v>
      </c>
      <c r="L219" s="1" t="str">
        <f t="shared" si="1"/>
        <v>CASPER-ONYX-2-0King</v>
      </c>
      <c r="M219" s="1" t="s">
        <v>571</v>
      </c>
      <c r="N219" s="6">
        <v>1199.0</v>
      </c>
      <c r="O219" s="6">
        <v>1299.0</v>
      </c>
      <c r="P219" s="1" t="s">
        <v>30</v>
      </c>
      <c r="Q219" s="1" t="s">
        <v>54</v>
      </c>
      <c r="R219" s="1" t="s">
        <v>244</v>
      </c>
      <c r="S219" s="1" t="s">
        <v>31</v>
      </c>
      <c r="T219" s="1" t="s">
        <v>568</v>
      </c>
      <c r="U219" s="1" t="s">
        <v>33</v>
      </c>
      <c r="V219" s="1" t="s">
        <v>36</v>
      </c>
      <c r="W219" s="1" t="s">
        <v>35</v>
      </c>
      <c r="X219" s="1" t="s">
        <v>36</v>
      </c>
      <c r="Y219" s="1" t="s">
        <v>36</v>
      </c>
      <c r="Z219" s="1" t="s">
        <v>37</v>
      </c>
      <c r="AA219" s="8" t="str">
        <f>IFERROR(VLOOKUP(A219,Sheet3!B:H,6,false),VLOOKUP(J219,Sheet2!A:C,2,false))</f>
        <v>https://assets.roomstogo.com/product/casper-onyx-20-twin-xl-mattress_50000682_image-item</v>
      </c>
      <c r="AB219" s="8" t="str">
        <f>IFERROR(VLOOKUP(A219,Sheet3!B:H,7,false),VLOOKUP(J219,Sheet2!A:C,3,false))</f>
        <v>https://assets.roomstogo.com/product/casper-onyx-20-twin-xl-mattress_50000682_alt-image-1</v>
      </c>
      <c r="AC219" s="8" t="str">
        <f t="shared" si="2"/>
        <v>https://rtg-275.myshopify.com/products/CASPER-ONYX-2-0</v>
      </c>
      <c r="AD219" s="8" t="str">
        <f>vlookup(L219,'Python sheet'!$E$2:$F$373,2,0)</f>
        <v>https://rtg-275.myshopify.com/products/CASPER-ONYX-2-0?variant=47915102306442</v>
      </c>
    </row>
    <row r="220">
      <c r="A220" s="4">
        <v>5.0701777E7</v>
      </c>
      <c r="B220" s="9">
        <v>1.0</v>
      </c>
      <c r="C220" s="9">
        <v>5.0</v>
      </c>
      <c r="D220" s="2" t="s">
        <v>572</v>
      </c>
      <c r="E220" s="2" t="s">
        <v>44</v>
      </c>
      <c r="F220" s="2" t="s">
        <v>573</v>
      </c>
      <c r="G220" s="9">
        <v>1.0</v>
      </c>
      <c r="H220" s="9">
        <v>5.0</v>
      </c>
      <c r="I220" s="9">
        <v>0.0</v>
      </c>
      <c r="J220" s="1" t="s">
        <v>56</v>
      </c>
      <c r="K220" s="1" t="s">
        <v>972</v>
      </c>
      <c r="L220" s="1" t="str">
        <f t="shared" si="1"/>
        <v>SMART-MATCH-2-0King</v>
      </c>
      <c r="M220" s="1" t="s">
        <v>574</v>
      </c>
      <c r="N220" s="6">
        <v>1777.0</v>
      </c>
      <c r="O220" s="6">
        <v>4899.0</v>
      </c>
      <c r="P220" s="1" t="s">
        <v>58</v>
      </c>
      <c r="Q220" s="7"/>
      <c r="R220" s="7"/>
      <c r="S220" s="7"/>
      <c r="T220" s="1" t="s">
        <v>568</v>
      </c>
      <c r="U220" s="1" t="s">
        <v>59</v>
      </c>
      <c r="V220" s="1" t="s">
        <v>42</v>
      </c>
      <c r="W220" s="1" t="s">
        <v>35</v>
      </c>
      <c r="X220" s="1" t="s">
        <v>42</v>
      </c>
      <c r="Y220" s="1" t="s">
        <v>34</v>
      </c>
      <c r="Z220" s="1" t="s">
        <v>37</v>
      </c>
      <c r="AA220" s="8" t="str">
        <f>IFERROR(VLOOKUP(A220,Sheet3!B:H,6,false),VLOOKUP(J220,Sheet2!A:C,2,false))</f>
        <v>https://assets.roomstogo.com/product/kingsdown-smart-match-20-twin-xl-mattress_50001773_image-item</v>
      </c>
      <c r="AB220" s="8" t="str">
        <f>IFERROR(VLOOKUP(A220,Sheet3!B:H,7,false),VLOOKUP(J220,Sheet2!A:C,3,false))</f>
        <v>https://assets.roomstogo.com/product/kingsdown-smart-match-20-twin-xl-mattress_50001773_alt-image-1</v>
      </c>
      <c r="AC220" s="8" t="str">
        <f t="shared" si="2"/>
        <v>https://rtg-275.myshopify.com/products/SMART-MATCH-2-0</v>
      </c>
      <c r="AD220" s="8" t="str">
        <f>vlookup(L220,'Python sheet'!$E$2:$F$373,2,0)</f>
        <v>https://rtg-275.myshopify.com/products/SMART-MATCH-2-0?variant=47915102601354</v>
      </c>
    </row>
    <row r="221">
      <c r="A221" s="4">
        <v>5.0707464E7</v>
      </c>
      <c r="B221" s="9">
        <v>9.0</v>
      </c>
      <c r="C221" s="9">
        <v>3.22</v>
      </c>
      <c r="D221" s="2" t="s">
        <v>60</v>
      </c>
      <c r="E221" s="2" t="s">
        <v>44</v>
      </c>
      <c r="F221" s="2" t="s">
        <v>61</v>
      </c>
      <c r="G221" s="9">
        <v>346.0</v>
      </c>
      <c r="H221" s="9">
        <v>4.43</v>
      </c>
      <c r="I221" s="9">
        <v>337.0</v>
      </c>
      <c r="J221" s="1" t="s">
        <v>62</v>
      </c>
      <c r="K221" s="1" t="s">
        <v>973</v>
      </c>
      <c r="L221" s="1" t="str">
        <f t="shared" si="1"/>
        <v>ADAPT-2-0-MEDIUMKing</v>
      </c>
      <c r="M221" s="1" t="s">
        <v>575</v>
      </c>
      <c r="N221" s="6">
        <v>2899.0</v>
      </c>
      <c r="O221" s="6">
        <v>2899.0</v>
      </c>
      <c r="P221" s="1" t="s">
        <v>64</v>
      </c>
      <c r="Q221" s="7"/>
      <c r="R221" s="1" t="s">
        <v>65</v>
      </c>
      <c r="S221" s="1" t="s">
        <v>31</v>
      </c>
      <c r="T221" s="1" t="s">
        <v>568</v>
      </c>
      <c r="U221" s="1" t="s">
        <v>33</v>
      </c>
      <c r="V221" s="1" t="s">
        <v>42</v>
      </c>
      <c r="W221" s="1" t="s">
        <v>35</v>
      </c>
      <c r="X221" s="1" t="s">
        <v>42</v>
      </c>
      <c r="Y221" s="1" t="s">
        <v>42</v>
      </c>
      <c r="Z221" s="1" t="s">
        <v>37</v>
      </c>
      <c r="AA221" s="8" t="str">
        <f>IFERROR(VLOOKUP(A221,Sheet3!B:H,6,false),VLOOKUP(J221,Sheet2!A:C,2,false))</f>
        <v>https://assets.roomstogo.com/product/tempur-pedic-adapt-20-medium-twin-xl-mattress_50007460_image-item</v>
      </c>
      <c r="AB221" s="8" t="str">
        <f>IFERROR(VLOOKUP(A221,Sheet3!B:H,7,false),VLOOKUP(J221,Sheet2!A:C,3,false))</f>
        <v>https://assets.roomstogo.com/product/tempur-pedic-adapt-20-medium-twin-xl-mattress_50007460_alt-image-1</v>
      </c>
      <c r="AC221" s="8" t="str">
        <f t="shared" si="2"/>
        <v>https://rtg-275.myshopify.com/products/ADAPT-2-0-MEDIUM</v>
      </c>
      <c r="AD221" s="8" t="str">
        <f>vlookup(L221,'Python sheet'!$E$2:$F$373,2,0)</f>
        <v>https://rtg-275.myshopify.com/products/ADAPT-2-0-MEDIUM?variant=47915102896266</v>
      </c>
    </row>
    <row r="222">
      <c r="A222" s="4">
        <v>5.0707476E7</v>
      </c>
      <c r="B222" s="9">
        <v>4.0</v>
      </c>
      <c r="C222" s="9">
        <v>3.25</v>
      </c>
      <c r="D222" s="2" t="s">
        <v>66</v>
      </c>
      <c r="E222" s="2" t="s">
        <v>44</v>
      </c>
      <c r="F222" s="2" t="s">
        <v>67</v>
      </c>
      <c r="G222" s="9">
        <v>2587.0</v>
      </c>
      <c r="H222" s="9">
        <v>4.2</v>
      </c>
      <c r="I222" s="9">
        <v>2583.0</v>
      </c>
      <c r="J222" s="1" t="s">
        <v>68</v>
      </c>
      <c r="K222" s="1" t="s">
        <v>974</v>
      </c>
      <c r="L222" s="1" t="str">
        <f t="shared" si="1"/>
        <v>ADAPT-2-0-MEDIUM-HYBRIDKing</v>
      </c>
      <c r="M222" s="1" t="s">
        <v>576</v>
      </c>
      <c r="N222" s="6">
        <v>3199.0</v>
      </c>
      <c r="O222" s="6">
        <v>3199.0</v>
      </c>
      <c r="P222" s="1" t="s">
        <v>64</v>
      </c>
      <c r="Q222" s="7"/>
      <c r="R222" s="1" t="s">
        <v>70</v>
      </c>
      <c r="S222" s="1" t="s">
        <v>31</v>
      </c>
      <c r="T222" s="1" t="s">
        <v>568</v>
      </c>
      <c r="U222" s="1" t="s">
        <v>41</v>
      </c>
      <c r="V222" s="1" t="s">
        <v>42</v>
      </c>
      <c r="W222" s="1" t="s">
        <v>35</v>
      </c>
      <c r="X222" s="1" t="s">
        <v>42</v>
      </c>
      <c r="Y222" s="1" t="s">
        <v>42</v>
      </c>
      <c r="Z222" s="1" t="s">
        <v>37</v>
      </c>
      <c r="AA222" s="8" t="str">
        <f>IFERROR(VLOOKUP(A222,Sheet3!B:H,6,false),VLOOKUP(J222,Sheet2!A:C,2,false))</f>
        <v>https://assets.roomstogo.com/product/tempur-pedic-adapt-20-medium-hybrid-twin-xl-mattress_50007472_image-item</v>
      </c>
      <c r="AB222" s="8" t="str">
        <f>IFERROR(VLOOKUP(A222,Sheet3!B:H,7,false),VLOOKUP(J222,Sheet2!A:C,3,false))</f>
        <v>https://assets.roomstogo.com/product/tempur-pedic-adapt-20-medium-hybrid-twin-xl-mattress_50007472_alt-image-1</v>
      </c>
      <c r="AC222" s="8" t="str">
        <f t="shared" si="2"/>
        <v>https://rtg-275.myshopify.com/products/ADAPT-2-0-MEDIUM-HYBRID</v>
      </c>
      <c r="AD222" s="8" t="str">
        <f>vlookup(L222,'Python sheet'!$E$2:$F$373,2,0)</f>
        <v>https://rtg-275.myshopify.com/products/ADAPT-2-0-MEDIUM-HYBRID?variant=47915103256714</v>
      </c>
    </row>
    <row r="223">
      <c r="A223" s="4">
        <v>5.0707488E7</v>
      </c>
      <c r="B223" s="9">
        <v>3.0</v>
      </c>
      <c r="C223" s="9">
        <v>5.0</v>
      </c>
      <c r="D223" s="2" t="s">
        <v>71</v>
      </c>
      <c r="E223" s="2" t="s">
        <v>44</v>
      </c>
      <c r="F223" s="2" t="s">
        <v>72</v>
      </c>
      <c r="G223" s="9">
        <v>245.0</v>
      </c>
      <c r="H223" s="9">
        <v>4.62</v>
      </c>
      <c r="I223" s="9">
        <v>242.0</v>
      </c>
      <c r="J223" s="1" t="s">
        <v>73</v>
      </c>
      <c r="K223" s="1" t="s">
        <v>975</v>
      </c>
      <c r="L223" s="1" t="str">
        <f t="shared" si="1"/>
        <v>PROADAPT-2-0-FIRMKing</v>
      </c>
      <c r="M223" s="1" t="s">
        <v>577</v>
      </c>
      <c r="N223" s="6">
        <v>4099.0</v>
      </c>
      <c r="O223" s="6">
        <v>4099.0</v>
      </c>
      <c r="P223" s="1" t="s">
        <v>64</v>
      </c>
      <c r="Q223" s="7"/>
      <c r="R223" s="1" t="s">
        <v>75</v>
      </c>
      <c r="S223" s="1" t="s">
        <v>31</v>
      </c>
      <c r="T223" s="1" t="s">
        <v>568</v>
      </c>
      <c r="U223" s="1" t="s">
        <v>33</v>
      </c>
      <c r="V223" s="1" t="s">
        <v>42</v>
      </c>
      <c r="W223" s="1" t="s">
        <v>76</v>
      </c>
      <c r="X223" s="1" t="s">
        <v>50</v>
      </c>
      <c r="Y223" s="1" t="s">
        <v>42</v>
      </c>
      <c r="Z223" s="1" t="s">
        <v>77</v>
      </c>
      <c r="AA223" s="8" t="str">
        <f>IFERROR(VLOOKUP(A223,Sheet3!B:H,6,false),VLOOKUP(J223,Sheet2!A:C,2,false))</f>
        <v>https://assets.roomstogo.com/product/tempur-pedic-proadapt-20-firm-twin-xl-mattress_50007484_image-item</v>
      </c>
      <c r="AB223" s="8" t="str">
        <f>IFERROR(VLOOKUP(A223,Sheet3!B:H,7,false),VLOOKUP(J223,Sheet2!A:C,3,false))</f>
        <v>https://assets.roomstogo.com/product/tempur-pedic-proadapt-20-firm-twin-xl-mattress_50007484_alt-image-1</v>
      </c>
      <c r="AC223" s="8" t="str">
        <f t="shared" si="2"/>
        <v>https://rtg-275.myshopify.com/products/PROADAPT-2-0-FIRM</v>
      </c>
      <c r="AD223" s="8" t="str">
        <f>vlookup(L223,'Python sheet'!$E$2:$F$373,2,0)</f>
        <v>https://rtg-275.myshopify.com/products/PROADAPT-2-0-FIRM?variant=47915103584394</v>
      </c>
    </row>
    <row r="224">
      <c r="A224" s="4">
        <v>5.0707515E7</v>
      </c>
      <c r="B224" s="9">
        <v>3.0</v>
      </c>
      <c r="C224" s="9">
        <v>5.0</v>
      </c>
      <c r="D224" s="2" t="s">
        <v>78</v>
      </c>
      <c r="E224" s="2" t="s">
        <v>44</v>
      </c>
      <c r="F224" s="2" t="s">
        <v>79</v>
      </c>
      <c r="G224" s="9">
        <v>306.0</v>
      </c>
      <c r="H224" s="9">
        <v>4.48</v>
      </c>
      <c r="I224" s="9">
        <v>303.0</v>
      </c>
      <c r="J224" s="1" t="s">
        <v>80</v>
      </c>
      <c r="K224" s="1" t="s">
        <v>976</v>
      </c>
      <c r="L224" s="1" t="str">
        <f t="shared" si="1"/>
        <v>PROBREEZE-2-0-MEDIUM-HYBRIDKing</v>
      </c>
      <c r="M224" s="1" t="s">
        <v>578</v>
      </c>
      <c r="N224" s="6">
        <v>5099.0</v>
      </c>
      <c r="O224" s="6">
        <v>5099.0</v>
      </c>
      <c r="P224" s="1" t="s">
        <v>64</v>
      </c>
      <c r="Q224" s="7"/>
      <c r="R224" s="1" t="s">
        <v>82</v>
      </c>
      <c r="S224" s="1" t="s">
        <v>31</v>
      </c>
      <c r="T224" s="1" t="s">
        <v>568</v>
      </c>
      <c r="U224" s="1" t="s">
        <v>41</v>
      </c>
      <c r="V224" s="1" t="s">
        <v>42</v>
      </c>
      <c r="W224" s="1" t="s">
        <v>35</v>
      </c>
      <c r="X224" s="1" t="s">
        <v>50</v>
      </c>
      <c r="Y224" s="1" t="s">
        <v>50</v>
      </c>
      <c r="Z224" s="1" t="s">
        <v>37</v>
      </c>
      <c r="AA224" s="8" t="str">
        <f>IFERROR(VLOOKUP(A224,Sheet3!B:H,6,false),VLOOKUP(J224,Sheet2!A:C,2,false))</f>
        <v>https://assets.roomstogo.com/product/tempur-pedic-probreeze-20-medium-hybrid-twin-xl-mattress_50007511_image-item</v>
      </c>
      <c r="AB224" s="8" t="str">
        <f>IFERROR(VLOOKUP(A224,Sheet3!B:H,7,false),VLOOKUP(J224,Sheet2!A:C,3,false))</f>
        <v>https://assets.roomstogo.com/product/tempur-pedic-probreeze-20-medium-hybrid-twin-xl-mattress_50007511_image-item</v>
      </c>
      <c r="AC224" s="8" t="str">
        <f t="shared" si="2"/>
        <v>https://rtg-275.myshopify.com/products/PROBREEZE-2-0-MEDIUM-HYBRID</v>
      </c>
      <c r="AD224" s="8" t="str">
        <f>vlookup(L224,'Python sheet'!$E$2:$F$373,2,0)</f>
        <v>https://rtg-275.myshopify.com/products/PROBREEZE-2-0-MEDIUM-HYBRID?variant=47915104108682</v>
      </c>
    </row>
    <row r="225">
      <c r="A225" s="4">
        <v>5.0707527E7</v>
      </c>
      <c r="B225" s="9">
        <v>1.0</v>
      </c>
      <c r="C225" s="9">
        <v>1.0</v>
      </c>
      <c r="D225" s="2" t="s">
        <v>83</v>
      </c>
      <c r="E225" s="2" t="s">
        <v>44</v>
      </c>
      <c r="F225" s="2" t="s">
        <v>84</v>
      </c>
      <c r="G225" s="9">
        <v>5219.0</v>
      </c>
      <c r="H225" s="9">
        <v>4.27</v>
      </c>
      <c r="I225" s="9">
        <v>5218.0</v>
      </c>
      <c r="J225" s="1" t="s">
        <v>85</v>
      </c>
      <c r="K225" s="1" t="s">
        <v>977</v>
      </c>
      <c r="L225" s="1" t="str">
        <f t="shared" si="1"/>
        <v>PROADAPT-2-0-MEDIUMKing</v>
      </c>
      <c r="M225" s="1" t="s">
        <v>579</v>
      </c>
      <c r="N225" s="6">
        <v>4099.0</v>
      </c>
      <c r="O225" s="6">
        <v>4099.0</v>
      </c>
      <c r="P225" s="1" t="s">
        <v>64</v>
      </c>
      <c r="Q225" s="7"/>
      <c r="R225" s="1" t="s">
        <v>75</v>
      </c>
      <c r="S225" s="1" t="s">
        <v>31</v>
      </c>
      <c r="T225" s="1" t="s">
        <v>568</v>
      </c>
      <c r="U225" s="1" t="s">
        <v>33</v>
      </c>
      <c r="V225" s="1" t="s">
        <v>42</v>
      </c>
      <c r="W225" s="1" t="s">
        <v>35</v>
      </c>
      <c r="X225" s="1" t="s">
        <v>50</v>
      </c>
      <c r="Y225" s="1" t="s">
        <v>42</v>
      </c>
      <c r="Z225" s="1" t="s">
        <v>37</v>
      </c>
      <c r="AA225" s="8" t="str">
        <f>IFERROR(VLOOKUP(A225,Sheet3!B:H,6,false),VLOOKUP(J225,Sheet2!A:C,2,false))</f>
        <v>https://assets.roomstogo.com/product/tempur-pedic-proadapt-20-medium-twin-xl-mattress_50007523_image-item</v>
      </c>
      <c r="AB225" s="8" t="str">
        <f>IFERROR(VLOOKUP(A225,Sheet3!B:H,7,false),VLOOKUP(J225,Sheet2!A:C,3,false))</f>
        <v>https://assets.roomstogo.com/product/tempur-pedic-proadapt-20-medium-twin-xl-mattress_50007523_alt-image-1</v>
      </c>
      <c r="AC225" s="8" t="str">
        <f t="shared" si="2"/>
        <v>https://rtg-275.myshopify.com/products/PROADAPT-2-0-MEDIUM</v>
      </c>
      <c r="AD225" s="8" t="str">
        <f>vlookup(L225,'Python sheet'!$E$2:$F$373,2,0)</f>
        <v>https://rtg-275.myshopify.com/products/PROADAPT-2-0-MEDIUM?variant=47915104436362</v>
      </c>
    </row>
    <row r="226">
      <c r="A226" s="4">
        <v>5.0707539E7</v>
      </c>
      <c r="B226" s="9">
        <v>2.0</v>
      </c>
      <c r="C226" s="9">
        <v>1.0</v>
      </c>
      <c r="D226" s="2" t="s">
        <v>87</v>
      </c>
      <c r="E226" s="2" t="s">
        <v>44</v>
      </c>
      <c r="F226" s="2" t="s">
        <v>88</v>
      </c>
      <c r="G226" s="9">
        <v>77.0</v>
      </c>
      <c r="H226" s="9">
        <v>4.19</v>
      </c>
      <c r="I226" s="9">
        <v>75.0</v>
      </c>
      <c r="J226" s="1" t="s">
        <v>89</v>
      </c>
      <c r="K226" s="1" t="s">
        <v>978</v>
      </c>
      <c r="L226" s="1" t="str">
        <f t="shared" si="1"/>
        <v>PROADAPT-2-0-SOFTKing</v>
      </c>
      <c r="M226" s="1" t="s">
        <v>580</v>
      </c>
      <c r="N226" s="6">
        <v>4099.0</v>
      </c>
      <c r="O226" s="6">
        <v>4099.0</v>
      </c>
      <c r="P226" s="1" t="s">
        <v>64</v>
      </c>
      <c r="Q226" s="7"/>
      <c r="R226" s="1" t="s">
        <v>91</v>
      </c>
      <c r="S226" s="1" t="s">
        <v>31</v>
      </c>
      <c r="T226" s="1" t="s">
        <v>568</v>
      </c>
      <c r="U226" s="1" t="s">
        <v>33</v>
      </c>
      <c r="V226" s="1" t="s">
        <v>50</v>
      </c>
      <c r="W226" s="1" t="s">
        <v>49</v>
      </c>
      <c r="X226" s="1" t="s">
        <v>50</v>
      </c>
      <c r="Y226" s="1" t="s">
        <v>42</v>
      </c>
      <c r="Z226" s="1" t="s">
        <v>51</v>
      </c>
      <c r="AA226" s="8" t="str">
        <f>IFERROR(VLOOKUP(A226,Sheet3!B:H,6,false),VLOOKUP(J226,Sheet2!A:C,2,false))</f>
        <v>https://assets.roomstogo.com/product/tempur-pedic-proadapt-20-soft-twin-xl-mattress_50007535_image-item</v>
      </c>
      <c r="AB226" s="8" t="str">
        <f>IFERROR(VLOOKUP(A226,Sheet3!B:H,7,false),VLOOKUP(J226,Sheet2!A:C,3,false))</f>
        <v>https://assets.roomstogo.com/product/tempur-pedic-proadapt-20-soft-twin-xl-mattress_50007535_alt-image-1</v>
      </c>
      <c r="AC226" s="8" t="str">
        <f t="shared" si="2"/>
        <v>https://rtg-275.myshopify.com/products/PROADAPT-2-0-SOFT</v>
      </c>
      <c r="AD226" s="8" t="str">
        <f>vlookup(L226,'Python sheet'!$E$2:$F$373,2,0)</f>
        <v>https://rtg-275.myshopify.com/products/PROADAPT-2-0-SOFT?variant=47915104698506</v>
      </c>
    </row>
    <row r="227">
      <c r="A227" s="4">
        <v>5.0707553E7</v>
      </c>
      <c r="B227" s="9">
        <v>7.0</v>
      </c>
      <c r="C227" s="9">
        <v>4.43</v>
      </c>
      <c r="D227" s="2" t="s">
        <v>92</v>
      </c>
      <c r="E227" s="2" t="s">
        <v>44</v>
      </c>
      <c r="F227" s="2" t="s">
        <v>93</v>
      </c>
      <c r="G227" s="9">
        <v>975.0</v>
      </c>
      <c r="H227" s="9">
        <v>4.38</v>
      </c>
      <c r="I227" s="9">
        <v>968.0</v>
      </c>
      <c r="J227" s="1" t="s">
        <v>94</v>
      </c>
      <c r="K227" s="1" t="s">
        <v>979</v>
      </c>
      <c r="L227" s="1" t="str">
        <f t="shared" si="1"/>
        <v>PROADAPT-2-0-MEDIUM-HYBRIDKing</v>
      </c>
      <c r="M227" s="1" t="s">
        <v>581</v>
      </c>
      <c r="N227" s="6">
        <v>4099.0</v>
      </c>
      <c r="O227" s="6">
        <v>4099.0</v>
      </c>
      <c r="P227" s="1" t="s">
        <v>64</v>
      </c>
      <c r="Q227" s="7"/>
      <c r="R227" s="1" t="s">
        <v>390</v>
      </c>
      <c r="S227" s="1" t="s">
        <v>31</v>
      </c>
      <c r="T227" s="1" t="s">
        <v>568</v>
      </c>
      <c r="U227" s="1" t="s">
        <v>41</v>
      </c>
      <c r="V227" s="1" t="s">
        <v>42</v>
      </c>
      <c r="W227" s="1" t="s">
        <v>35</v>
      </c>
      <c r="X227" s="1" t="s">
        <v>50</v>
      </c>
      <c r="Y227" s="1" t="s">
        <v>42</v>
      </c>
      <c r="Z227" s="1" t="s">
        <v>37</v>
      </c>
      <c r="AA227" s="8" t="str">
        <f>IFERROR(VLOOKUP(A227,Sheet3!B:H,6,false),VLOOKUP(J227,Sheet2!A:C,2,false))</f>
        <v>https://assets.roomstogo.com/product/tempur-pedic-proadapt-20-medium-hybrid-twin-xl-mattress_50007559_image-item</v>
      </c>
      <c r="AB227" s="8" t="str">
        <f>IFERROR(VLOOKUP(A227,Sheet3!B:H,7,false),VLOOKUP(J227,Sheet2!A:C,3,false))</f>
        <v>https://assets.roomstogo.com/product/tempur-pedic-proadapt-20-medium-hybrid-twin-xl-mattress_50007559_alt-image-1</v>
      </c>
      <c r="AC227" s="8" t="str">
        <f t="shared" si="2"/>
        <v>https://rtg-275.myshopify.com/products/PROADAPT-2-0-MEDIUM-HYBRID</v>
      </c>
      <c r="AD227" s="8" t="str">
        <f>vlookup(L227,'Python sheet'!$E$2:$F$373,2,0)</f>
        <v>https://rtg-275.myshopify.com/products/PROADAPT-2-0-MEDIUM-HYBRID?variant=47915105026186</v>
      </c>
    </row>
    <row r="228">
      <c r="A228" s="4">
        <v>5.0707565E7</v>
      </c>
      <c r="B228" s="9">
        <v>1.0</v>
      </c>
      <c r="C228" s="9">
        <v>3.0</v>
      </c>
      <c r="D228" s="2" t="s">
        <v>97</v>
      </c>
      <c r="E228" s="2" t="s">
        <v>44</v>
      </c>
      <c r="F228" s="2" t="s">
        <v>98</v>
      </c>
      <c r="G228" s="9">
        <v>1234.0</v>
      </c>
      <c r="H228" s="9">
        <v>4.24</v>
      </c>
      <c r="I228" s="9">
        <v>1233.0</v>
      </c>
      <c r="J228" s="1" t="s">
        <v>99</v>
      </c>
      <c r="K228" s="1" t="s">
        <v>980</v>
      </c>
      <c r="L228" s="1" t="str">
        <f t="shared" si="1"/>
        <v>LUXEADAPT-2-0-SOFTKing</v>
      </c>
      <c r="M228" s="1" t="s">
        <v>582</v>
      </c>
      <c r="N228" s="6">
        <v>5399.0</v>
      </c>
      <c r="O228" s="6">
        <v>5399.0</v>
      </c>
      <c r="P228" s="1" t="s">
        <v>64</v>
      </c>
      <c r="Q228" s="7"/>
      <c r="R228" s="1" t="s">
        <v>101</v>
      </c>
      <c r="S228" s="1" t="s">
        <v>31</v>
      </c>
      <c r="T228" s="1" t="s">
        <v>568</v>
      </c>
      <c r="U228" s="1" t="s">
        <v>33</v>
      </c>
      <c r="V228" s="1" t="s">
        <v>50</v>
      </c>
      <c r="W228" s="1" t="s">
        <v>49</v>
      </c>
      <c r="X228" s="1" t="s">
        <v>50</v>
      </c>
      <c r="Y228" s="1" t="s">
        <v>42</v>
      </c>
      <c r="Z228" s="1" t="s">
        <v>51</v>
      </c>
      <c r="AA228" s="8" t="str">
        <f>IFERROR(VLOOKUP(A228,Sheet3!B:H,6,false),VLOOKUP(J228,Sheet2!A:C,2,false))</f>
        <v>https://assets.roomstogo.com/product/tempur-pedic-luxeadapt-20-soft-twin-xl-mattress_50007561_image-item</v>
      </c>
      <c r="AB228" s="8" t="str">
        <f>IFERROR(VLOOKUP(A228,Sheet3!B:H,7,false),VLOOKUP(J228,Sheet2!A:C,3,false))</f>
        <v>https://assets.roomstogo.com/product/tempur-pedic-luxeadapt-20-soft-twin-xl-mattress_50007561_alt-image-1</v>
      </c>
      <c r="AC228" s="8" t="str">
        <f t="shared" si="2"/>
        <v>https://rtg-275.myshopify.com/products/LUXEADAPT-2-0-SOFT</v>
      </c>
      <c r="AD228" s="8" t="str">
        <f>vlookup(L228,'Python sheet'!$E$2:$F$373,2,0)</f>
        <v>https://rtg-275.myshopify.com/products/LUXEADAPT-2-0-SOFT?variant=47915105222794</v>
      </c>
    </row>
    <row r="229">
      <c r="A229" s="4">
        <v>5.0707589E7</v>
      </c>
      <c r="B229" s="9">
        <v>1.0</v>
      </c>
      <c r="C229" s="9">
        <v>5.0</v>
      </c>
      <c r="D229" s="2" t="s">
        <v>102</v>
      </c>
      <c r="E229" s="2" t="s">
        <v>44</v>
      </c>
      <c r="F229" s="2" t="s">
        <v>103</v>
      </c>
      <c r="G229" s="9">
        <v>129.0</v>
      </c>
      <c r="H229" s="9">
        <v>4.62</v>
      </c>
      <c r="I229" s="9">
        <v>128.0</v>
      </c>
      <c r="J229" s="1" t="s">
        <v>104</v>
      </c>
      <c r="K229" s="1" t="s">
        <v>981</v>
      </c>
      <c r="L229" s="1" t="str">
        <f t="shared" si="1"/>
        <v>LUXEADAPT-2-0-MEDIUM-HYBRIDKing</v>
      </c>
      <c r="M229" s="1" t="s">
        <v>583</v>
      </c>
      <c r="N229" s="6">
        <v>5399.0</v>
      </c>
      <c r="O229" s="6">
        <v>5399.0</v>
      </c>
      <c r="P229" s="1" t="s">
        <v>64</v>
      </c>
      <c r="Q229" s="7"/>
      <c r="R229" s="1" t="s">
        <v>106</v>
      </c>
      <c r="S229" s="1" t="s">
        <v>31</v>
      </c>
      <c r="T229" s="1" t="s">
        <v>568</v>
      </c>
      <c r="U229" s="1" t="s">
        <v>41</v>
      </c>
      <c r="V229" s="1" t="s">
        <v>50</v>
      </c>
      <c r="W229" s="1" t="s">
        <v>35</v>
      </c>
      <c r="X229" s="1" t="s">
        <v>50</v>
      </c>
      <c r="Y229" s="1" t="s">
        <v>42</v>
      </c>
      <c r="Z229" s="1" t="s">
        <v>37</v>
      </c>
      <c r="AA229" s="8" t="str">
        <f>IFERROR(VLOOKUP(A229,Sheet3!B:H,6,false),VLOOKUP(J229,Sheet2!A:C,2,false))</f>
        <v>https://assets.roomstogo.com/product/tempur-pedic-luxeadapt-20-medium-hybrid-twin-xl-mattress_50007585_image-item</v>
      </c>
      <c r="AB229" s="8" t="str">
        <f>IFERROR(VLOOKUP(A229,Sheet3!B:H,7,false),VLOOKUP(J229,Sheet2!A:C,3,false))</f>
        <v>https://assets.roomstogo.com/product/tempur-pedic-luxeadapt-20-medium-hybrid-twin-xl-mattress_50007585_alt-image-1</v>
      </c>
      <c r="AC229" s="8" t="str">
        <f t="shared" si="2"/>
        <v>https://rtg-275.myshopify.com/products/LUXEADAPT-2-0-MEDIUM-HYBRID</v>
      </c>
      <c r="AD229" s="8" t="str">
        <f>vlookup(L229,'Python sheet'!$E$2:$F$373,2,0)</f>
        <v>https://rtg-275.myshopify.com/products/LUXEADAPT-2-0-MEDIUM-HYBRID?variant=47915105452170</v>
      </c>
    </row>
    <row r="230">
      <c r="A230" s="4">
        <v>5.0707628E7</v>
      </c>
      <c r="B230" s="9">
        <v>4.0</v>
      </c>
      <c r="C230" s="9">
        <v>4.25</v>
      </c>
      <c r="D230" s="2" t="s">
        <v>107</v>
      </c>
      <c r="E230" s="2" t="s">
        <v>44</v>
      </c>
      <c r="F230" s="2" t="s">
        <v>108</v>
      </c>
      <c r="G230" s="9">
        <v>440.0</v>
      </c>
      <c r="H230" s="9">
        <v>4.54</v>
      </c>
      <c r="I230" s="9">
        <v>436.0</v>
      </c>
      <c r="J230" s="1" t="s">
        <v>109</v>
      </c>
      <c r="K230" s="1" t="s">
        <v>982</v>
      </c>
      <c r="L230" s="1" t="str">
        <f t="shared" si="1"/>
        <v>LUXEBREEZE-2-0-FIRMKing</v>
      </c>
      <c r="M230" s="1" t="s">
        <v>584</v>
      </c>
      <c r="N230" s="6">
        <v>6399.0</v>
      </c>
      <c r="O230" s="6">
        <v>6399.0</v>
      </c>
      <c r="P230" s="1" t="s">
        <v>64</v>
      </c>
      <c r="Q230" s="7"/>
      <c r="R230" s="1" t="s">
        <v>111</v>
      </c>
      <c r="S230" s="1" t="s">
        <v>31</v>
      </c>
      <c r="T230" s="1" t="s">
        <v>568</v>
      </c>
      <c r="U230" s="1" t="s">
        <v>33</v>
      </c>
      <c r="V230" s="1" t="s">
        <v>50</v>
      </c>
      <c r="W230" s="1" t="s">
        <v>76</v>
      </c>
      <c r="X230" s="1" t="s">
        <v>50</v>
      </c>
      <c r="Y230" s="1" t="s">
        <v>50</v>
      </c>
      <c r="Z230" s="1" t="s">
        <v>77</v>
      </c>
      <c r="AA230" s="8" t="str">
        <f>IFERROR(VLOOKUP(A230,Sheet3!B:H,6,false),VLOOKUP(J230,Sheet2!A:C,2,false))</f>
        <v>https://assets.roomstogo.com/product/tempur-pedic-luxebreeze-20-firm-twin-xl-mattress_50007624_image-item</v>
      </c>
      <c r="AB230" s="8" t="str">
        <f>IFERROR(VLOOKUP(A230,Sheet3!B:H,7,false),VLOOKUP(J230,Sheet2!A:C,3,false))</f>
        <v>https://assets.roomstogo.com/product/tempur-pedic-luxebreeze-20-firm-twin-xl-mattress_50007624_image-item</v>
      </c>
      <c r="AC230" s="8" t="str">
        <f t="shared" si="2"/>
        <v>https://rtg-275.myshopify.com/products/LUXEBREEZE-2-0-FIRM</v>
      </c>
      <c r="AD230" s="8" t="str">
        <f>vlookup(L230,'Python sheet'!$E$2:$F$373,2,0)</f>
        <v>https://rtg-275.myshopify.com/products/LUXEBREEZE-2-0-FIRM?variant=47915105648778</v>
      </c>
    </row>
    <row r="231">
      <c r="A231" s="4">
        <v>5.0709874E7</v>
      </c>
      <c r="B231" s="9">
        <v>2.0</v>
      </c>
      <c r="C231" s="9">
        <v>2.5</v>
      </c>
      <c r="D231" s="2" t="s">
        <v>391</v>
      </c>
      <c r="E231" s="2" t="s">
        <v>44</v>
      </c>
      <c r="F231" s="2" t="s">
        <v>392</v>
      </c>
      <c r="G231" s="9">
        <v>10.0</v>
      </c>
      <c r="H231" s="9">
        <v>4.0</v>
      </c>
      <c r="I231" s="9">
        <v>8.0</v>
      </c>
      <c r="J231" s="1" t="s">
        <v>112</v>
      </c>
      <c r="K231" s="1" t="s">
        <v>983</v>
      </c>
      <c r="L231" s="1" t="str">
        <f t="shared" si="1"/>
        <v>TUFT-NEEDLE-STITCH-TN3-1King</v>
      </c>
      <c r="M231" s="1" t="s">
        <v>585</v>
      </c>
      <c r="N231" s="6">
        <v>1397.0</v>
      </c>
      <c r="O231" s="6">
        <v>1699.0</v>
      </c>
      <c r="P231" s="1" t="s">
        <v>114</v>
      </c>
      <c r="Q231" s="1" t="s">
        <v>54</v>
      </c>
      <c r="R231" s="7"/>
      <c r="S231" s="1" t="s">
        <v>31</v>
      </c>
      <c r="T231" s="1" t="s">
        <v>568</v>
      </c>
      <c r="U231" s="1" t="s">
        <v>41</v>
      </c>
      <c r="V231" s="1" t="s">
        <v>34</v>
      </c>
      <c r="W231" s="1" t="s">
        <v>35</v>
      </c>
      <c r="X231" s="1" t="s">
        <v>34</v>
      </c>
      <c r="Y231" s="1" t="s">
        <v>34</v>
      </c>
      <c r="Z231" s="1" t="s">
        <v>37</v>
      </c>
      <c r="AA231" s="8" t="str">
        <f>IFERROR(VLOOKUP(A231,Sheet3!B:H,6,false),VLOOKUP(J231,Sheet2!A:C,2,false))</f>
        <v>https://assets.roomstogo.com/product/tuft-needle-stitch-tn31-twin-xl-mattress_50009870_image-item</v>
      </c>
      <c r="AB231" s="8" t="str">
        <f>IFERROR(VLOOKUP(A231,Sheet3!B:H,7,false),VLOOKUP(J231,Sheet2!A:C,3,false))</f>
        <v>https://assets.roomstogo.com/product/tuft-needle-stitch-tn31-twin-xl-mattress_50009870_alt-image-1</v>
      </c>
      <c r="AC231" s="8" t="str">
        <f t="shared" si="2"/>
        <v>https://rtg-275.myshopify.com/products/TUFT-NEEDLE-STITCH-TN3-1</v>
      </c>
      <c r="AD231" s="8" t="str">
        <f>vlookup(L231,'Python sheet'!$E$2:$F$373,2,0)</f>
        <v>https://rtg-275.myshopify.com/products/TUFT-NEEDLE-STITCH-TN3-1?variant=47915106041994</v>
      </c>
    </row>
    <row r="232">
      <c r="A232" s="4">
        <v>5.0709886E7</v>
      </c>
      <c r="B232" s="9">
        <v>5.0</v>
      </c>
      <c r="C232" s="9">
        <v>3.6</v>
      </c>
      <c r="D232" s="2" t="s">
        <v>394</v>
      </c>
      <c r="E232" s="2" t="s">
        <v>44</v>
      </c>
      <c r="F232" s="2" t="s">
        <v>395</v>
      </c>
      <c r="G232" s="9">
        <v>11.0</v>
      </c>
      <c r="H232" s="9">
        <v>3.91</v>
      </c>
      <c r="I232" s="9">
        <v>6.0</v>
      </c>
      <c r="J232" s="1" t="s">
        <v>115</v>
      </c>
      <c r="K232" s="1" t="s">
        <v>984</v>
      </c>
      <c r="L232" s="1" t="str">
        <f t="shared" si="1"/>
        <v>TUFT-NEEDLE-STITCH-TN5-1King</v>
      </c>
      <c r="M232" s="1" t="s">
        <v>586</v>
      </c>
      <c r="N232" s="6">
        <v>1495.0</v>
      </c>
      <c r="O232" s="6">
        <v>2199.0</v>
      </c>
      <c r="P232" s="1" t="s">
        <v>114</v>
      </c>
      <c r="Q232" s="1" t="s">
        <v>54</v>
      </c>
      <c r="R232" s="7"/>
      <c r="S232" s="1" t="s">
        <v>31</v>
      </c>
      <c r="T232" s="1" t="s">
        <v>568</v>
      </c>
      <c r="U232" s="1" t="s">
        <v>41</v>
      </c>
      <c r="V232" s="1" t="s">
        <v>42</v>
      </c>
      <c r="W232" s="1" t="s">
        <v>76</v>
      </c>
      <c r="X232" s="1" t="s">
        <v>42</v>
      </c>
      <c r="Y232" s="1" t="s">
        <v>42</v>
      </c>
      <c r="Z232" s="1" t="s">
        <v>77</v>
      </c>
      <c r="AA232" s="8" t="str">
        <f>IFERROR(VLOOKUP(A232,Sheet3!B:H,6,false),VLOOKUP(J232,Sheet2!A:C,2,false))</f>
        <v>https://assets.roomstogo.com/product/tuft-needle-stitch-tn51-twin-xl-mattress_50009882_image-item</v>
      </c>
      <c r="AB232" s="8" t="str">
        <f>IFERROR(VLOOKUP(A232,Sheet3!B:H,7,false),VLOOKUP(J232,Sheet2!A:C,3,false))</f>
        <v>https://assets.roomstogo.com/product/tuft-needle-stitch-tn51-twin-xl-mattress_50009882_alt-image-1</v>
      </c>
      <c r="AC232" s="8" t="str">
        <f t="shared" si="2"/>
        <v>https://rtg-275.myshopify.com/products/TUFT-NEEDLE-STITCH-TN5-1</v>
      </c>
      <c r="AD232" s="8" t="str">
        <f>vlookup(L232,'Python sheet'!$E$2:$F$373,2,0)</f>
        <v>https://rtg-275.myshopify.com/products/TUFT-NEEDLE-STITCH-TN5-1?variant=47915106271370</v>
      </c>
    </row>
    <row r="233">
      <c r="A233" s="4">
        <v>5.0709901E7</v>
      </c>
      <c r="B233" s="9">
        <v>1.0</v>
      </c>
      <c r="C233" s="9">
        <v>5.0</v>
      </c>
      <c r="D233" s="2" t="s">
        <v>587</v>
      </c>
      <c r="E233" s="2" t="s">
        <v>44</v>
      </c>
      <c r="F233" s="2" t="s">
        <v>588</v>
      </c>
      <c r="G233" s="9">
        <v>1.0</v>
      </c>
      <c r="H233" s="9">
        <v>5.0</v>
      </c>
      <c r="I233" s="9">
        <v>0.0</v>
      </c>
      <c r="J233" s="1" t="s">
        <v>117</v>
      </c>
      <c r="K233" s="1" t="s">
        <v>985</v>
      </c>
      <c r="L233" s="1" t="str">
        <f t="shared" si="1"/>
        <v>TUFT-NEEDLE-STITCH-TN9-1King</v>
      </c>
      <c r="M233" s="1" t="s">
        <v>589</v>
      </c>
      <c r="N233" s="6">
        <v>2497.0</v>
      </c>
      <c r="O233" s="6">
        <v>2999.0</v>
      </c>
      <c r="P233" s="1" t="s">
        <v>114</v>
      </c>
      <c r="Q233" s="1" t="s">
        <v>54</v>
      </c>
      <c r="R233" s="7"/>
      <c r="S233" s="1" t="s">
        <v>31</v>
      </c>
      <c r="T233" s="1" t="s">
        <v>568</v>
      </c>
      <c r="U233" s="1" t="s">
        <v>41</v>
      </c>
      <c r="V233" s="1" t="s">
        <v>50</v>
      </c>
      <c r="W233" s="1" t="s">
        <v>49</v>
      </c>
      <c r="X233" s="1" t="s">
        <v>42</v>
      </c>
      <c r="Y233" s="1" t="s">
        <v>42</v>
      </c>
      <c r="Z233" s="1" t="s">
        <v>51</v>
      </c>
      <c r="AA233" s="8" t="str">
        <f>IFERROR(VLOOKUP(A233,Sheet3!B:H,6,false),VLOOKUP(J233,Sheet2!A:C,2,false))</f>
        <v>https://assets.roomstogo.com/product/tuft-needle-stitch-tn91-twin-xl-mattress_50009907_image-item</v>
      </c>
      <c r="AB233" s="8" t="str">
        <f>IFERROR(VLOOKUP(A233,Sheet3!B:H,7,false),VLOOKUP(J233,Sheet2!A:C,3,false))</f>
        <v>https://assets.roomstogo.com/product/tuft-needle-stitch-tn91-twin-xl-mattress_50009907_alt-image-1</v>
      </c>
      <c r="AC233" s="8" t="str">
        <f t="shared" si="2"/>
        <v>https://rtg-275.myshopify.com/products/TUFT-NEEDLE-STITCH-TN9-1</v>
      </c>
      <c r="AD233" s="8" t="str">
        <f>vlookup(L233,'Python sheet'!$E$2:$F$373,2,0)</f>
        <v>https://rtg-275.myshopify.com/products/TUFT-NEEDLE-STITCH-TN9-1?variant=47915106697354</v>
      </c>
    </row>
    <row r="234">
      <c r="A234" s="4">
        <v>5.0709937E7</v>
      </c>
      <c r="B234" s="9">
        <v>3.0</v>
      </c>
      <c r="C234" s="9">
        <v>5.0</v>
      </c>
      <c r="D234" s="2" t="s">
        <v>274</v>
      </c>
      <c r="E234" s="2" t="s">
        <v>44</v>
      </c>
      <c r="F234" s="2" t="s">
        <v>275</v>
      </c>
      <c r="G234" s="9">
        <v>9.0</v>
      </c>
      <c r="H234" s="9">
        <v>4.89</v>
      </c>
      <c r="I234" s="9">
        <v>6.0</v>
      </c>
      <c r="J234" s="1" t="s">
        <v>119</v>
      </c>
      <c r="K234" s="1" t="s">
        <v>986</v>
      </c>
      <c r="L234" s="1" t="str">
        <f t="shared" si="1"/>
        <v>TUFT-NEEDLE-TN1King</v>
      </c>
      <c r="M234" s="1" t="s">
        <v>590</v>
      </c>
      <c r="N234" s="6">
        <v>1177.0</v>
      </c>
      <c r="O234" s="6">
        <v>1299.0</v>
      </c>
      <c r="P234" s="1" t="s">
        <v>114</v>
      </c>
      <c r="Q234" s="1" t="s">
        <v>54</v>
      </c>
      <c r="R234" s="1" t="s">
        <v>121</v>
      </c>
      <c r="S234" s="1" t="s">
        <v>31</v>
      </c>
      <c r="T234" s="1" t="s">
        <v>568</v>
      </c>
      <c r="U234" s="1" t="s">
        <v>33</v>
      </c>
      <c r="V234" s="1" t="s">
        <v>36</v>
      </c>
      <c r="W234" s="1" t="s">
        <v>76</v>
      </c>
      <c r="X234" s="1" t="s">
        <v>36</v>
      </c>
      <c r="Y234" s="1" t="s">
        <v>36</v>
      </c>
      <c r="Z234" s="1" t="s">
        <v>77</v>
      </c>
      <c r="AA234" s="8" t="str">
        <f>IFERROR(VLOOKUP(A234,Sheet3!B:H,6,false),VLOOKUP(J234,Sheet2!A:C,2,false))</f>
        <v>https://assets.roomstogo.com/product/tuft-needle-tn1-twin-xl-mattress_50009933_image-item</v>
      </c>
      <c r="AB234" s="8" t="str">
        <f>IFERROR(VLOOKUP(A234,Sheet3!B:H,7,false),VLOOKUP(J234,Sheet2!A:C,3,false))</f>
        <v>https://assets.roomstogo.com/product/tuft-needle-tn1-twin-xl-mattress_50009933_alt-image-1</v>
      </c>
      <c r="AC234" s="8" t="str">
        <f t="shared" si="2"/>
        <v>https://rtg-275.myshopify.com/products/TUFT-NEEDLE-TN1</v>
      </c>
      <c r="AD234" s="8" t="str">
        <f>vlookup(L234,'Python sheet'!$E$2:$F$373,2,0)</f>
        <v>https://rtg-275.myshopify.com/products/TUFT-NEEDLE-TN1?variant=47915106959498</v>
      </c>
    </row>
    <row r="235">
      <c r="A235" s="4">
        <v>5.0710574E7</v>
      </c>
      <c r="B235" s="9">
        <v>3.0</v>
      </c>
      <c r="C235" s="9">
        <v>5.0</v>
      </c>
      <c r="D235" s="2" t="s">
        <v>277</v>
      </c>
      <c r="E235" s="2" t="s">
        <v>44</v>
      </c>
      <c r="F235" s="2" t="s">
        <v>278</v>
      </c>
      <c r="G235" s="9">
        <v>8.0</v>
      </c>
      <c r="H235" s="9">
        <v>4.88</v>
      </c>
      <c r="I235" s="9">
        <v>5.0</v>
      </c>
      <c r="J235" s="1" t="s">
        <v>122</v>
      </c>
      <c r="K235" s="1" t="s">
        <v>987</v>
      </c>
      <c r="L235" s="1" t="str">
        <f t="shared" si="1"/>
        <v>MOLECULE-COREKing</v>
      </c>
      <c r="M235" s="1" t="s">
        <v>591</v>
      </c>
      <c r="N235" s="6">
        <v>897.0</v>
      </c>
      <c r="O235" s="6">
        <v>1399.0</v>
      </c>
      <c r="P235" s="1" t="s">
        <v>124</v>
      </c>
      <c r="Q235" s="7"/>
      <c r="R235" s="1" t="s">
        <v>492</v>
      </c>
      <c r="S235" s="1" t="s">
        <v>31</v>
      </c>
      <c r="T235" s="1" t="s">
        <v>568</v>
      </c>
      <c r="U235" s="1" t="s">
        <v>33</v>
      </c>
      <c r="V235" s="1" t="s">
        <v>34</v>
      </c>
      <c r="W235" s="1" t="s">
        <v>35</v>
      </c>
      <c r="X235" s="1" t="s">
        <v>34</v>
      </c>
      <c r="Y235" s="1" t="s">
        <v>34</v>
      </c>
      <c r="Z235" s="1" t="s">
        <v>37</v>
      </c>
      <c r="AA235" s="8" t="str">
        <f>IFERROR(VLOOKUP(A235,Sheet3!B:H,6,false),VLOOKUP(J235,Sheet2!A:C,2,false))</f>
        <v>https://assets.roomstogo.com/product/molecule-core-twin-xl-mattress_50010570_image-item</v>
      </c>
      <c r="AB235" s="8" t="str">
        <f>IFERROR(VLOOKUP(A235,Sheet3!B:H,7,false),VLOOKUP(J235,Sheet2!A:C,3,false))</f>
        <v>https://assets.roomstogo.com/product/molecule-core-twin-xl-mattress_50010570_alt-image-1</v>
      </c>
      <c r="AC235" s="8" t="str">
        <f t="shared" si="2"/>
        <v>https://rtg-275.myshopify.com/products/MOLECULE-CORE</v>
      </c>
      <c r="AD235" s="8" t="str">
        <f>vlookup(L235,'Python sheet'!$E$2:$F$373,2,0)</f>
        <v>https://rtg-275.myshopify.com/products/MOLECULE-CORE?variant=47915107221642</v>
      </c>
    </row>
    <row r="236">
      <c r="A236" s="4">
        <v>5.0710675E7</v>
      </c>
      <c r="B236" s="9">
        <v>61.0</v>
      </c>
      <c r="C236" s="9">
        <v>4.38</v>
      </c>
      <c r="D236" s="2" t="s">
        <v>125</v>
      </c>
      <c r="E236" s="2" t="s">
        <v>44</v>
      </c>
      <c r="F236" s="2" t="s">
        <v>126</v>
      </c>
      <c r="G236" s="9">
        <v>192.0</v>
      </c>
      <c r="H236" s="9">
        <v>4.4</v>
      </c>
      <c r="I236" s="9">
        <v>131.0</v>
      </c>
      <c r="J236" s="1" t="s">
        <v>127</v>
      </c>
      <c r="K236" s="1" t="s">
        <v>988</v>
      </c>
      <c r="L236" s="1" t="str">
        <f t="shared" si="1"/>
        <v>BROAD-PEAK-MEDIUM-HYBRIDKing</v>
      </c>
      <c r="M236" s="1" t="s">
        <v>592</v>
      </c>
      <c r="N236" s="6">
        <v>1195.0</v>
      </c>
      <c r="O236" s="6">
        <v>1499.99</v>
      </c>
      <c r="P236" s="1" t="s">
        <v>129</v>
      </c>
      <c r="Q236" s="1" t="s">
        <v>54</v>
      </c>
      <c r="R236" s="1" t="s">
        <v>130</v>
      </c>
      <c r="S236" s="1" t="s">
        <v>31</v>
      </c>
      <c r="T236" s="1" t="s">
        <v>568</v>
      </c>
      <c r="U236" s="1" t="s">
        <v>41</v>
      </c>
      <c r="V236" s="1" t="s">
        <v>34</v>
      </c>
      <c r="W236" s="1" t="s">
        <v>35</v>
      </c>
      <c r="X236" s="1" t="s">
        <v>34</v>
      </c>
      <c r="Y236" s="1" t="s">
        <v>34</v>
      </c>
      <c r="Z236" s="1" t="s">
        <v>37</v>
      </c>
      <c r="AA236" s="8" t="str">
        <f>IFERROR(VLOOKUP(A236,Sheet3!B:H,6,false),VLOOKUP(J236,Sheet2!A:C,2,false))</f>
        <v>https://assets.roomstogo.com/product/beautyrest-select-broad-peak-medium-hybrid-twin-xl-mattress_50010671_image-item</v>
      </c>
      <c r="AB236" s="8" t="str">
        <f>IFERROR(VLOOKUP(A236,Sheet3!B:H,7,false),VLOOKUP(J236,Sheet2!A:C,3,false))</f>
        <v>https://assets.roomstogo.com/product/beautyrest-select-broad-peak-medium-hybrid-twin-xl-mattress_50010671_alt-image-1</v>
      </c>
      <c r="AC236" s="8" t="str">
        <f t="shared" si="2"/>
        <v>https://rtg-275.myshopify.com/products/BROAD-PEAK-MEDIUM-HYBRID</v>
      </c>
      <c r="AD236" s="8" t="str">
        <f>vlookup(L236,'Python sheet'!$E$2:$F$373,2,0)</f>
        <v>https://rtg-275.myshopify.com/products/BROAD-PEAK-MEDIUM-HYBRID?variant=47915107418250</v>
      </c>
    </row>
    <row r="237">
      <c r="A237" s="4">
        <v>5.0711348E7</v>
      </c>
      <c r="B237" s="9">
        <v>1.0</v>
      </c>
      <c r="C237" s="9">
        <v>3.0</v>
      </c>
      <c r="D237" s="2" t="s">
        <v>139</v>
      </c>
      <c r="E237" s="2" t="s">
        <v>44</v>
      </c>
      <c r="F237" s="2" t="s">
        <v>140</v>
      </c>
      <c r="G237" s="9">
        <v>10.0</v>
      </c>
      <c r="H237" s="9">
        <v>4.2</v>
      </c>
      <c r="I237" s="9">
        <v>9.0</v>
      </c>
      <c r="J237" s="1" t="s">
        <v>141</v>
      </c>
      <c r="K237" s="1" t="s">
        <v>141</v>
      </c>
      <c r="L237" s="1" t="str">
        <f t="shared" si="1"/>
        <v>FORESTERKing</v>
      </c>
      <c r="M237" s="1" t="s">
        <v>593</v>
      </c>
      <c r="N237" s="6">
        <v>1097.0</v>
      </c>
      <c r="O237" s="6">
        <v>1299.99</v>
      </c>
      <c r="P237" s="1" t="s">
        <v>143</v>
      </c>
      <c r="Q237" s="1" t="s">
        <v>54</v>
      </c>
      <c r="R237" s="7"/>
      <c r="S237" s="1" t="s">
        <v>31</v>
      </c>
      <c r="T237" s="1" t="s">
        <v>568</v>
      </c>
      <c r="U237" s="1" t="s">
        <v>59</v>
      </c>
      <c r="V237" s="1" t="s">
        <v>36</v>
      </c>
      <c r="W237" s="1" t="s">
        <v>76</v>
      </c>
      <c r="X237" s="1" t="s">
        <v>34</v>
      </c>
      <c r="Y237" s="1" t="s">
        <v>36</v>
      </c>
      <c r="Z237" s="1" t="s">
        <v>144</v>
      </c>
      <c r="AA237" s="8" t="str">
        <f>IFERROR(VLOOKUP(A237,Sheet3!B:H,6,false),VLOOKUP(J237,Sheet2!A:C,2,false))</f>
        <v>https://assets.roomstogo.com/product/therapedic-forester-twin-xl-mattress_50011344_image-item</v>
      </c>
      <c r="AB237" s="8" t="str">
        <f>IFERROR(VLOOKUP(A237,Sheet3!B:H,7,false),VLOOKUP(J237,Sheet2!A:C,3,false))</f>
        <v>https://assets.roomstogo.com/product/therapedic-forester-twin-xl-mattress_50011344_alt-image-1</v>
      </c>
      <c r="AC237" s="8" t="str">
        <f t="shared" si="2"/>
        <v>https://rtg-275.myshopify.com/products/FORESTER</v>
      </c>
      <c r="AD237" s="8" t="str">
        <f>vlookup(L237,'Python sheet'!$E$2:$F$373,2,0)</f>
        <v>https://rtg-275.myshopify.com/products/FORESTER?variant=47915108204682</v>
      </c>
    </row>
    <row r="238">
      <c r="A238" s="4">
        <v>5.0711362E7</v>
      </c>
      <c r="B238" s="9">
        <v>2.0</v>
      </c>
      <c r="C238" s="9">
        <v>5.0</v>
      </c>
      <c r="D238" s="2" t="s">
        <v>332</v>
      </c>
      <c r="E238" s="2" t="s">
        <v>44</v>
      </c>
      <c r="F238" s="2" t="s">
        <v>333</v>
      </c>
      <c r="G238" s="9">
        <v>20.0</v>
      </c>
      <c r="H238" s="9">
        <v>4.3</v>
      </c>
      <c r="I238" s="9">
        <v>18.0</v>
      </c>
      <c r="J238" s="1" t="s">
        <v>145</v>
      </c>
      <c r="K238" s="1" t="s">
        <v>145</v>
      </c>
      <c r="L238" s="1" t="str">
        <f t="shared" si="1"/>
        <v>DARLINGTONKing</v>
      </c>
      <c r="M238" s="1" t="s">
        <v>594</v>
      </c>
      <c r="N238" s="6">
        <v>897.0</v>
      </c>
      <c r="O238" s="6">
        <v>999.99</v>
      </c>
      <c r="P238" s="1" t="s">
        <v>143</v>
      </c>
      <c r="Q238" s="1" t="s">
        <v>54</v>
      </c>
      <c r="R238" s="7"/>
      <c r="S238" s="1" t="s">
        <v>31</v>
      </c>
      <c r="T238" s="1" t="s">
        <v>568</v>
      </c>
      <c r="U238" s="1" t="s">
        <v>59</v>
      </c>
      <c r="V238" s="1" t="s">
        <v>36</v>
      </c>
      <c r="W238" s="1" t="s">
        <v>35</v>
      </c>
      <c r="X238" s="1" t="s">
        <v>36</v>
      </c>
      <c r="Y238" s="1" t="s">
        <v>34</v>
      </c>
      <c r="Z238" s="1" t="s">
        <v>37</v>
      </c>
      <c r="AA238" s="8" t="str">
        <f>IFERROR(VLOOKUP(A238,Sheet3!B:H,6,false),VLOOKUP(J238,Sheet2!A:C,2,false))</f>
        <v>https://assets.roomstogo.com/product/therapedic-darlington-twin-xl-mattress_50011368_image-item</v>
      </c>
      <c r="AB238" s="8" t="str">
        <f>IFERROR(VLOOKUP(A238,Sheet3!B:H,7,false),VLOOKUP(J238,Sheet2!A:C,3,false))</f>
        <v>https://assets.roomstogo.com/product/therapedic-darlington-twin-xl-mattress_50011368_alt-image-1</v>
      </c>
      <c r="AC238" s="8" t="str">
        <f t="shared" si="2"/>
        <v>https://rtg-275.myshopify.com/products/DARLINGTON</v>
      </c>
      <c r="AD238" s="8" t="str">
        <f>vlookup(L238,'Python sheet'!$E$2:$F$373,2,0)</f>
        <v>https://rtg-275.myshopify.com/products/DARLINGTON?variant=47915108434058</v>
      </c>
    </row>
    <row r="239">
      <c r="A239" s="4">
        <v>5.0711386E7</v>
      </c>
      <c r="B239" s="5"/>
      <c r="C239" s="5"/>
      <c r="D239" s="5"/>
      <c r="E239" s="5"/>
      <c r="F239" s="5"/>
      <c r="G239" s="5"/>
      <c r="H239" s="5"/>
      <c r="I239" s="5"/>
      <c r="J239" s="1" t="s">
        <v>147</v>
      </c>
      <c r="K239" s="1" t="s">
        <v>147</v>
      </c>
      <c r="L239" s="1" t="str">
        <f t="shared" si="1"/>
        <v>HASTINGSKing</v>
      </c>
      <c r="M239" s="1" t="s">
        <v>595</v>
      </c>
      <c r="N239" s="6">
        <v>1177.0</v>
      </c>
      <c r="O239" s="6">
        <v>1499.99</v>
      </c>
      <c r="P239" s="1" t="s">
        <v>149</v>
      </c>
      <c r="Q239" s="1" t="s">
        <v>54</v>
      </c>
      <c r="R239" s="7"/>
      <c r="S239" s="7"/>
      <c r="T239" s="1" t="s">
        <v>568</v>
      </c>
      <c r="U239" s="1" t="s">
        <v>41</v>
      </c>
      <c r="V239" s="1" t="s">
        <v>36</v>
      </c>
      <c r="W239" s="1" t="s">
        <v>49</v>
      </c>
      <c r="X239" s="1" t="s">
        <v>34</v>
      </c>
      <c r="Y239" s="1" t="s">
        <v>34</v>
      </c>
      <c r="Z239" s="1" t="s">
        <v>51</v>
      </c>
      <c r="AA239" s="8" t="str">
        <f>IFERROR(VLOOKUP(A239,Sheet3!B:H,6,false),VLOOKUP(J239,Sheet2!A:C,2,false))</f>
        <v>https://assets.roomstogo.com/product/therapedic-hastings-twin-xl-mattress_50011382_image-item</v>
      </c>
      <c r="AB239" s="8" t="str">
        <f>IFERROR(VLOOKUP(A239,Sheet3!B:H,7,false),VLOOKUP(J239,Sheet2!A:C,3,false))</f>
        <v>https://assets.roomstogo.com/product/therapedic-hastings-twin-xl-mattress_50011382_alt-image-1</v>
      </c>
      <c r="AC239" s="8" t="str">
        <f t="shared" si="2"/>
        <v>https://rtg-275.myshopify.com/products/HASTINGS</v>
      </c>
      <c r="AD239" s="8" t="str">
        <f>vlookup(L239,'Python sheet'!$E$2:$F$373,2,0)</f>
        <v>https://rtg-275.myshopify.com/products/HASTINGS?variant=47915108597898</v>
      </c>
    </row>
    <row r="240">
      <c r="A240" s="4">
        <v>5.0711451E7</v>
      </c>
      <c r="B240" s="9">
        <v>5.0</v>
      </c>
      <c r="C240" s="9">
        <v>4.0</v>
      </c>
      <c r="D240" s="2" t="s">
        <v>500</v>
      </c>
      <c r="E240" s="2" t="s">
        <v>44</v>
      </c>
      <c r="F240" s="2" t="s">
        <v>501</v>
      </c>
      <c r="G240" s="9">
        <v>9.0</v>
      </c>
      <c r="H240" s="9">
        <v>4.33</v>
      </c>
      <c r="I240" s="9">
        <v>4.0</v>
      </c>
      <c r="J240" s="1" t="s">
        <v>150</v>
      </c>
      <c r="K240" s="1" t="s">
        <v>150</v>
      </c>
      <c r="L240" s="1" t="str">
        <f t="shared" si="1"/>
        <v>KAANAPALIKing</v>
      </c>
      <c r="M240" s="1" t="s">
        <v>596</v>
      </c>
      <c r="N240" s="6">
        <v>1899.99</v>
      </c>
      <c r="O240" s="6">
        <v>1899.99</v>
      </c>
      <c r="P240" s="1" t="s">
        <v>149</v>
      </c>
      <c r="Q240" s="1" t="s">
        <v>54</v>
      </c>
      <c r="R240" s="7"/>
      <c r="S240" s="1" t="s">
        <v>31</v>
      </c>
      <c r="T240" s="1" t="s">
        <v>568</v>
      </c>
      <c r="U240" s="1" t="s">
        <v>41</v>
      </c>
      <c r="V240" s="1" t="s">
        <v>34</v>
      </c>
      <c r="W240" s="1" t="s">
        <v>76</v>
      </c>
      <c r="X240" s="1" t="s">
        <v>42</v>
      </c>
      <c r="Y240" s="1" t="s">
        <v>34</v>
      </c>
      <c r="Z240" s="1" t="s">
        <v>77</v>
      </c>
      <c r="AA240" s="8" t="str">
        <f>IFERROR(VLOOKUP(A240,Sheet3!B:H,6,false),VLOOKUP(J240,Sheet2!A:C,2,false))</f>
        <v>https://assets.roomstogo.com/product/therapedic-kaanapali-twin-xl-mattress_50011457_image-item</v>
      </c>
      <c r="AB240" s="8" t="str">
        <f>IFERROR(VLOOKUP(A240,Sheet3!B:H,7,false),VLOOKUP(J240,Sheet2!A:C,3,false))</f>
        <v>https://assets.roomstogo.com/product/therapedic-kaanapali-twin-xl-mattress_50011457_alt-image-1</v>
      </c>
      <c r="AC240" s="8" t="str">
        <f t="shared" si="2"/>
        <v>https://rtg-275.myshopify.com/products/KAANAPALI</v>
      </c>
      <c r="AD240" s="8" t="str">
        <f>vlookup(L240,'Python sheet'!$E$2:$F$373,2,0)</f>
        <v>https://rtg-275.myshopify.com/products/KAANAPALI?variant=47915108696202</v>
      </c>
    </row>
    <row r="241">
      <c r="A241" s="4">
        <v>5.0711499E7</v>
      </c>
      <c r="B241" s="9">
        <v>5.0</v>
      </c>
      <c r="C241" s="9">
        <v>4.2</v>
      </c>
      <c r="D241" s="2" t="s">
        <v>152</v>
      </c>
      <c r="E241" s="2" t="s">
        <v>44</v>
      </c>
      <c r="F241" s="2" t="s">
        <v>153</v>
      </c>
      <c r="G241" s="9">
        <v>13.0</v>
      </c>
      <c r="H241" s="9">
        <v>3.92</v>
      </c>
      <c r="I241" s="9">
        <v>8.0</v>
      </c>
      <c r="J241" s="1" t="s">
        <v>154</v>
      </c>
      <c r="K241" s="1" t="s">
        <v>154</v>
      </c>
      <c r="L241" s="1" t="str">
        <f t="shared" si="1"/>
        <v>LEDOKing</v>
      </c>
      <c r="M241" s="1" t="s">
        <v>597</v>
      </c>
      <c r="N241" s="6">
        <v>2299.99</v>
      </c>
      <c r="O241" s="6">
        <v>2299.99</v>
      </c>
      <c r="P241" s="1" t="s">
        <v>149</v>
      </c>
      <c r="Q241" s="1" t="s">
        <v>54</v>
      </c>
      <c r="R241" s="7"/>
      <c r="S241" s="1" t="s">
        <v>31</v>
      </c>
      <c r="T241" s="1" t="s">
        <v>568</v>
      </c>
      <c r="U241" s="1" t="s">
        <v>41</v>
      </c>
      <c r="V241" s="1" t="s">
        <v>42</v>
      </c>
      <c r="W241" s="1" t="s">
        <v>35</v>
      </c>
      <c r="X241" s="1" t="s">
        <v>42</v>
      </c>
      <c r="Y241" s="1" t="s">
        <v>34</v>
      </c>
      <c r="Z241" s="1" t="s">
        <v>37</v>
      </c>
      <c r="AA241" s="8" t="str">
        <f>IFERROR(VLOOKUP(A241,Sheet3!B:H,6,false),VLOOKUP(J241,Sheet2!A:C,2,false))</f>
        <v>https://assets.roomstogo.com/product/therapedic-ledo-twin-xl-mattress_50011495_image-item</v>
      </c>
      <c r="AB241" s="8" t="str">
        <f>IFERROR(VLOOKUP(A241,Sheet3!B:H,7,false),VLOOKUP(J241,Sheet2!A:C,3,false))</f>
        <v>https://assets.roomstogo.com/product/therapedic-ledo-twin-xl-mattress_50011495_alt-image-1</v>
      </c>
      <c r="AC241" s="8" t="str">
        <f t="shared" si="2"/>
        <v>https://rtg-275.myshopify.com/products/LEDO</v>
      </c>
      <c r="AD241" s="8" t="str">
        <f>vlookup(L241,'Python sheet'!$E$2:$F$373,2,0)</f>
        <v>https://rtg-275.myshopify.com/products/LEDO?variant=47915108794506</v>
      </c>
    </row>
    <row r="242">
      <c r="A242" s="4">
        <v>5.0720866E7</v>
      </c>
      <c r="B242" s="9">
        <v>3.0</v>
      </c>
      <c r="C242" s="9">
        <v>5.0</v>
      </c>
      <c r="D242" s="2" t="s">
        <v>504</v>
      </c>
      <c r="E242" s="2" t="s">
        <v>44</v>
      </c>
      <c r="F242" s="2" t="s">
        <v>505</v>
      </c>
      <c r="G242" s="9">
        <v>9.0</v>
      </c>
      <c r="H242" s="9">
        <v>4.0</v>
      </c>
      <c r="I242" s="9">
        <v>6.0</v>
      </c>
      <c r="J242" s="1" t="s">
        <v>156</v>
      </c>
      <c r="K242" s="1" t="s">
        <v>156</v>
      </c>
      <c r="L242" s="1" t="str">
        <f t="shared" si="1"/>
        <v>CAPERTEEKing</v>
      </c>
      <c r="M242" s="1" t="s">
        <v>598</v>
      </c>
      <c r="N242" s="6">
        <v>1397.0</v>
      </c>
      <c r="O242" s="6">
        <v>1699.99</v>
      </c>
      <c r="P242" s="1" t="s">
        <v>158</v>
      </c>
      <c r="Q242" s="1" t="s">
        <v>54</v>
      </c>
      <c r="R242" s="7"/>
      <c r="S242" s="1" t="s">
        <v>31</v>
      </c>
      <c r="T242" s="1" t="s">
        <v>568</v>
      </c>
      <c r="U242" s="1" t="s">
        <v>59</v>
      </c>
      <c r="V242" s="1" t="s">
        <v>34</v>
      </c>
      <c r="W242" s="1" t="s">
        <v>35</v>
      </c>
      <c r="X242" s="1" t="s">
        <v>34</v>
      </c>
      <c r="Y242" s="1" t="s">
        <v>34</v>
      </c>
      <c r="Z242" s="1" t="s">
        <v>37</v>
      </c>
      <c r="AA242" s="8" t="str">
        <f>IFERROR(VLOOKUP(A242,Sheet3!B:H,6,false),VLOOKUP(J242,Sheet2!A:C,2,false))</f>
        <v>https://assets.roomstogo.com/product/drew-jonathan-capertee-twin-xl-mattress_50020862_image-item</v>
      </c>
      <c r="AB242" s="8" t="str">
        <f>IFERROR(VLOOKUP(A242,Sheet3!B:H,7,false),VLOOKUP(J242,Sheet2!A:C,3,false))</f>
        <v>https://assets.roomstogo.com/product/drew-jonathan-capertee-twin-xl-mattress_50020862_alt-image-1</v>
      </c>
      <c r="AC242" s="8" t="str">
        <f t="shared" si="2"/>
        <v>https://rtg-275.myshopify.com/products/CAPERTEE</v>
      </c>
      <c r="AD242" s="8" t="str">
        <f>vlookup(L242,'Python sheet'!$E$2:$F$373,2,0)</f>
        <v>https://rtg-275.myshopify.com/products/CAPERTEE?variant=47915108892810</v>
      </c>
    </row>
    <row r="243">
      <c r="A243" s="4">
        <v>5.0720929E7</v>
      </c>
      <c r="B243" s="5"/>
      <c r="C243" s="5"/>
      <c r="D243" s="5"/>
      <c r="E243" s="5"/>
      <c r="F243" s="5"/>
      <c r="G243" s="5"/>
      <c r="H243" s="5"/>
      <c r="I243" s="5"/>
      <c r="J243" s="1" t="s">
        <v>159</v>
      </c>
      <c r="K243" s="1" t="s">
        <v>992</v>
      </c>
      <c r="L243" s="1" t="str">
        <f t="shared" si="1"/>
        <v>ARADA-CANYONKing</v>
      </c>
      <c r="M243" s="1" t="s">
        <v>599</v>
      </c>
      <c r="N243" s="6">
        <v>2097.0</v>
      </c>
      <c r="O243" s="6">
        <v>2399.99</v>
      </c>
      <c r="P243" s="1" t="s">
        <v>158</v>
      </c>
      <c r="Q243" s="1" t="s">
        <v>54</v>
      </c>
      <c r="R243" s="7"/>
      <c r="S243" s="1" t="s">
        <v>31</v>
      </c>
      <c r="T243" s="1" t="s">
        <v>568</v>
      </c>
      <c r="U243" s="1" t="s">
        <v>59</v>
      </c>
      <c r="V243" s="1" t="s">
        <v>42</v>
      </c>
      <c r="W243" s="1" t="s">
        <v>49</v>
      </c>
      <c r="X243" s="1" t="s">
        <v>34</v>
      </c>
      <c r="Y243" s="1" t="s">
        <v>34</v>
      </c>
      <c r="Z243" s="1" t="s">
        <v>51</v>
      </c>
      <c r="AA243" s="8" t="str">
        <f>IFERROR(VLOOKUP(A243,Sheet3!B:H,6,false),VLOOKUP(J243,Sheet2!A:C,2,false))</f>
        <v>https://assets.roomstogo.com/product/drew-jonathan-arada-canyon-twin-xl-mattress_50020925_image-item</v>
      </c>
      <c r="AB243" s="8" t="str">
        <f>IFERROR(VLOOKUP(A243,Sheet3!B:H,7,false),VLOOKUP(J243,Sheet2!A:C,3,false))</f>
        <v>https://assets.roomstogo.com/product/drew-jonathan-arada-canyon-twin-xl-mattress_50020925_alt-image-1</v>
      </c>
      <c r="AC243" s="8" t="str">
        <f t="shared" si="2"/>
        <v>https://rtg-275.myshopify.com/products/ARADA-CANYON</v>
      </c>
      <c r="AD243" s="8" t="str">
        <f>vlookup(L243,'Python sheet'!$E$2:$F$373,2,0)</f>
        <v>https://rtg-275.myshopify.com/products/ARADA-CANYON?variant=47915108991114</v>
      </c>
    </row>
    <row r="244">
      <c r="A244" s="4">
        <v>5.0722214E7</v>
      </c>
      <c r="B244" s="5"/>
      <c r="C244" s="5"/>
      <c r="D244" s="5"/>
      <c r="E244" s="5"/>
      <c r="F244" s="5"/>
      <c r="G244" s="5"/>
      <c r="H244" s="5"/>
      <c r="I244" s="5"/>
      <c r="J244" s="1" t="s">
        <v>163</v>
      </c>
      <c r="K244" s="1" t="s">
        <v>993</v>
      </c>
      <c r="L244" s="1" t="str">
        <f t="shared" si="1"/>
        <v>OCEANA-MISTKing</v>
      </c>
      <c r="M244" s="1" t="s">
        <v>600</v>
      </c>
      <c r="N244" s="6">
        <v>697.0</v>
      </c>
      <c r="O244" s="6">
        <v>999.99</v>
      </c>
      <c r="P244" s="1" t="s">
        <v>165</v>
      </c>
      <c r="Q244" s="1" t="s">
        <v>54</v>
      </c>
      <c r="R244" s="1" t="s">
        <v>166</v>
      </c>
      <c r="S244" s="1" t="s">
        <v>31</v>
      </c>
      <c r="T244" s="1" t="s">
        <v>568</v>
      </c>
      <c r="U244" s="1" t="s">
        <v>41</v>
      </c>
      <c r="V244" s="1" t="s">
        <v>36</v>
      </c>
      <c r="W244" s="1" t="s">
        <v>35</v>
      </c>
      <c r="X244" s="1" t="s">
        <v>34</v>
      </c>
      <c r="Y244" s="1" t="s">
        <v>36</v>
      </c>
      <c r="Z244" s="1" t="s">
        <v>37</v>
      </c>
      <c r="AA244" s="8" t="str">
        <f>IFERROR(VLOOKUP(A244,Sheet3!B:H,6,false),VLOOKUP(J244,Sheet2!A:C,2,false))</f>
        <v>https://assets.roomstogo.com/product/beauty-sleep-oceana-mist-medium-hybrid-twin-xl-mattress_50022210_image-item</v>
      </c>
      <c r="AB244" s="8" t="str">
        <f>IFERROR(VLOOKUP(A244,Sheet3!B:H,7,false),VLOOKUP(J244,Sheet2!A:C,3,false))</f>
        <v>https://assets.roomstogo.com/product/beauty-sleep-oceana-mist-medium-hybrid-twin-xl-mattress_50022210_alt-image-8</v>
      </c>
      <c r="AC244" s="8" t="str">
        <f t="shared" si="2"/>
        <v>https://rtg-275.myshopify.com/products/OCEANA-MIST</v>
      </c>
      <c r="AD244" s="8" t="str">
        <f>vlookup(L244,'Python sheet'!$E$2:$F$373,2,0)</f>
        <v>https://rtg-275.myshopify.com/products/OCEANA-MIST?variant=47915109154954</v>
      </c>
    </row>
    <row r="245">
      <c r="A245" s="4">
        <v>5.0725741E7</v>
      </c>
      <c r="B245" s="9">
        <v>6.0</v>
      </c>
      <c r="C245" s="9">
        <v>3.83</v>
      </c>
      <c r="D245" s="2" t="s">
        <v>167</v>
      </c>
      <c r="E245" s="2" t="s">
        <v>44</v>
      </c>
      <c r="F245" s="2" t="s">
        <v>168</v>
      </c>
      <c r="G245" s="9">
        <v>13.0</v>
      </c>
      <c r="H245" s="9">
        <v>4.08</v>
      </c>
      <c r="I245" s="9">
        <v>7.0</v>
      </c>
      <c r="J245" s="1" t="s">
        <v>169</v>
      </c>
      <c r="K245" s="1" t="s">
        <v>994</v>
      </c>
      <c r="L245" s="1" t="str">
        <f t="shared" si="1"/>
        <v>LEVEL-THREE-PLUSHKing</v>
      </c>
      <c r="M245" s="1" t="s">
        <v>601</v>
      </c>
      <c r="N245" s="6">
        <v>1749.0</v>
      </c>
      <c r="O245" s="6">
        <v>1749.0</v>
      </c>
      <c r="P245" s="1" t="s">
        <v>171</v>
      </c>
      <c r="Q245" s="7"/>
      <c r="R245" s="1" t="s">
        <v>172</v>
      </c>
      <c r="S245" s="1" t="s">
        <v>31</v>
      </c>
      <c r="T245" s="1" t="s">
        <v>568</v>
      </c>
      <c r="U245" s="1" t="s">
        <v>59</v>
      </c>
      <c r="V245" s="1" t="s">
        <v>42</v>
      </c>
      <c r="W245" s="1" t="s">
        <v>49</v>
      </c>
      <c r="X245" s="1" t="s">
        <v>42</v>
      </c>
      <c r="Y245" s="1" t="s">
        <v>42</v>
      </c>
      <c r="Z245" s="1" t="s">
        <v>51</v>
      </c>
      <c r="AA245" s="8" t="str">
        <f>IFERROR(VLOOKUP(A245,Sheet3!B:H,6,false),VLOOKUP(J245,Sheet2!A:C,2,false))</f>
        <v>https://assets.roomstogo.com/product/beautyrest-world-class-level-three-plush-twin-xl-mattress_50025747_image-item</v>
      </c>
      <c r="AB245" s="8" t="str">
        <f>IFERROR(VLOOKUP(A245,Sheet3!B:H,7,false),VLOOKUP(J245,Sheet2!A:C,3,false))</f>
        <v>https://assets.roomstogo.com/product/beautyrest-world-class-level-three-plush-twin-xl-mattress_50025747_alt-image-13</v>
      </c>
      <c r="AC245" s="8" t="str">
        <f t="shared" si="2"/>
        <v>https://rtg-275.myshopify.com/products/LEVEL-THREE-PLUSH</v>
      </c>
      <c r="AD245" s="8" t="str">
        <f>vlookup(L245,'Python sheet'!$E$2:$F$373,2,0)</f>
        <v>https://rtg-275.myshopify.com/products/LEVEL-THREE-PLUSH?variant=47915109351562</v>
      </c>
    </row>
    <row r="246">
      <c r="A246" s="4">
        <v>5.0725753E7</v>
      </c>
      <c r="B246" s="9">
        <v>8.0</v>
      </c>
      <c r="C246" s="9">
        <v>3.38</v>
      </c>
      <c r="D246" s="2" t="s">
        <v>512</v>
      </c>
      <c r="E246" s="2" t="s">
        <v>44</v>
      </c>
      <c r="F246" s="2" t="s">
        <v>513</v>
      </c>
      <c r="G246" s="9">
        <v>14.0</v>
      </c>
      <c r="H246" s="9">
        <v>3.71</v>
      </c>
      <c r="I246" s="9">
        <v>6.0</v>
      </c>
      <c r="J246" s="1" t="s">
        <v>173</v>
      </c>
      <c r="K246" s="1" t="s">
        <v>995</v>
      </c>
      <c r="L246" s="1" t="str">
        <f t="shared" si="1"/>
        <v>LEVEL-THREE-MEDIUM-PILLOWTOPKing</v>
      </c>
      <c r="M246" s="1" t="s">
        <v>602</v>
      </c>
      <c r="N246" s="6">
        <v>1949.0</v>
      </c>
      <c r="O246" s="6">
        <v>1949.0</v>
      </c>
      <c r="P246" s="1" t="s">
        <v>171</v>
      </c>
      <c r="Q246" s="7"/>
      <c r="R246" s="1" t="s">
        <v>175</v>
      </c>
      <c r="S246" s="1" t="s">
        <v>31</v>
      </c>
      <c r="T246" s="1" t="s">
        <v>568</v>
      </c>
      <c r="U246" s="1" t="s">
        <v>59</v>
      </c>
      <c r="V246" s="1" t="s">
        <v>42</v>
      </c>
      <c r="W246" s="1" t="s">
        <v>35</v>
      </c>
      <c r="X246" s="1" t="s">
        <v>42</v>
      </c>
      <c r="Y246" s="1" t="s">
        <v>42</v>
      </c>
      <c r="Z246" s="1" t="s">
        <v>37</v>
      </c>
      <c r="AA246" s="8" t="str">
        <f>IFERROR(VLOOKUP(A246,Sheet3!B:H,6,false),VLOOKUP(J246,Sheet2!A:C,2,false))</f>
        <v>https://assets.roomstogo.com/product/beautyrest-world-class-level-three-medium-pillow-top-twin-xl-mattress_50025759_image-item</v>
      </c>
      <c r="AB246" s="8" t="str">
        <f>IFERROR(VLOOKUP(A246,Sheet3!B:H,7,false),VLOOKUP(J246,Sheet2!A:C,3,false))</f>
        <v>https://assets.roomstogo.com/product/beautyrest-world-class-level-three-medium-pillow-top-twin-xl-mattress_50025759_alt-image-13</v>
      </c>
      <c r="AC246" s="8" t="str">
        <f t="shared" si="2"/>
        <v>https://rtg-275.myshopify.com/products/LEVEL-THREE-MEDIUM-PILLOWTOP</v>
      </c>
      <c r="AD246" s="8" t="str">
        <f>vlookup(L246,'Python sheet'!$E$2:$F$373,2,0)</f>
        <v>https://rtg-275.myshopify.com/products/LEVEL-THREE-MEDIUM-PILLOWTOP?variant=47915109548170</v>
      </c>
    </row>
    <row r="247">
      <c r="A247" s="4">
        <v>5.0725804E7</v>
      </c>
      <c r="B247" s="5"/>
      <c r="C247" s="5"/>
      <c r="D247" s="5"/>
      <c r="E247" s="5"/>
      <c r="F247" s="5"/>
      <c r="G247" s="5"/>
      <c r="H247" s="5"/>
      <c r="I247" s="5"/>
      <c r="J247" s="1" t="s">
        <v>176</v>
      </c>
      <c r="K247" s="1" t="s">
        <v>996</v>
      </c>
      <c r="L247" s="1" t="str">
        <f t="shared" si="1"/>
        <v>LEVEL-FOUR-PLUSH-PILLOWTOPKing</v>
      </c>
      <c r="M247" s="1" t="s">
        <v>603</v>
      </c>
      <c r="N247" s="6">
        <v>2299.0</v>
      </c>
      <c r="O247" s="6">
        <v>2299.0</v>
      </c>
      <c r="P247" s="1" t="s">
        <v>171</v>
      </c>
      <c r="Q247" s="7"/>
      <c r="R247" s="1" t="s">
        <v>178</v>
      </c>
      <c r="S247" s="1" t="s">
        <v>31</v>
      </c>
      <c r="T247" s="1" t="s">
        <v>568</v>
      </c>
      <c r="U247" s="1" t="s">
        <v>59</v>
      </c>
      <c r="V247" s="1" t="s">
        <v>50</v>
      </c>
      <c r="W247" s="1" t="s">
        <v>49</v>
      </c>
      <c r="X247" s="1" t="s">
        <v>42</v>
      </c>
      <c r="Y247" s="1" t="s">
        <v>42</v>
      </c>
      <c r="Z247" s="1" t="s">
        <v>51</v>
      </c>
      <c r="AA247" s="8" t="str">
        <f>IFERROR(VLOOKUP(A247,Sheet3!B:H,6,false),VLOOKUP(J247,Sheet2!A:C,2,false))</f>
        <v>https://assets.roomstogo.com/product/beautyrest-world-class-level-four-plush-pillow-top-twin-xl-mattress_50025800_image-item</v>
      </c>
      <c r="AB247" s="8" t="str">
        <f>IFERROR(VLOOKUP(A247,Sheet3!B:H,7,false),VLOOKUP(J247,Sheet2!A:C,3,false))</f>
        <v>https://assets.roomstogo.com/product/beautyrest-world-class-level-four-plush-pillow-top-twin-xl-mattress_50025800_alt-image-13</v>
      </c>
      <c r="AC247" s="8" t="str">
        <f t="shared" si="2"/>
        <v>https://rtg-275.myshopify.com/products/LEVEL-FOUR-PLUSH-PILLOWTOP</v>
      </c>
      <c r="AD247" s="8" t="str">
        <f>vlookup(L247,'Python sheet'!$E$2:$F$373,2,0)</f>
        <v>https://rtg-275.myshopify.com/products/LEVEL-FOUR-PLUSH-PILLOWTOP?variant=47915109744778</v>
      </c>
    </row>
    <row r="248">
      <c r="A248" s="4">
        <v>5.0728951E7</v>
      </c>
      <c r="B248" s="9">
        <v>1.0</v>
      </c>
      <c r="C248" s="9">
        <v>5.0</v>
      </c>
      <c r="D248" s="2" t="s">
        <v>518</v>
      </c>
      <c r="E248" s="2" t="s">
        <v>44</v>
      </c>
      <c r="F248" s="2" t="s">
        <v>519</v>
      </c>
      <c r="G248" s="9">
        <v>3.0</v>
      </c>
      <c r="H248" s="9">
        <v>5.0</v>
      </c>
      <c r="I248" s="9">
        <v>2.0</v>
      </c>
      <c r="J248" s="1" t="s">
        <v>179</v>
      </c>
      <c r="K248" s="1" t="s">
        <v>997</v>
      </c>
      <c r="L248" s="1" t="str">
        <f t="shared" si="1"/>
        <v>KERRY-PARKKing</v>
      </c>
      <c r="M248" s="1" t="s">
        <v>604</v>
      </c>
      <c r="N248" s="6">
        <v>1397.0</v>
      </c>
      <c r="O248" s="6">
        <v>1999.0</v>
      </c>
      <c r="P248" s="1" t="s">
        <v>181</v>
      </c>
      <c r="Q248" s="1" t="s">
        <v>54</v>
      </c>
      <c r="R248" s="7"/>
      <c r="S248" s="1" t="s">
        <v>31</v>
      </c>
      <c r="T248" s="1" t="s">
        <v>568</v>
      </c>
      <c r="U248" s="1" t="s">
        <v>59</v>
      </c>
      <c r="V248" s="1" t="s">
        <v>42</v>
      </c>
      <c r="W248" s="1" t="s">
        <v>49</v>
      </c>
      <c r="X248" s="1" t="s">
        <v>34</v>
      </c>
      <c r="Y248" s="1" t="s">
        <v>34</v>
      </c>
      <c r="Z248" s="1" t="s">
        <v>182</v>
      </c>
      <c r="AA248" s="8" t="str">
        <f>IFERROR(VLOOKUP(A248,Sheet3!B:H,6,false),VLOOKUP(J248,Sheet2!A:C,2,false))</f>
        <v>https://assets.roomstogo.com/product/sealy-correct-comfort-kerry-park-twin-xl-mattress_50028957_image-item</v>
      </c>
      <c r="AB248" s="8" t="str">
        <f>IFERROR(VLOOKUP(A248,Sheet3!B:H,7,false),VLOOKUP(J248,Sheet2!A:C,3,false))</f>
        <v>https://assets.roomstogo.com/product/sealy-correct-comfort-kerry-park-twin-xl-mattress_50028957_alt-image-1</v>
      </c>
      <c r="AC248" s="8" t="str">
        <f t="shared" si="2"/>
        <v>https://rtg-275.myshopify.com/products/KERRY-PARK</v>
      </c>
      <c r="AD248" s="8" t="str">
        <f>vlookup(L248,'Python sheet'!$E$2:$F$373,2,0)</f>
        <v>https://rtg-275.myshopify.com/products/KERRY-PARK?variant=47915109974154</v>
      </c>
    </row>
    <row r="249">
      <c r="A249" s="4">
        <v>5.0728963E7</v>
      </c>
      <c r="B249" s="9">
        <v>4.0</v>
      </c>
      <c r="C249" s="9">
        <v>5.0</v>
      </c>
      <c r="D249" s="2" t="s">
        <v>183</v>
      </c>
      <c r="E249" s="2" t="s">
        <v>44</v>
      </c>
      <c r="F249" s="2" t="s">
        <v>184</v>
      </c>
      <c r="G249" s="9">
        <v>12.0</v>
      </c>
      <c r="H249" s="9">
        <v>4.83</v>
      </c>
      <c r="I249" s="9">
        <v>8.0</v>
      </c>
      <c r="J249" s="1" t="s">
        <v>185</v>
      </c>
      <c r="K249" s="1" t="s">
        <v>998</v>
      </c>
      <c r="L249" s="1" t="str">
        <f t="shared" si="1"/>
        <v>BRADFORD-HILLKing</v>
      </c>
      <c r="M249" s="1" t="s">
        <v>605</v>
      </c>
      <c r="N249" s="6">
        <v>995.0</v>
      </c>
      <c r="O249" s="6">
        <v>1099.0</v>
      </c>
      <c r="P249" s="1" t="s">
        <v>181</v>
      </c>
      <c r="Q249" s="1" t="s">
        <v>54</v>
      </c>
      <c r="R249" s="7"/>
      <c r="S249" s="1" t="s">
        <v>31</v>
      </c>
      <c r="T249" s="1" t="s">
        <v>568</v>
      </c>
      <c r="U249" s="1" t="s">
        <v>33</v>
      </c>
      <c r="V249" s="1" t="s">
        <v>34</v>
      </c>
      <c r="W249" s="1" t="s">
        <v>35</v>
      </c>
      <c r="X249" s="1" t="s">
        <v>34</v>
      </c>
      <c r="Y249" s="1" t="s">
        <v>36</v>
      </c>
      <c r="Z249" s="1" t="s">
        <v>37</v>
      </c>
      <c r="AA249" s="8" t="str">
        <f>IFERROR(VLOOKUP(A249,Sheet3!B:H,6,false),VLOOKUP(J249,Sheet2!A:C,2,false))</f>
        <v>https://assets.roomstogo.com/product/sealy-correct-comfort-bradford-hill-twin-xl-mattress_50028969_image-item</v>
      </c>
      <c r="AB249" s="8" t="str">
        <f>IFERROR(VLOOKUP(A249,Sheet3!B:H,7,false),VLOOKUP(J249,Sheet2!A:C,3,false))</f>
        <v>https://assets.roomstogo.com/product/sealy-correct-comfort-bradford-hill-twin-xl-mattress_50028969_alt-image-1</v>
      </c>
      <c r="AC249" s="8" t="str">
        <f t="shared" si="2"/>
        <v>https://rtg-275.myshopify.com/products/BRADFORD-HILL</v>
      </c>
      <c r="AD249" s="8" t="str">
        <f>vlookup(L249,'Python sheet'!$E$2:$F$373,2,0)</f>
        <v>https://rtg-275.myshopify.com/products/BRADFORD-HILL?variant=47915110170762</v>
      </c>
    </row>
    <row r="250">
      <c r="A250" s="4">
        <v>5.0728975E7</v>
      </c>
      <c r="B250" s="5"/>
      <c r="C250" s="5"/>
      <c r="D250" s="5"/>
      <c r="E250" s="5"/>
      <c r="F250" s="5"/>
      <c r="G250" s="5"/>
      <c r="H250" s="5"/>
      <c r="I250" s="5"/>
      <c r="J250" s="1" t="s">
        <v>187</v>
      </c>
      <c r="K250" s="1" t="s">
        <v>187</v>
      </c>
      <c r="L250" s="1" t="str">
        <f t="shared" si="1"/>
        <v>NORTHGATEKing</v>
      </c>
      <c r="M250" s="1" t="s">
        <v>606</v>
      </c>
      <c r="N250" s="6">
        <v>1497.0</v>
      </c>
      <c r="O250" s="6">
        <v>2299.0</v>
      </c>
      <c r="P250" s="1" t="s">
        <v>181</v>
      </c>
      <c r="Q250" s="1" t="s">
        <v>54</v>
      </c>
      <c r="R250" s="7"/>
      <c r="S250" s="7"/>
      <c r="T250" s="1" t="s">
        <v>568</v>
      </c>
      <c r="U250" s="1" t="s">
        <v>33</v>
      </c>
      <c r="V250" s="1" t="s">
        <v>42</v>
      </c>
      <c r="W250" s="1" t="s">
        <v>35</v>
      </c>
      <c r="X250" s="1" t="s">
        <v>34</v>
      </c>
      <c r="Y250" s="1" t="s">
        <v>34</v>
      </c>
      <c r="Z250" s="1" t="s">
        <v>37</v>
      </c>
      <c r="AA250" s="8" t="str">
        <f>IFERROR(VLOOKUP(A250,Sheet3!B:H,6,false),VLOOKUP(J250,Sheet2!A:C,2,false))</f>
        <v>https://assets.roomstogo.com/product/posturepedic-northgate-twin-xl-mattress_50028971_image-item</v>
      </c>
      <c r="AB250" s="8" t="str">
        <f>IFERROR(VLOOKUP(A250,Sheet3!B:H,7,false),VLOOKUP(J250,Sheet2!A:C,3,false))</f>
        <v>https://assets.roomstogo.com/product/posturepedic-northgate-twin-xl-mattress_50028971_alt-image-1</v>
      </c>
      <c r="AC250" s="8" t="str">
        <f t="shared" si="2"/>
        <v>https://rtg-275.myshopify.com/products/NORTHGATE</v>
      </c>
      <c r="AD250" s="8" t="str">
        <f>vlookup(L250,'Python sheet'!$E$2:$F$373,2,0)</f>
        <v>https://rtg-275.myshopify.com/products/NORTHGATE?variant=47915110269066</v>
      </c>
    </row>
    <row r="251">
      <c r="A251" s="4">
        <v>5.0729179E7</v>
      </c>
      <c r="B251" s="5"/>
      <c r="C251" s="5"/>
      <c r="D251" s="5"/>
      <c r="E251" s="5"/>
      <c r="F251" s="5"/>
      <c r="G251" s="5"/>
      <c r="H251" s="5"/>
      <c r="I251" s="5"/>
      <c r="J251" s="1" t="s">
        <v>189</v>
      </c>
      <c r="K251" s="1" t="s">
        <v>189</v>
      </c>
      <c r="L251" s="1" t="str">
        <f t="shared" si="1"/>
        <v>BRIERWOODKing</v>
      </c>
      <c r="M251" s="1" t="s">
        <v>607</v>
      </c>
      <c r="N251" s="6">
        <v>1077.0</v>
      </c>
      <c r="O251" s="6">
        <v>1199.0</v>
      </c>
      <c r="P251" s="1" t="s">
        <v>191</v>
      </c>
      <c r="Q251" s="1" t="s">
        <v>54</v>
      </c>
      <c r="R251" s="1" t="s">
        <v>192</v>
      </c>
      <c r="S251" s="1" t="s">
        <v>31</v>
      </c>
      <c r="T251" s="1" t="s">
        <v>568</v>
      </c>
      <c r="U251" s="1" t="s">
        <v>59</v>
      </c>
      <c r="V251" s="1" t="s">
        <v>36</v>
      </c>
      <c r="W251" s="1" t="s">
        <v>35</v>
      </c>
      <c r="X251" s="1" t="s">
        <v>36</v>
      </c>
      <c r="Y251" s="1" t="s">
        <v>36</v>
      </c>
      <c r="Z251" s="1" t="s">
        <v>37</v>
      </c>
      <c r="AA251" s="8" t="str">
        <f>IFERROR(VLOOKUP(A251,Sheet3!B:H,6,false),VLOOKUP(J251,Sheet2!A:C,2,false))</f>
        <v>https://assets.roomstogo.com/product/sealy-posturepedic-brierwood-twin-xl-mattress_50029175_image-item</v>
      </c>
      <c r="AB251" s="8" t="str">
        <f>IFERROR(VLOOKUP(A251,Sheet3!B:H,7,false),VLOOKUP(J251,Sheet2!A:C,3,false))</f>
        <v>https://assets.roomstogo.com/product/sealy-posturepedic-brierwood-twin-xl-mattress_50029175_alt-image-1</v>
      </c>
      <c r="AC251" s="8" t="str">
        <f t="shared" si="2"/>
        <v>https://rtg-275.myshopify.com/products/BRIERWOOD</v>
      </c>
      <c r="AD251" s="8" t="str">
        <f>vlookup(L251,'Python sheet'!$E$2:$F$373,2,0)</f>
        <v>https://rtg-275.myshopify.com/products/BRIERWOOD?variant=47915110465674</v>
      </c>
    </row>
    <row r="252">
      <c r="A252" s="4">
        <v>5.0729206E7</v>
      </c>
      <c r="B252" s="9">
        <v>1.0</v>
      </c>
      <c r="C252" s="9">
        <v>4.0</v>
      </c>
      <c r="D252" s="2" t="s">
        <v>526</v>
      </c>
      <c r="E252" s="2" t="s">
        <v>44</v>
      </c>
      <c r="F252" s="2" t="s">
        <v>527</v>
      </c>
      <c r="G252" s="9">
        <v>3.0</v>
      </c>
      <c r="H252" s="9">
        <v>4.0</v>
      </c>
      <c r="I252" s="9">
        <v>2.0</v>
      </c>
      <c r="J252" s="1" t="s">
        <v>193</v>
      </c>
      <c r="K252" s="1" t="s">
        <v>999</v>
      </c>
      <c r="L252" s="1" t="str">
        <f t="shared" si="1"/>
        <v>CASTLE-ROCKKing</v>
      </c>
      <c r="M252" s="1" t="s">
        <v>608</v>
      </c>
      <c r="N252" s="6">
        <v>1397.0</v>
      </c>
      <c r="O252" s="6">
        <v>1599.0</v>
      </c>
      <c r="P252" s="1" t="s">
        <v>195</v>
      </c>
      <c r="Q252" s="1" t="s">
        <v>54</v>
      </c>
      <c r="R252" s="1" t="s">
        <v>196</v>
      </c>
      <c r="S252" s="1" t="s">
        <v>31</v>
      </c>
      <c r="T252" s="1" t="s">
        <v>568</v>
      </c>
      <c r="U252" s="1" t="s">
        <v>59</v>
      </c>
      <c r="V252" s="1" t="s">
        <v>34</v>
      </c>
      <c r="W252" s="1" t="s">
        <v>35</v>
      </c>
      <c r="X252" s="1" t="s">
        <v>34</v>
      </c>
      <c r="Y252" s="1" t="s">
        <v>36</v>
      </c>
      <c r="Z252" s="1" t="s">
        <v>37</v>
      </c>
      <c r="AA252" s="8" t="str">
        <f>IFERROR(VLOOKUP(A252,Sheet3!B:H,6,false),VLOOKUP(J252,Sheet2!A:C,2,false))</f>
        <v>https://assets.roomstogo.com/product/sealy-posturepedic-castle-rock-twin-xl-mattress_50029202_image-item</v>
      </c>
      <c r="AB252" s="8" t="str">
        <f>IFERROR(VLOOKUP(A252,Sheet3!B:H,7,false),VLOOKUP(J252,Sheet2!A:C,3,false))</f>
        <v>https://assets.roomstogo.com/product/sealy-posturepedic-castle-rock-twin-xl-mattress_50029202_alt-image-1</v>
      </c>
      <c r="AC252" s="8" t="str">
        <f t="shared" si="2"/>
        <v>https://rtg-275.myshopify.com/products/CASTLE-ROCK</v>
      </c>
      <c r="AD252" s="8" t="str">
        <f>vlookup(L252,'Python sheet'!$E$2:$F$373,2,0)</f>
        <v>https://rtg-275.myshopify.com/products/CASTLE-ROCK?variant=47915110760586</v>
      </c>
    </row>
    <row r="253">
      <c r="A253" s="4">
        <v>5.0729218E7</v>
      </c>
      <c r="B253" s="9">
        <v>1.0</v>
      </c>
      <c r="C253" s="9">
        <v>5.0</v>
      </c>
      <c r="D253" s="2" t="s">
        <v>609</v>
      </c>
      <c r="E253" s="2" t="s">
        <v>44</v>
      </c>
      <c r="F253" s="2" t="s">
        <v>610</v>
      </c>
      <c r="G253" s="9">
        <v>2.0</v>
      </c>
      <c r="H253" s="9">
        <v>3.5</v>
      </c>
      <c r="I253" s="9">
        <v>1.0</v>
      </c>
      <c r="J253" s="1" t="s">
        <v>197</v>
      </c>
      <c r="K253" s="1" t="s">
        <v>197</v>
      </c>
      <c r="L253" s="1" t="str">
        <f t="shared" si="1"/>
        <v>PEBBLEBROOKKing</v>
      </c>
      <c r="M253" s="1" t="s">
        <v>611</v>
      </c>
      <c r="N253" s="6">
        <v>1577.0</v>
      </c>
      <c r="O253" s="6">
        <v>1799.0</v>
      </c>
      <c r="P253" s="1" t="s">
        <v>199</v>
      </c>
      <c r="Q253" s="7"/>
      <c r="R253" s="1" t="s">
        <v>200</v>
      </c>
      <c r="S253" s="1" t="s">
        <v>31</v>
      </c>
      <c r="T253" s="1" t="s">
        <v>568</v>
      </c>
      <c r="U253" s="1" t="s">
        <v>59</v>
      </c>
      <c r="V253" s="1" t="s">
        <v>34</v>
      </c>
      <c r="W253" s="1" t="s">
        <v>35</v>
      </c>
      <c r="X253" s="1" t="s">
        <v>42</v>
      </c>
      <c r="Y253" s="1" t="s">
        <v>34</v>
      </c>
      <c r="Z253" s="1" t="s">
        <v>37</v>
      </c>
      <c r="AA253" s="8" t="str">
        <f>IFERROR(VLOOKUP(A253,Sheet3!B:H,6,false),VLOOKUP(J253,Sheet2!A:C,2,false))</f>
        <v>https://assets.roomstogo.com/product/sealy-posturepedic-pebblebrook-twin-xl-mattress_50029214_image-item</v>
      </c>
      <c r="AB253" s="8" t="str">
        <f>IFERROR(VLOOKUP(A253,Sheet3!B:H,7,false),VLOOKUP(J253,Sheet2!A:C,3,false))</f>
        <v>https://assets.roomstogo.com/product/sealy-posturepedic-pebblebrook-twin-xl-mattress_50029214_alt-image-1</v>
      </c>
      <c r="AC253" s="8" t="str">
        <f t="shared" si="2"/>
        <v>https://rtg-275.myshopify.com/products/PEBBLEBROOK</v>
      </c>
      <c r="AD253" s="8" t="str">
        <f>vlookup(L253,'Python sheet'!$E$2:$F$373,2,0)</f>
        <v>https://rtg-275.myshopify.com/products/PEBBLEBROOK?variant=47915110989962</v>
      </c>
    </row>
    <row r="254">
      <c r="A254" s="4">
        <v>5.0737051E7</v>
      </c>
      <c r="B254" s="9">
        <v>7.0</v>
      </c>
      <c r="C254" s="9">
        <v>3.29</v>
      </c>
      <c r="D254" s="2" t="s">
        <v>201</v>
      </c>
      <c r="E254" s="2" t="s">
        <v>44</v>
      </c>
      <c r="F254" s="2" t="s">
        <v>202</v>
      </c>
      <c r="G254" s="9">
        <v>347.0</v>
      </c>
      <c r="H254" s="9">
        <v>4.52</v>
      </c>
      <c r="I254" s="9">
        <v>340.0</v>
      </c>
      <c r="J254" s="1" t="s">
        <v>203</v>
      </c>
      <c r="K254" s="1" t="s">
        <v>1000</v>
      </c>
      <c r="L254" s="1" t="str">
        <f t="shared" si="1"/>
        <v>SERIES-ONE-EXTRA-FIRMKing</v>
      </c>
      <c r="M254" s="1" t="s">
        <v>612</v>
      </c>
      <c r="N254" s="6">
        <v>2599.0</v>
      </c>
      <c r="O254" s="6">
        <v>2599.0</v>
      </c>
      <c r="P254" s="1" t="s">
        <v>205</v>
      </c>
      <c r="Q254" s="7"/>
      <c r="R254" s="1" t="s">
        <v>206</v>
      </c>
      <c r="S254" s="1" t="s">
        <v>31</v>
      </c>
      <c r="T254" s="1" t="s">
        <v>568</v>
      </c>
      <c r="U254" s="1" t="s">
        <v>59</v>
      </c>
      <c r="V254" s="1" t="s">
        <v>34</v>
      </c>
      <c r="W254" s="1" t="s">
        <v>76</v>
      </c>
      <c r="X254" s="1" t="s">
        <v>50</v>
      </c>
      <c r="Y254" s="1" t="s">
        <v>42</v>
      </c>
      <c r="Z254" s="1" t="s">
        <v>144</v>
      </c>
      <c r="AA254" s="8" t="str">
        <f>IFERROR(VLOOKUP(A254,Sheet3!B:H,6,false),VLOOKUP(J254,Sheet2!A:C,2,false))</f>
        <v>https://assets.roomstogo.com/product/beautyrest-black-series-one-extra-firm-twin-xl-mattress_50037057_image-item</v>
      </c>
      <c r="AB254" s="8" t="str">
        <f>IFERROR(VLOOKUP(A254,Sheet3!B:H,7,false),VLOOKUP(J254,Sheet2!A:C,3,false))</f>
        <v>https://assets.roomstogo.com/product/beautyrest-black-series-one-extra-firm-twin-xl-mattress_50037057_alt-image-1</v>
      </c>
      <c r="AC254" s="8" t="str">
        <f t="shared" si="2"/>
        <v>https://rtg-275.myshopify.com/products/SERIES-ONE-EXTRA-FIRM</v>
      </c>
      <c r="AD254" s="8" t="str">
        <f>vlookup(L254,'Python sheet'!$E$2:$F$373,2,0)</f>
        <v>https://rtg-275.myshopify.com/products/SERIES-ONE-EXTRA-FIRM?variant=47915111186570</v>
      </c>
    </row>
    <row r="255">
      <c r="A255" s="4">
        <v>5.0737138E7</v>
      </c>
      <c r="B255" s="9">
        <v>6.0</v>
      </c>
      <c r="C255" s="9">
        <v>3.67</v>
      </c>
      <c r="D255" s="2" t="s">
        <v>207</v>
      </c>
      <c r="E255" s="2" t="s">
        <v>44</v>
      </c>
      <c r="F255" s="2" t="s">
        <v>208</v>
      </c>
      <c r="G255" s="9">
        <v>137.0</v>
      </c>
      <c r="H255" s="9">
        <v>4.58</v>
      </c>
      <c r="I255" s="9">
        <v>131.0</v>
      </c>
      <c r="J255" s="1" t="s">
        <v>209</v>
      </c>
      <c r="K255" s="1" t="s">
        <v>1001</v>
      </c>
      <c r="L255" s="1" t="str">
        <f t="shared" si="1"/>
        <v>SERIES-TWO-MEDIUMKing</v>
      </c>
      <c r="M255" s="1" t="s">
        <v>613</v>
      </c>
      <c r="N255" s="6">
        <v>3599.0</v>
      </c>
      <c r="O255" s="6">
        <v>3599.0</v>
      </c>
      <c r="P255" s="1" t="s">
        <v>205</v>
      </c>
      <c r="Q255" s="7"/>
      <c r="R255" s="1" t="s">
        <v>211</v>
      </c>
      <c r="S255" s="1" t="s">
        <v>31</v>
      </c>
      <c r="T255" s="1" t="s">
        <v>568</v>
      </c>
      <c r="U255" s="1" t="s">
        <v>59</v>
      </c>
      <c r="V255" s="1" t="s">
        <v>42</v>
      </c>
      <c r="W255" s="1" t="s">
        <v>35</v>
      </c>
      <c r="X255" s="1" t="s">
        <v>50</v>
      </c>
      <c r="Y255" s="1" t="s">
        <v>42</v>
      </c>
      <c r="Z255" s="1" t="s">
        <v>37</v>
      </c>
      <c r="AA255" s="8" t="str">
        <f>IFERROR(VLOOKUP(A255,Sheet3!B:H,6,false),VLOOKUP(J255,Sheet2!A:C,2,false))</f>
        <v>https://assets.roomstogo.com/product/beautyrest-black-series-two-medium-twin-xl-mattress_50037134_image-item</v>
      </c>
      <c r="AB255" s="8" t="str">
        <f>IFERROR(VLOOKUP(A255,Sheet3!B:H,7,false),VLOOKUP(J255,Sheet2!A:C,3,false))</f>
        <v>https://assets.roomstogo.com/product/beautyrest-black-series-two-medium-twin-xl-mattress_50037134_alt-image-1</v>
      </c>
      <c r="AC255" s="8" t="str">
        <f t="shared" si="2"/>
        <v>https://rtg-275.myshopify.com/products/SERIES-TWO-MEDIUM</v>
      </c>
      <c r="AD255" s="8" t="str">
        <f>vlookup(L255,'Python sheet'!$E$2:$F$373,2,0)</f>
        <v>https://rtg-275.myshopify.com/products/SERIES-TWO-MEDIUM?variant=47915111383178</v>
      </c>
    </row>
    <row r="256">
      <c r="A256" s="4">
        <v>5.0737227E7</v>
      </c>
      <c r="B256" s="9">
        <v>3.0</v>
      </c>
      <c r="C256" s="9">
        <v>4.67</v>
      </c>
      <c r="D256" s="2" t="s">
        <v>212</v>
      </c>
      <c r="E256" s="2" t="s">
        <v>44</v>
      </c>
      <c r="F256" s="2" t="s">
        <v>213</v>
      </c>
      <c r="G256" s="9">
        <v>290.0</v>
      </c>
      <c r="H256" s="9">
        <v>4.72</v>
      </c>
      <c r="I256" s="9">
        <v>287.0</v>
      </c>
      <c r="J256" s="1" t="s">
        <v>214</v>
      </c>
      <c r="K256" s="1" t="s">
        <v>1002</v>
      </c>
      <c r="L256" s="1" t="str">
        <f t="shared" si="1"/>
        <v>SERIES-THREE-PLUSH-PILLOW-TOPKing</v>
      </c>
      <c r="M256" s="1" t="s">
        <v>614</v>
      </c>
      <c r="N256" s="6">
        <v>4899.0</v>
      </c>
      <c r="O256" s="6">
        <v>4899.0</v>
      </c>
      <c r="P256" s="1" t="s">
        <v>205</v>
      </c>
      <c r="Q256" s="7"/>
      <c r="R256" s="1" t="s">
        <v>216</v>
      </c>
      <c r="S256" s="1" t="s">
        <v>31</v>
      </c>
      <c r="T256" s="1" t="s">
        <v>568</v>
      </c>
      <c r="U256" s="1" t="s">
        <v>59</v>
      </c>
      <c r="V256" s="1" t="s">
        <v>50</v>
      </c>
      <c r="W256" s="1" t="s">
        <v>49</v>
      </c>
      <c r="X256" s="1" t="s">
        <v>50</v>
      </c>
      <c r="Y256" s="1" t="s">
        <v>42</v>
      </c>
      <c r="Z256" s="1" t="s">
        <v>51</v>
      </c>
      <c r="AA256" s="8" t="str">
        <f>IFERROR(VLOOKUP(A256,Sheet3!B:H,6,false),VLOOKUP(J256,Sheet2!A:C,2,false))</f>
        <v>https://assets.roomstogo.com/product/beautyrest-black-series-three-plush-pillow-top-twin-xl-mattress_50037223_image-item</v>
      </c>
      <c r="AB256" s="8" t="str">
        <f>IFERROR(VLOOKUP(A256,Sheet3!B:H,7,false),VLOOKUP(J256,Sheet2!A:C,3,false))</f>
        <v>https://assets.roomstogo.com/product/beautyrest-black-series-three-plush-pillow-top-twin-xl-mattress_50037223_alt-image-1</v>
      </c>
      <c r="AC256" s="8" t="str">
        <f t="shared" si="2"/>
        <v>https://rtg-275.myshopify.com/products/SERIES-THREE-PLUSH-PILLOW-TOP</v>
      </c>
      <c r="AD256" s="8" t="str">
        <f>vlookup(L256,'Python sheet'!$E$2:$F$373,2,0)</f>
        <v>https://rtg-275.myshopify.com/products/SERIES-THREE-PLUSH-PILLOW-TOP?variant=47915111612554</v>
      </c>
    </row>
    <row r="257">
      <c r="A257" s="4">
        <v>5.074803E7</v>
      </c>
      <c r="B257" s="9">
        <v>6.0</v>
      </c>
      <c r="C257" s="9">
        <v>5.0</v>
      </c>
      <c r="D257" s="2" t="s">
        <v>217</v>
      </c>
      <c r="E257" s="2" t="s">
        <v>44</v>
      </c>
      <c r="F257" s="2" t="s">
        <v>218</v>
      </c>
      <c r="G257" s="9">
        <v>438.0</v>
      </c>
      <c r="H257" s="9">
        <v>4.52</v>
      </c>
      <c r="I257" s="9">
        <v>432.0</v>
      </c>
      <c r="J257" s="1" t="s">
        <v>219</v>
      </c>
      <c r="K257" s="1" t="s">
        <v>1003</v>
      </c>
      <c r="L257" s="1" t="str">
        <f t="shared" si="1"/>
        <v>ESTATE-FIRM-TTKing</v>
      </c>
      <c r="M257" s="1" t="s">
        <v>615</v>
      </c>
      <c r="N257" s="6">
        <v>2999.0</v>
      </c>
      <c r="O257" s="6">
        <v>2999.0</v>
      </c>
      <c r="P257" s="1" t="s">
        <v>221</v>
      </c>
      <c r="Q257" s="7"/>
      <c r="R257" s="1" t="s">
        <v>222</v>
      </c>
      <c r="S257" s="1" t="s">
        <v>31</v>
      </c>
      <c r="T257" s="1" t="s">
        <v>568</v>
      </c>
      <c r="U257" s="1" t="s">
        <v>59</v>
      </c>
      <c r="V257" s="1" t="s">
        <v>34</v>
      </c>
      <c r="W257" s="1" t="s">
        <v>76</v>
      </c>
      <c r="X257" s="1" t="s">
        <v>42</v>
      </c>
      <c r="Y257" s="1" t="s">
        <v>34</v>
      </c>
      <c r="Z257" s="1" t="s">
        <v>77</v>
      </c>
      <c r="AA257" s="8" t="str">
        <f>IFERROR(VLOOKUP(A257,Sheet3!B:H,6,false),VLOOKUP(J257,Sheet2!A:C,2,false))</f>
        <v>https://assets.roomstogo.com/product/stearns-and-foster-estate-firm-tight-top-twin-xl-mattress_50048036_image-item</v>
      </c>
      <c r="AB257" s="8" t="str">
        <f>IFERROR(VLOOKUP(A257,Sheet3!B:H,7,false),VLOOKUP(J257,Sheet2!A:C,3,false))</f>
        <v>https://assets.roomstogo.com/product/stearns-and-foster-estate-firm-tight-top-twin-xl-mattress_50048036_alt-image-1</v>
      </c>
      <c r="AC257" s="8" t="str">
        <f t="shared" si="2"/>
        <v>https://rtg-275.myshopify.com/products/ESTATE-FIRM-TT</v>
      </c>
      <c r="AD257" s="8" t="str">
        <f>vlookup(L257,'Python sheet'!$E$2:$F$373,2,0)</f>
        <v>https://rtg-275.myshopify.com/products/ESTATE-FIRM-TT?variant=47915111809162</v>
      </c>
    </row>
    <row r="258">
      <c r="A258" s="4">
        <v>5.0748054E7</v>
      </c>
      <c r="B258" s="9">
        <v>2.0</v>
      </c>
      <c r="C258" s="9">
        <v>4.0</v>
      </c>
      <c r="D258" s="2" t="s">
        <v>435</v>
      </c>
      <c r="E258" s="2" t="s">
        <v>44</v>
      </c>
      <c r="F258" s="2" t="s">
        <v>436</v>
      </c>
      <c r="G258" s="9">
        <v>7.0</v>
      </c>
      <c r="H258" s="9">
        <v>3.86</v>
      </c>
      <c r="I258" s="9">
        <v>5.0</v>
      </c>
      <c r="J258" s="1" t="s">
        <v>223</v>
      </c>
      <c r="K258" s="1" t="s">
        <v>1004</v>
      </c>
      <c r="L258" s="1" t="str">
        <f t="shared" si="1"/>
        <v>ESTATE-FIRM-PTKing</v>
      </c>
      <c r="M258" s="1" t="s">
        <v>616</v>
      </c>
      <c r="N258" s="6">
        <v>3199.0</v>
      </c>
      <c r="O258" s="6">
        <v>3199.0</v>
      </c>
      <c r="P258" s="1" t="s">
        <v>221</v>
      </c>
      <c r="Q258" s="7"/>
      <c r="R258" s="1" t="s">
        <v>222</v>
      </c>
      <c r="S258" s="1" t="s">
        <v>31</v>
      </c>
      <c r="T258" s="1" t="s">
        <v>568</v>
      </c>
      <c r="U258" s="1" t="s">
        <v>59</v>
      </c>
      <c r="V258" s="1" t="s">
        <v>34</v>
      </c>
      <c r="W258" s="1" t="s">
        <v>76</v>
      </c>
      <c r="X258" s="1" t="s">
        <v>42</v>
      </c>
      <c r="Y258" s="1" t="s">
        <v>34</v>
      </c>
      <c r="Z258" s="1" t="s">
        <v>77</v>
      </c>
      <c r="AA258" s="8" t="str">
        <f>IFERROR(VLOOKUP(A258,Sheet3!B:H,6,false),VLOOKUP(J258,Sheet2!A:C,2,false))</f>
        <v>https://assets.roomstogo.com/product/stearns-and-foster-estate-firm-pillow-top-twin-xl-mattress_50048050_image-item</v>
      </c>
      <c r="AB258" s="8" t="str">
        <f>IFERROR(VLOOKUP(A258,Sheet3!B:H,7,false),VLOOKUP(J258,Sheet2!A:C,3,false))</f>
        <v>https://assets.roomstogo.com/product/stearns-and-foster-estate-firm-pillow-top-twin-xl-mattress_50048050_alt-image-1</v>
      </c>
      <c r="AC258" s="8" t="str">
        <f t="shared" si="2"/>
        <v>https://rtg-275.myshopify.com/products/ESTATE-FIRM-PT</v>
      </c>
      <c r="AD258" s="8" t="str">
        <f>vlookup(L258,'Python sheet'!$E$2:$F$373,2,0)</f>
        <v>https://rtg-275.myshopify.com/products/ESTATE-FIRM-PT?variant=47915112005770</v>
      </c>
    </row>
    <row r="259">
      <c r="A259" s="4">
        <v>5.074827E7</v>
      </c>
      <c r="B259" s="5"/>
      <c r="C259" s="5"/>
      <c r="D259" s="5"/>
      <c r="E259" s="5"/>
      <c r="F259" s="5"/>
      <c r="G259" s="5"/>
      <c r="H259" s="5"/>
      <c r="I259" s="5"/>
      <c r="J259" s="1" t="s">
        <v>227</v>
      </c>
      <c r="K259" s="1" t="s">
        <v>1005</v>
      </c>
      <c r="L259" s="1" t="str">
        <f t="shared" si="1"/>
        <v>LUX-ESTATE-ELITEKing</v>
      </c>
      <c r="M259" s="1" t="s">
        <v>617</v>
      </c>
      <c r="N259" s="6">
        <v>4799.0</v>
      </c>
      <c r="O259" s="6">
        <v>4799.0</v>
      </c>
      <c r="P259" s="1" t="s">
        <v>221</v>
      </c>
      <c r="Q259" s="7"/>
      <c r="R259" s="1" t="s">
        <v>229</v>
      </c>
      <c r="S259" s="1" t="s">
        <v>31</v>
      </c>
      <c r="T259" s="1" t="s">
        <v>568</v>
      </c>
      <c r="U259" s="1" t="s">
        <v>59</v>
      </c>
      <c r="V259" s="1" t="s">
        <v>42</v>
      </c>
      <c r="W259" s="1" t="s">
        <v>35</v>
      </c>
      <c r="X259" s="1" t="s">
        <v>50</v>
      </c>
      <c r="Y259" s="1" t="s">
        <v>42</v>
      </c>
      <c r="Z259" s="1" t="s">
        <v>37</v>
      </c>
      <c r="AA259" s="8" t="str">
        <f>IFERROR(VLOOKUP(A259,Sheet3!B:H,6,false),VLOOKUP(J259,Sheet2!A:C,2,false))</f>
        <v>https://assets.roomstogo.com/product/stearns-and-foster-lux-estate-elite-medium-pillow-top-twin-xl-mattress_50048276_image-item</v>
      </c>
      <c r="AB259" s="8" t="str">
        <f>IFERROR(VLOOKUP(A259,Sheet3!B:H,7,false),VLOOKUP(J259,Sheet2!A:C,3,false))</f>
        <v>https://assets.roomstogo.com/product/stearns-and-foster-lux-estate-elite-medium-pillow-top-twin-xl-mattress_50048276_alt-image-1</v>
      </c>
      <c r="AC259" s="8" t="str">
        <f t="shared" si="2"/>
        <v>https://rtg-275.myshopify.com/products/LUX-ESTATE-ELITE</v>
      </c>
      <c r="AD259" s="8" t="str">
        <f>vlookup(L259,'Python sheet'!$E$2:$F$373,2,0)</f>
        <v>https://rtg-275.myshopify.com/products/LUX-ESTATE-ELITE?variant=47915112104074</v>
      </c>
    </row>
    <row r="260">
      <c r="A260" s="4">
        <v>5.0770114E7</v>
      </c>
      <c r="B260" s="9">
        <v>2.0</v>
      </c>
      <c r="C260" s="9">
        <v>3.0</v>
      </c>
      <c r="D260" s="2" t="s">
        <v>230</v>
      </c>
      <c r="E260" s="2" t="s">
        <v>44</v>
      </c>
      <c r="F260" s="2" t="s">
        <v>231</v>
      </c>
      <c r="G260" s="9">
        <v>9006.0</v>
      </c>
      <c r="H260" s="9">
        <v>4.32</v>
      </c>
      <c r="I260" s="9">
        <v>9004.0</v>
      </c>
      <c r="J260" s="1" t="s">
        <v>232</v>
      </c>
      <c r="K260" s="1" t="s">
        <v>1006</v>
      </c>
      <c r="L260" s="1" t="str">
        <f t="shared" si="1"/>
        <v>HELIX-MIDNIGHT-LUXEKing</v>
      </c>
      <c r="M260" s="1" t="s">
        <v>618</v>
      </c>
      <c r="N260" s="6">
        <v>2538.0</v>
      </c>
      <c r="O260" s="6">
        <v>3172.5</v>
      </c>
      <c r="P260" s="1" t="s">
        <v>234</v>
      </c>
      <c r="Q260" s="7"/>
      <c r="R260" s="7"/>
      <c r="S260" s="1" t="s">
        <v>31</v>
      </c>
      <c r="T260" s="1" t="s">
        <v>568</v>
      </c>
      <c r="U260" s="1" t="s">
        <v>59</v>
      </c>
      <c r="V260" s="1" t="s">
        <v>42</v>
      </c>
      <c r="W260" s="1" t="s">
        <v>35</v>
      </c>
      <c r="X260" s="1" t="s">
        <v>42</v>
      </c>
      <c r="Y260" s="1" t="s">
        <v>34</v>
      </c>
      <c r="Z260" s="1" t="s">
        <v>37</v>
      </c>
      <c r="AA260" s="8" t="str">
        <f>IFERROR(VLOOKUP(A260,Sheet3!B:H,6,false),VLOOKUP(J260,Sheet2!A:C,2,false))</f>
        <v>https://assets.roomstogo.com/product/helix-midnight-luxe-twin-xl-mattress_50070110_image-item</v>
      </c>
      <c r="AB260" s="8" t="str">
        <f>IFERROR(VLOOKUP(A260,Sheet3!B:H,7,false),VLOOKUP(J260,Sheet2!A:C,3,false))</f>
        <v>https://assets.roomstogo.com/product/helix-midnight-luxe-twin-xl-mattress_50070110_alt-image-1</v>
      </c>
      <c r="AC260" s="8" t="str">
        <f t="shared" si="2"/>
        <v>https://rtg-275.myshopify.com/products/HELIX-MIDNIGHT-LUXE</v>
      </c>
      <c r="AD260" s="8" t="str">
        <f>vlookup(L260,'Python sheet'!$E$2:$F$373,2,0)</f>
        <v>https://rtg-275.myshopify.com/products/HELIX-MIDNIGHT-LUXE?variant=47915112300682</v>
      </c>
    </row>
    <row r="261">
      <c r="A261" s="4">
        <v>5.0770126E7</v>
      </c>
      <c r="B261" s="9">
        <v>7.0</v>
      </c>
      <c r="C261" s="9">
        <v>4.0</v>
      </c>
      <c r="D261" s="2" t="s">
        <v>235</v>
      </c>
      <c r="E261" s="2" t="s">
        <v>44</v>
      </c>
      <c r="F261" s="2" t="s">
        <v>236</v>
      </c>
      <c r="G261" s="9">
        <v>501.0</v>
      </c>
      <c r="H261" s="9">
        <v>4.22</v>
      </c>
      <c r="I261" s="9">
        <v>494.0</v>
      </c>
      <c r="J261" s="1" t="s">
        <v>237</v>
      </c>
      <c r="K261" s="1" t="s">
        <v>1007</v>
      </c>
      <c r="L261" s="1" t="str">
        <f t="shared" si="1"/>
        <v>HELIX-MIDNIGHT-ELITEKing</v>
      </c>
      <c r="M261" s="1" t="s">
        <v>619</v>
      </c>
      <c r="N261" s="6">
        <v>3599.0</v>
      </c>
      <c r="O261" s="6">
        <v>4498.75</v>
      </c>
      <c r="P261" s="1" t="s">
        <v>234</v>
      </c>
      <c r="Q261" s="7"/>
      <c r="R261" s="7"/>
      <c r="S261" s="1" t="s">
        <v>31</v>
      </c>
      <c r="T261" s="1" t="s">
        <v>568</v>
      </c>
      <c r="U261" s="1" t="s">
        <v>59</v>
      </c>
      <c r="V261" s="1" t="s">
        <v>50</v>
      </c>
      <c r="W261" s="1" t="s">
        <v>35</v>
      </c>
      <c r="X261" s="1" t="s">
        <v>42</v>
      </c>
      <c r="Y261" s="1" t="s">
        <v>42</v>
      </c>
      <c r="Z261" s="1" t="s">
        <v>37</v>
      </c>
      <c r="AA261" s="8" t="str">
        <f>IFERROR(VLOOKUP(A261,Sheet3!B:H,6,false),VLOOKUP(J261,Sheet2!A:C,2,false))</f>
        <v>https://assets.roomstogo.com/product/helix-midnight-elite-twin-xl-mattress_50070122_image-item</v>
      </c>
      <c r="AB261" s="8" t="str">
        <f>IFERROR(VLOOKUP(A261,Sheet3!B:H,7,false),VLOOKUP(J261,Sheet2!A:C,3,false))</f>
        <v>https://assets.roomstogo.com/product/helix-midnight-elite-twin-xl-mattress_50070122_alt-image-1</v>
      </c>
      <c r="AC261" s="8" t="str">
        <f t="shared" si="2"/>
        <v>https://rtg-275.myshopify.com/products/HELIX-MIDNIGHT-ELITE</v>
      </c>
      <c r="AD261" s="8" t="str">
        <f>vlookup(L261,'Python sheet'!$E$2:$F$373,2,0)</f>
        <v>https://rtg-275.myshopify.com/products/HELIX-MIDNIGHT-ELITE?variant=47915112530058</v>
      </c>
    </row>
    <row r="262">
      <c r="A262" s="4">
        <v>5.0800486E7</v>
      </c>
      <c r="B262" s="9">
        <v>8.0</v>
      </c>
      <c r="C262" s="9">
        <v>4.25</v>
      </c>
      <c r="D262" s="2" t="s">
        <v>620</v>
      </c>
      <c r="E262" s="2" t="s">
        <v>621</v>
      </c>
      <c r="F262" s="2" t="s">
        <v>446</v>
      </c>
      <c r="G262" s="9">
        <v>14.0</v>
      </c>
      <c r="H262" s="9">
        <v>4.79</v>
      </c>
      <c r="I262" s="9">
        <v>6.0</v>
      </c>
      <c r="J262" s="1" t="s">
        <v>447</v>
      </c>
      <c r="K262" s="1" t="s">
        <v>1014</v>
      </c>
      <c r="L262" s="1" t="str">
        <f t="shared" si="1"/>
        <v>BASELOGIC-SILVERTwin XL</v>
      </c>
      <c r="M262" s="1" t="s">
        <v>622</v>
      </c>
      <c r="N262" s="6">
        <v>649.0</v>
      </c>
      <c r="O262" s="6">
        <v>749.0</v>
      </c>
      <c r="P262" s="1" t="s">
        <v>449</v>
      </c>
      <c r="Q262" s="7"/>
      <c r="R262" s="1" t="s">
        <v>450</v>
      </c>
      <c r="S262" s="1" t="s">
        <v>31</v>
      </c>
      <c r="T262" s="1" t="s">
        <v>32</v>
      </c>
      <c r="U262" s="7"/>
      <c r="V262" s="7"/>
      <c r="W262" s="7"/>
      <c r="X262" s="7"/>
      <c r="Y262" s="7"/>
      <c r="Z262" s="7"/>
      <c r="AA262" s="11" t="str">
        <f>IFERROR(VLOOKUP(A262,Sheet3!B:H,6,false),VLOOKUP(J262,Sheet2!A:C,2,false))</f>
        <v>#N/A</v>
      </c>
      <c r="AB262" s="11" t="str">
        <f>IFERROR(VLOOKUP(A262,Sheet3!B:H,7,false),VLOOKUP(J262,Sheet2!A:C,3,false))</f>
        <v>#N/A</v>
      </c>
      <c r="AC262" s="8" t="str">
        <f t="shared" si="2"/>
        <v>https://rtg-275.myshopify.com/products/BASELOGIC-SILVER</v>
      </c>
      <c r="AD262" s="8" t="str">
        <f>vlookup(L262,'Python sheet'!$E$2:$F$373,2,0)</f>
        <v>https://rtg-275.myshopify.com/products/BASELOGIC-SILVER?variant=47915114397834</v>
      </c>
    </row>
    <row r="263">
      <c r="A263" s="4">
        <v>5.0800513E7</v>
      </c>
      <c r="B263" s="9">
        <v>1.0</v>
      </c>
      <c r="C263" s="9">
        <v>5.0</v>
      </c>
      <c r="D263" s="2" t="s">
        <v>623</v>
      </c>
      <c r="E263" s="2" t="s">
        <v>621</v>
      </c>
      <c r="F263" s="2" t="s">
        <v>452</v>
      </c>
      <c r="G263" s="9">
        <v>1.0</v>
      </c>
      <c r="H263" s="9">
        <v>5.0</v>
      </c>
      <c r="I263" s="9">
        <v>0.0</v>
      </c>
      <c r="J263" s="1" t="s">
        <v>453</v>
      </c>
      <c r="K263" s="1" t="s">
        <v>1015</v>
      </c>
      <c r="L263" s="1" t="str">
        <f t="shared" si="1"/>
        <v>BASELOGIC-PLATINUMTwin XL</v>
      </c>
      <c r="M263" s="1" t="s">
        <v>624</v>
      </c>
      <c r="N263" s="6">
        <v>1399.0</v>
      </c>
      <c r="O263" s="6">
        <v>1599.0</v>
      </c>
      <c r="P263" s="1" t="s">
        <v>449</v>
      </c>
      <c r="Q263" s="7"/>
      <c r="R263" s="1" t="s">
        <v>455</v>
      </c>
      <c r="S263" s="1" t="s">
        <v>31</v>
      </c>
      <c r="T263" s="1" t="s">
        <v>32</v>
      </c>
      <c r="U263" s="7"/>
      <c r="V263" s="7"/>
      <c r="W263" s="7"/>
      <c r="X263" s="7"/>
      <c r="Y263" s="7"/>
      <c r="Z263" s="7"/>
      <c r="AA263" s="11" t="str">
        <f>IFERROR(VLOOKUP(A263,Sheet3!B:H,6,false),VLOOKUP(J263,Sheet2!A:C,2,false))</f>
        <v>#N/A</v>
      </c>
      <c r="AB263" s="11" t="str">
        <f>IFERROR(VLOOKUP(A263,Sheet3!B:H,7,false),VLOOKUP(J263,Sheet2!A:C,3,false))</f>
        <v>#N/A</v>
      </c>
      <c r="AC263" s="8" t="str">
        <f t="shared" si="2"/>
        <v>https://rtg-275.myshopify.com/products/BASELOGIC-PLATINUM</v>
      </c>
      <c r="AD263" s="8" t="str">
        <f>vlookup(L263,'Python sheet'!$E$2:$F$373,2,0)</f>
        <v>https://rtg-275.myshopify.com/products/BASELOGIC-PLATINUM?variant=47915114594442</v>
      </c>
    </row>
    <row r="264">
      <c r="A264" s="4">
        <v>5.0808165E7</v>
      </c>
      <c r="B264" s="9">
        <v>5.0</v>
      </c>
      <c r="C264" s="9">
        <v>4.8</v>
      </c>
      <c r="D264" s="2" t="s">
        <v>625</v>
      </c>
      <c r="E264" s="2" t="s">
        <v>621</v>
      </c>
      <c r="F264" s="2" t="s">
        <v>457</v>
      </c>
      <c r="G264" s="9">
        <v>1.0</v>
      </c>
      <c r="H264" s="9">
        <v>5.0</v>
      </c>
      <c r="I264" s="9">
        <v>-4.0</v>
      </c>
      <c r="J264" s="1" t="s">
        <v>458</v>
      </c>
      <c r="K264" s="1" t="s">
        <v>1016</v>
      </c>
      <c r="L264" s="1" t="str">
        <f t="shared" si="1"/>
        <v>TEMPUR-ERGO-3-0Twin XL</v>
      </c>
      <c r="M264" s="1" t="s">
        <v>626</v>
      </c>
      <c r="N264" s="6">
        <v>1599.0</v>
      </c>
      <c r="O264" s="6">
        <v>1599.0</v>
      </c>
      <c r="P264" s="1" t="s">
        <v>64</v>
      </c>
      <c r="Q264" s="7"/>
      <c r="R264" s="1" t="s">
        <v>460</v>
      </c>
      <c r="S264" s="1" t="s">
        <v>31</v>
      </c>
      <c r="T264" s="1" t="s">
        <v>32</v>
      </c>
      <c r="U264" s="7"/>
      <c r="V264" s="7"/>
      <c r="W264" s="7"/>
      <c r="X264" s="7"/>
      <c r="Y264" s="7"/>
      <c r="Z264" s="7"/>
      <c r="AA264" s="11" t="str">
        <f>IFERROR(VLOOKUP(A264,Sheet3!B:H,6,false),VLOOKUP(J264,Sheet2!A:C,2,false))</f>
        <v>#N/A</v>
      </c>
      <c r="AB264" s="11" t="str">
        <f>IFERROR(VLOOKUP(A264,Sheet3!B:H,7,false),VLOOKUP(J264,Sheet2!A:C,3,false))</f>
        <v>#N/A</v>
      </c>
      <c r="AC264" s="8" t="str">
        <f t="shared" si="2"/>
        <v>https://rtg-275.myshopify.com/products/TEMPUR-ERGO-3-0</v>
      </c>
      <c r="AD264" s="8" t="str">
        <f>vlookup(L264,'Python sheet'!$E$2:$F$373,2,0)</f>
        <v>https://rtg-275.myshopify.com/products/TEMPUR-ERGO-3-0?variant=47915114823818</v>
      </c>
    </row>
    <row r="265">
      <c r="A265" s="4">
        <v>5.0808189E7</v>
      </c>
      <c r="B265" s="9">
        <v>2.0</v>
      </c>
      <c r="C265" s="9">
        <v>4.0</v>
      </c>
      <c r="D265" s="2" t="s">
        <v>627</v>
      </c>
      <c r="E265" s="2" t="s">
        <v>621</v>
      </c>
      <c r="F265" s="2" t="s">
        <v>462</v>
      </c>
      <c r="G265" s="9">
        <v>405.0</v>
      </c>
      <c r="H265" s="9">
        <v>4.6</v>
      </c>
      <c r="I265" s="9">
        <v>403.0</v>
      </c>
      <c r="J265" s="1" t="s">
        <v>463</v>
      </c>
      <c r="K265" s="1" t="s">
        <v>1017</v>
      </c>
      <c r="L265" s="1" t="str">
        <f t="shared" si="1"/>
        <v>TEMPUR-ERGO-3-0-SMARTTwin XL</v>
      </c>
      <c r="M265" s="1" t="s">
        <v>628</v>
      </c>
      <c r="N265" s="6">
        <v>2099.0</v>
      </c>
      <c r="O265" s="6">
        <v>2099.0</v>
      </c>
      <c r="P265" s="1" t="s">
        <v>64</v>
      </c>
      <c r="Q265" s="7"/>
      <c r="R265" s="1" t="s">
        <v>465</v>
      </c>
      <c r="S265" s="1" t="s">
        <v>31</v>
      </c>
      <c r="T265" s="1" t="s">
        <v>32</v>
      </c>
      <c r="U265" s="7"/>
      <c r="V265" s="7"/>
      <c r="W265" s="7"/>
      <c r="X265" s="7"/>
      <c r="Y265" s="7"/>
      <c r="Z265" s="7"/>
      <c r="AA265" s="11" t="str">
        <f>IFERROR(VLOOKUP(A265,Sheet3!B:H,6,false),VLOOKUP(J265,Sheet2!A:C,2,false))</f>
        <v>#N/A</v>
      </c>
      <c r="AB265" s="11" t="str">
        <f>IFERROR(VLOOKUP(A265,Sheet3!B:H,7,false),VLOOKUP(J265,Sheet2!A:C,3,false))</f>
        <v>#N/A</v>
      </c>
      <c r="AC265" s="8" t="str">
        <f t="shared" si="2"/>
        <v>https://rtg-275.myshopify.com/products/TEMPUR-ERGO-3-0-SMART</v>
      </c>
      <c r="AD265" s="8" t="str">
        <f>vlookup(L265,'Python sheet'!$E$2:$F$373,2,0)</f>
        <v>https://rtg-275.myshopify.com/products/TEMPUR-ERGO-3-0-SMART?variant=47915115053194</v>
      </c>
    </row>
    <row r="266">
      <c r="A266" s="4">
        <v>5.0808191E7</v>
      </c>
      <c r="B266" s="9">
        <v>2.0</v>
      </c>
      <c r="C266" s="9">
        <v>5.0</v>
      </c>
      <c r="D266" s="2" t="s">
        <v>629</v>
      </c>
      <c r="E266" s="2" t="s">
        <v>621</v>
      </c>
      <c r="F266" s="2" t="s">
        <v>548</v>
      </c>
      <c r="G266" s="9">
        <v>5.0</v>
      </c>
      <c r="H266" s="9">
        <v>4.4</v>
      </c>
      <c r="I266" s="9">
        <v>3.0</v>
      </c>
      <c r="J266" s="1" t="s">
        <v>549</v>
      </c>
      <c r="K266" s="1" t="s">
        <v>1018</v>
      </c>
      <c r="L266" s="1" t="str">
        <f t="shared" si="1"/>
        <v>TEMPUR-ERGO-PROSMARTTwin XL</v>
      </c>
      <c r="M266" s="1" t="s">
        <v>630</v>
      </c>
      <c r="N266" s="6">
        <v>2599.0</v>
      </c>
      <c r="O266" s="6">
        <v>2599.0</v>
      </c>
      <c r="P266" s="1" t="s">
        <v>64</v>
      </c>
      <c r="Q266" s="7"/>
      <c r="R266" s="1" t="s">
        <v>551</v>
      </c>
      <c r="S266" s="1" t="s">
        <v>31</v>
      </c>
      <c r="T266" s="1" t="s">
        <v>32</v>
      </c>
      <c r="U266" s="7"/>
      <c r="V266" s="7"/>
      <c r="W266" s="7"/>
      <c r="X266" s="7"/>
      <c r="Y266" s="7"/>
      <c r="Z266" s="7"/>
      <c r="AA266" s="11" t="str">
        <f>IFERROR(VLOOKUP(A266,Sheet3!B:H,6,false),VLOOKUP(J266,Sheet2!A:C,2,false))</f>
        <v>#N/A</v>
      </c>
      <c r="AB266" s="11" t="str">
        <f>IFERROR(VLOOKUP(A266,Sheet3!B:H,7,false),VLOOKUP(J266,Sheet2!A:C,3,false))</f>
        <v>#N/A</v>
      </c>
      <c r="AC266" s="8" t="str">
        <f t="shared" si="2"/>
        <v>https://rtg-275.myshopify.com/products/TEMPUR-ERGO-PROSMART</v>
      </c>
      <c r="AD266" s="8" t="str">
        <f>vlookup(L266,'Python sheet'!$E$2:$F$373,2,0)</f>
        <v>https://rtg-275.myshopify.com/products/TEMPUR-ERGO-PROSMART?variant=47915115249802</v>
      </c>
    </row>
    <row r="267">
      <c r="A267" s="4">
        <v>5.0808836E7</v>
      </c>
      <c r="B267" s="9">
        <v>2.0</v>
      </c>
      <c r="C267" s="9">
        <v>5.0</v>
      </c>
      <c r="D267" s="2" t="s">
        <v>631</v>
      </c>
      <c r="E267" s="2" t="s">
        <v>621</v>
      </c>
      <c r="F267" s="2" t="s">
        <v>553</v>
      </c>
      <c r="G267" s="9">
        <v>12.0</v>
      </c>
      <c r="H267" s="9">
        <v>3.33</v>
      </c>
      <c r="I267" s="9">
        <v>10.0</v>
      </c>
      <c r="J267" s="1" t="s">
        <v>554</v>
      </c>
      <c r="K267" s="1" t="s">
        <v>1019</v>
      </c>
      <c r="L267" s="1" t="str">
        <f t="shared" si="1"/>
        <v>RTG-SLEEP-2900Twin XL</v>
      </c>
      <c r="M267" s="1" t="s">
        <v>632</v>
      </c>
      <c r="N267" s="6">
        <v>499.0</v>
      </c>
      <c r="O267" s="6">
        <v>499.0</v>
      </c>
      <c r="P267" s="1" t="s">
        <v>556</v>
      </c>
      <c r="Q267" s="1" t="s">
        <v>54</v>
      </c>
      <c r="R267" s="1" t="s">
        <v>633</v>
      </c>
      <c r="S267" s="1" t="s">
        <v>31</v>
      </c>
      <c r="T267" s="1" t="s">
        <v>32</v>
      </c>
      <c r="U267" s="7"/>
      <c r="V267" s="7"/>
      <c r="W267" s="7"/>
      <c r="X267" s="7"/>
      <c r="Y267" s="7"/>
      <c r="Z267" s="7"/>
      <c r="AA267" s="11" t="str">
        <f>IFERROR(VLOOKUP(A267,Sheet3!B:H,6,false),VLOOKUP(J267,Sheet2!A:C,2,false))</f>
        <v>#N/A</v>
      </c>
      <c r="AB267" s="11" t="str">
        <f>IFERROR(VLOOKUP(A267,Sheet3!B:H,7,false),VLOOKUP(J267,Sheet2!A:C,3,false))</f>
        <v>#N/A</v>
      </c>
      <c r="AC267" s="8" t="str">
        <f t="shared" si="2"/>
        <v>https://rtg-275.myshopify.com/products/RTG-SLEEP-2900</v>
      </c>
      <c r="AD267" s="8" t="str">
        <f>vlookup(L267,'Python sheet'!$E$2:$F$373,2,0)</f>
        <v>https://rtg-275.myshopify.com/products/RTG-SLEEP-2900?variant=47915115446410</v>
      </c>
    </row>
    <row r="268">
      <c r="A268" s="4">
        <v>5.0808898E7</v>
      </c>
      <c r="B268" s="9">
        <v>3.0</v>
      </c>
      <c r="C268" s="9">
        <v>5.0</v>
      </c>
      <c r="D268" s="2" t="s">
        <v>634</v>
      </c>
      <c r="E268" s="2" t="s">
        <v>367</v>
      </c>
      <c r="F268" s="2" t="s">
        <v>559</v>
      </c>
      <c r="G268" s="9">
        <v>17.0</v>
      </c>
      <c r="H268" s="9">
        <v>4.47</v>
      </c>
      <c r="I268" s="9">
        <v>14.0</v>
      </c>
      <c r="J268" s="1" t="s">
        <v>560</v>
      </c>
      <c r="K268" s="1" t="s">
        <v>1020</v>
      </c>
      <c r="L268" s="1" t="str">
        <f t="shared" si="1"/>
        <v>RTG-SLEEP-3900Twin XL</v>
      </c>
      <c r="M268" s="1" t="s">
        <v>635</v>
      </c>
      <c r="N268" s="6">
        <v>749.0</v>
      </c>
      <c r="O268" s="6">
        <v>949.0</v>
      </c>
      <c r="P268" s="1" t="s">
        <v>556</v>
      </c>
      <c r="Q268" s="1" t="s">
        <v>54</v>
      </c>
      <c r="R268" s="7"/>
      <c r="S268" s="1" t="s">
        <v>31</v>
      </c>
      <c r="T268" s="1" t="s">
        <v>32</v>
      </c>
      <c r="U268" s="7"/>
      <c r="V268" s="7"/>
      <c r="W268" s="7"/>
      <c r="X268" s="7"/>
      <c r="Y268" s="7"/>
      <c r="Z268" s="7"/>
      <c r="AA268" s="11" t="str">
        <f>IFERROR(VLOOKUP(A268,Sheet3!B:H,6,false),VLOOKUP(J268,Sheet2!A:C,2,false))</f>
        <v>#N/A</v>
      </c>
      <c r="AB268" s="11" t="str">
        <f>IFERROR(VLOOKUP(A268,Sheet3!B:H,7,false),VLOOKUP(J268,Sheet2!A:C,3,false))</f>
        <v>#N/A</v>
      </c>
      <c r="AC268" s="8" t="str">
        <f t="shared" si="2"/>
        <v>https://rtg-275.myshopify.com/products/RTG-SLEEP-3900</v>
      </c>
      <c r="AD268" s="8" t="str">
        <f>vlookup(L268,'Python sheet'!$E$2:$F$373,2,0)</f>
        <v>https://rtg-275.myshopify.com/products/RTG-SLEEP-3900?variant=47915115643018</v>
      </c>
    </row>
    <row r="269">
      <c r="A269" s="4">
        <v>5.0808951E7</v>
      </c>
      <c r="B269" s="9">
        <v>1.0</v>
      </c>
      <c r="C269" s="9">
        <v>5.0</v>
      </c>
      <c r="D269" s="2" t="s">
        <v>636</v>
      </c>
      <c r="E269" s="2" t="s">
        <v>621</v>
      </c>
      <c r="F269" s="2" t="s">
        <v>637</v>
      </c>
      <c r="G269" s="9">
        <v>1.0</v>
      </c>
      <c r="H269" s="9">
        <v>5.0</v>
      </c>
      <c r="I269" s="9">
        <v>0.0</v>
      </c>
      <c r="J269" s="1" t="s">
        <v>562</v>
      </c>
      <c r="K269" s="1" t="s">
        <v>1021</v>
      </c>
      <c r="L269" s="1" t="str">
        <f t="shared" si="1"/>
        <v>RTG-SLEEP-5900Twin XL</v>
      </c>
      <c r="M269" s="1" t="s">
        <v>638</v>
      </c>
      <c r="N269" s="6">
        <v>1499.0</v>
      </c>
      <c r="O269" s="6">
        <v>1699.0</v>
      </c>
      <c r="P269" s="1" t="s">
        <v>564</v>
      </c>
      <c r="Q269" s="1" t="s">
        <v>54</v>
      </c>
      <c r="R269" s="7"/>
      <c r="S269" s="7"/>
      <c r="T269" s="1" t="s">
        <v>32</v>
      </c>
      <c r="U269" s="7"/>
      <c r="V269" s="7"/>
      <c r="W269" s="7"/>
      <c r="X269" s="7"/>
      <c r="Y269" s="7"/>
      <c r="Z269" s="7"/>
      <c r="AA269" s="11" t="str">
        <f>IFERROR(VLOOKUP(A269,Sheet3!B:H,6,false),VLOOKUP(J269,Sheet2!A:C,2,false))</f>
        <v>#N/A</v>
      </c>
      <c r="AB269" s="11" t="str">
        <f>IFERROR(VLOOKUP(A269,Sheet3!B:H,7,false),VLOOKUP(J269,Sheet2!A:C,3,false))</f>
        <v>#N/A</v>
      </c>
      <c r="AC269" s="8" t="str">
        <f t="shared" si="2"/>
        <v>https://rtg-275.myshopify.com/products/RTG-SLEEP-5900</v>
      </c>
      <c r="AD269" s="8" t="str">
        <f>vlookup(L269,'Python sheet'!$E$2:$F$373,2,0)</f>
        <v>https://rtg-275.myshopify.com/products/RTG-SLEEP-5900?variant=47915115741322</v>
      </c>
    </row>
    <row r="270">
      <c r="A270" s="4">
        <v>5.0818609E7</v>
      </c>
      <c r="B270" s="9">
        <v>5.0</v>
      </c>
      <c r="C270" s="9">
        <v>4.8</v>
      </c>
      <c r="D270" s="2" t="s">
        <v>639</v>
      </c>
      <c r="E270" s="2" t="s">
        <v>621</v>
      </c>
      <c r="F270" s="2" t="s">
        <v>368</v>
      </c>
      <c r="G270" s="9">
        <v>11.0</v>
      </c>
      <c r="H270" s="9">
        <v>4.45</v>
      </c>
      <c r="I270" s="9">
        <v>6.0</v>
      </c>
      <c r="J270" s="1" t="s">
        <v>369</v>
      </c>
      <c r="K270" s="1" t="s">
        <v>1013</v>
      </c>
      <c r="L270" s="1" t="str">
        <f t="shared" si="1"/>
        <v>EASE-4-0Twin XL</v>
      </c>
      <c r="M270" s="1" t="s">
        <v>640</v>
      </c>
      <c r="N270" s="6">
        <v>899.0</v>
      </c>
      <c r="O270" s="6">
        <v>899.0</v>
      </c>
      <c r="P270" s="7"/>
      <c r="Q270" s="7"/>
      <c r="R270" s="1" t="s">
        <v>371</v>
      </c>
      <c r="S270" s="1" t="s">
        <v>31</v>
      </c>
      <c r="T270" s="1" t="s">
        <v>32</v>
      </c>
      <c r="U270" s="7"/>
      <c r="V270" s="7"/>
      <c r="W270" s="7"/>
      <c r="X270" s="7"/>
      <c r="Y270" s="7"/>
      <c r="Z270" s="7"/>
      <c r="AA270" s="11" t="str">
        <f>IFERROR(VLOOKUP(A270,Sheet3!B:H,6,false),VLOOKUP(J270,Sheet2!A:C,2,false))</f>
        <v>#N/A</v>
      </c>
      <c r="AB270" s="11" t="str">
        <f>IFERROR(VLOOKUP(A270,Sheet3!B:H,7,false),VLOOKUP(J270,Sheet2!A:C,3,false))</f>
        <v>#N/A</v>
      </c>
      <c r="AC270" s="8" t="str">
        <f t="shared" si="2"/>
        <v>https://rtg-275.myshopify.com/products/EASE-4-0</v>
      </c>
      <c r="AD270" s="8" t="str">
        <f>vlookup(L270,'Python sheet'!$E$2:$F$373,2,0)</f>
        <v>https://rtg-275.myshopify.com/products/EASE-4-0?variant=47915114168458</v>
      </c>
    </row>
    <row r="271">
      <c r="A271" s="4">
        <v>5.1000481E7</v>
      </c>
      <c r="B271" s="9">
        <v>18.0</v>
      </c>
      <c r="C271" s="9">
        <v>4.39</v>
      </c>
      <c r="D271" s="2" t="s">
        <v>641</v>
      </c>
      <c r="E271" s="2" t="s">
        <v>642</v>
      </c>
      <c r="F271" s="2" t="s">
        <v>446</v>
      </c>
      <c r="G271" s="9">
        <v>14.0</v>
      </c>
      <c r="H271" s="9">
        <v>4.79</v>
      </c>
      <c r="I271" s="9">
        <v>-4.0</v>
      </c>
      <c r="J271" s="1" t="s">
        <v>447</v>
      </c>
      <c r="K271" s="1" t="s">
        <v>1014</v>
      </c>
      <c r="L271" s="1" t="str">
        <f t="shared" si="1"/>
        <v>BASELOGIC-SILVERKing</v>
      </c>
      <c r="M271" s="1" t="s">
        <v>643</v>
      </c>
      <c r="N271" s="6">
        <v>1199.0</v>
      </c>
      <c r="O271" s="6">
        <v>1299.0</v>
      </c>
      <c r="P271" s="1" t="s">
        <v>449</v>
      </c>
      <c r="Q271" s="7"/>
      <c r="R271" s="1" t="s">
        <v>450</v>
      </c>
      <c r="S271" s="1" t="s">
        <v>31</v>
      </c>
      <c r="T271" s="1" t="s">
        <v>568</v>
      </c>
      <c r="U271" s="7"/>
      <c r="V271" s="7"/>
      <c r="W271" s="7"/>
      <c r="X271" s="7"/>
      <c r="Y271" s="7"/>
      <c r="Z271" s="7"/>
      <c r="AA271" s="11" t="str">
        <f>IFERROR(VLOOKUP(A271,Sheet3!B:H,6,false),VLOOKUP(J271,Sheet2!A:C,2,false))</f>
        <v>#N/A</v>
      </c>
      <c r="AB271" s="11" t="str">
        <f>IFERROR(VLOOKUP(A271,Sheet3!B:H,7,false),VLOOKUP(J271,Sheet2!A:C,3,false))</f>
        <v>#N/A</v>
      </c>
      <c r="AC271" s="8" t="str">
        <f t="shared" si="2"/>
        <v>https://rtg-275.myshopify.com/products/BASELOGIC-SILVER</v>
      </c>
      <c r="AD271" s="8" t="str">
        <f>vlookup(L271,'Python sheet'!$E$2:$F$373,2,0)</f>
        <v>https://rtg-275.myshopify.com/products/BASELOGIC-SILVER?variant=47915114430602</v>
      </c>
    </row>
    <row r="272">
      <c r="A272" s="4">
        <v>5.1000518E7</v>
      </c>
      <c r="B272" s="9">
        <v>11.0</v>
      </c>
      <c r="C272" s="9">
        <v>4.36</v>
      </c>
      <c r="D272" s="2" t="s">
        <v>644</v>
      </c>
      <c r="E272" s="2" t="s">
        <v>642</v>
      </c>
      <c r="F272" s="2" t="s">
        <v>452</v>
      </c>
      <c r="G272" s="9">
        <v>1.0</v>
      </c>
      <c r="H272" s="9">
        <v>5.0</v>
      </c>
      <c r="I272" s="9">
        <v>-10.0</v>
      </c>
      <c r="J272" s="1" t="s">
        <v>453</v>
      </c>
      <c r="K272" s="1" t="s">
        <v>1015</v>
      </c>
      <c r="L272" s="1" t="str">
        <f t="shared" si="1"/>
        <v>BASELOGIC-PLATINUMKing</v>
      </c>
      <c r="M272" s="1" t="s">
        <v>645</v>
      </c>
      <c r="N272" s="6">
        <v>1899.0</v>
      </c>
      <c r="O272" s="6">
        <v>2099.0</v>
      </c>
      <c r="P272" s="1" t="s">
        <v>449</v>
      </c>
      <c r="Q272" s="7"/>
      <c r="R272" s="1" t="s">
        <v>455</v>
      </c>
      <c r="S272" s="1" t="s">
        <v>31</v>
      </c>
      <c r="T272" s="1" t="s">
        <v>568</v>
      </c>
      <c r="U272" s="7"/>
      <c r="V272" s="7"/>
      <c r="W272" s="7"/>
      <c r="X272" s="7"/>
      <c r="Y272" s="7"/>
      <c r="Z272" s="7"/>
      <c r="AA272" s="11" t="str">
        <f>IFERROR(VLOOKUP(A272,Sheet3!B:H,6,false),VLOOKUP(J272,Sheet2!A:C,2,false))</f>
        <v>#N/A</v>
      </c>
      <c r="AB272" s="11" t="str">
        <f>IFERROR(VLOOKUP(A272,Sheet3!B:H,7,false),VLOOKUP(J272,Sheet2!A:C,3,false))</f>
        <v>#N/A</v>
      </c>
      <c r="AC272" s="8" t="str">
        <f t="shared" si="2"/>
        <v>https://rtg-275.myshopify.com/products/BASELOGIC-PLATINUM</v>
      </c>
      <c r="AD272" s="8" t="str">
        <f>vlookup(L272,'Python sheet'!$E$2:$F$373,2,0)</f>
        <v>https://rtg-275.myshopify.com/products/BASELOGIC-PLATINUM?variant=47915114627210</v>
      </c>
    </row>
    <row r="273">
      <c r="A273" s="4">
        <v>5.100816E7</v>
      </c>
      <c r="B273" s="9">
        <v>11.0</v>
      </c>
      <c r="C273" s="9">
        <v>4.27</v>
      </c>
      <c r="D273" s="2" t="s">
        <v>646</v>
      </c>
      <c r="E273" s="2" t="s">
        <v>642</v>
      </c>
      <c r="F273" s="2" t="s">
        <v>457</v>
      </c>
      <c r="G273" s="9">
        <v>1.0</v>
      </c>
      <c r="H273" s="9">
        <v>5.0</v>
      </c>
      <c r="I273" s="9">
        <v>-10.0</v>
      </c>
      <c r="J273" s="1" t="s">
        <v>458</v>
      </c>
      <c r="K273" s="1" t="s">
        <v>1016</v>
      </c>
      <c r="L273" s="1" t="str">
        <f t="shared" si="1"/>
        <v>TEMPUR-ERGO-3-0King</v>
      </c>
      <c r="M273" s="1" t="s">
        <v>647</v>
      </c>
      <c r="N273" s="6">
        <v>2399.0</v>
      </c>
      <c r="O273" s="6">
        <v>2399.0</v>
      </c>
      <c r="P273" s="1" t="s">
        <v>64</v>
      </c>
      <c r="Q273" s="7"/>
      <c r="R273" s="1" t="s">
        <v>460</v>
      </c>
      <c r="S273" s="1" t="s">
        <v>31</v>
      </c>
      <c r="T273" s="1" t="s">
        <v>568</v>
      </c>
      <c r="U273" s="7"/>
      <c r="V273" s="7"/>
      <c r="W273" s="7"/>
      <c r="X273" s="7"/>
      <c r="Y273" s="7"/>
      <c r="Z273" s="7"/>
      <c r="AA273" s="11" t="str">
        <f>IFERROR(VLOOKUP(A273,Sheet3!B:H,6,false),VLOOKUP(J273,Sheet2!A:C,2,false))</f>
        <v>#N/A</v>
      </c>
      <c r="AB273" s="11" t="str">
        <f>IFERROR(VLOOKUP(A273,Sheet3!B:H,7,false),VLOOKUP(J273,Sheet2!A:C,3,false))</f>
        <v>#N/A</v>
      </c>
      <c r="AC273" s="8" t="str">
        <f t="shared" si="2"/>
        <v>https://rtg-275.myshopify.com/products/TEMPUR-ERGO-3-0</v>
      </c>
      <c r="AD273" s="8" t="str">
        <f>vlookup(L273,'Python sheet'!$E$2:$F$373,2,0)</f>
        <v>https://rtg-275.myshopify.com/products/TEMPUR-ERGO-3-0?variant=47915114856586</v>
      </c>
    </row>
    <row r="274">
      <c r="A274" s="4">
        <v>5.1008184E7</v>
      </c>
      <c r="B274" s="9">
        <v>2.0</v>
      </c>
      <c r="C274" s="9">
        <v>5.0</v>
      </c>
      <c r="D274" s="2" t="s">
        <v>648</v>
      </c>
      <c r="E274" s="2" t="s">
        <v>642</v>
      </c>
      <c r="F274" s="2" t="s">
        <v>462</v>
      </c>
      <c r="G274" s="9">
        <v>405.0</v>
      </c>
      <c r="H274" s="9">
        <v>4.6</v>
      </c>
      <c r="I274" s="9">
        <v>403.0</v>
      </c>
      <c r="J274" s="1" t="s">
        <v>463</v>
      </c>
      <c r="K274" s="1" t="s">
        <v>1017</v>
      </c>
      <c r="L274" s="1" t="str">
        <f t="shared" si="1"/>
        <v>TEMPUR-ERGO-3-0-SMARTKing</v>
      </c>
      <c r="M274" s="1" t="s">
        <v>649</v>
      </c>
      <c r="N274" s="6">
        <v>2899.0</v>
      </c>
      <c r="O274" s="6">
        <v>2899.0</v>
      </c>
      <c r="P274" s="1" t="s">
        <v>64</v>
      </c>
      <c r="Q274" s="7"/>
      <c r="R274" s="1" t="s">
        <v>465</v>
      </c>
      <c r="S274" s="1" t="s">
        <v>31</v>
      </c>
      <c r="T274" s="1" t="s">
        <v>568</v>
      </c>
      <c r="U274" s="7"/>
      <c r="V274" s="7"/>
      <c r="W274" s="7"/>
      <c r="X274" s="7"/>
      <c r="Y274" s="7"/>
      <c r="Z274" s="7"/>
      <c r="AA274" s="11" t="str">
        <f>IFERROR(VLOOKUP(A274,Sheet3!B:H,6,false),VLOOKUP(J274,Sheet2!A:C,2,false))</f>
        <v>#N/A</v>
      </c>
      <c r="AB274" s="11" t="str">
        <f>IFERROR(VLOOKUP(A274,Sheet3!B:H,7,false),VLOOKUP(J274,Sheet2!A:C,3,false))</f>
        <v>#N/A</v>
      </c>
      <c r="AC274" s="8" t="str">
        <f t="shared" si="2"/>
        <v>https://rtg-275.myshopify.com/products/TEMPUR-ERGO-3-0-SMART</v>
      </c>
      <c r="AD274" s="8" t="str">
        <f>vlookup(L274,'Python sheet'!$E$2:$F$373,2,0)</f>
        <v>https://rtg-275.myshopify.com/products/TEMPUR-ERGO-3-0-SMART?variant=47915115085962</v>
      </c>
    </row>
    <row r="275">
      <c r="A275" s="4">
        <v>5.1008196E7</v>
      </c>
      <c r="B275" s="9">
        <v>5.0</v>
      </c>
      <c r="C275" s="9">
        <v>4.4</v>
      </c>
      <c r="D275" s="2" t="s">
        <v>650</v>
      </c>
      <c r="E275" s="2" t="s">
        <v>642</v>
      </c>
      <c r="F275" s="2" t="s">
        <v>548</v>
      </c>
      <c r="G275" s="9">
        <v>5.0</v>
      </c>
      <c r="H275" s="9">
        <v>4.4</v>
      </c>
      <c r="I275" s="9">
        <v>0.0</v>
      </c>
      <c r="J275" s="1" t="s">
        <v>549</v>
      </c>
      <c r="K275" s="1" t="s">
        <v>1018</v>
      </c>
      <c r="L275" s="1" t="str">
        <f t="shared" si="1"/>
        <v>TEMPUR-ERGO-PROSMARTKing</v>
      </c>
      <c r="M275" s="1" t="s">
        <v>651</v>
      </c>
      <c r="N275" s="6">
        <v>3399.0</v>
      </c>
      <c r="O275" s="6">
        <v>3399.0</v>
      </c>
      <c r="P275" s="1" t="s">
        <v>64</v>
      </c>
      <c r="Q275" s="7"/>
      <c r="R275" s="1" t="s">
        <v>551</v>
      </c>
      <c r="S275" s="1" t="s">
        <v>31</v>
      </c>
      <c r="T275" s="1" t="s">
        <v>568</v>
      </c>
      <c r="U275" s="7"/>
      <c r="V275" s="7"/>
      <c r="W275" s="7"/>
      <c r="X275" s="7"/>
      <c r="Y275" s="7"/>
      <c r="Z275" s="7"/>
      <c r="AA275" s="11" t="str">
        <f>IFERROR(VLOOKUP(A275,Sheet3!B:H,6,false),VLOOKUP(J275,Sheet2!A:C,2,false))</f>
        <v>#N/A</v>
      </c>
      <c r="AB275" s="11" t="str">
        <f>IFERROR(VLOOKUP(A275,Sheet3!B:H,7,false),VLOOKUP(J275,Sheet2!A:C,3,false))</f>
        <v>#N/A</v>
      </c>
      <c r="AC275" s="8" t="str">
        <f t="shared" si="2"/>
        <v>https://rtg-275.myshopify.com/products/TEMPUR-ERGO-PROSMART</v>
      </c>
      <c r="AD275" s="8" t="str">
        <f>vlookup(L275,'Python sheet'!$E$2:$F$373,2,0)</f>
        <v>https://rtg-275.myshopify.com/products/TEMPUR-ERGO-PROSMART?variant=47915115282570</v>
      </c>
    </row>
    <row r="276">
      <c r="A276" s="4">
        <v>5.1008831E7</v>
      </c>
      <c r="B276" s="9">
        <v>12.0</v>
      </c>
      <c r="C276" s="9">
        <v>3.33</v>
      </c>
      <c r="D276" s="2" t="s">
        <v>652</v>
      </c>
      <c r="E276" s="2" t="s">
        <v>642</v>
      </c>
      <c r="F276" s="2" t="s">
        <v>553</v>
      </c>
      <c r="G276" s="9">
        <v>12.0</v>
      </c>
      <c r="H276" s="9">
        <v>3.33</v>
      </c>
      <c r="I276" s="9">
        <v>0.0</v>
      </c>
      <c r="J276" s="1" t="s">
        <v>554</v>
      </c>
      <c r="K276" s="1" t="s">
        <v>1019</v>
      </c>
      <c r="L276" s="1" t="str">
        <f t="shared" si="1"/>
        <v>RTG-SLEEP-2900King</v>
      </c>
      <c r="M276" s="1" t="s">
        <v>653</v>
      </c>
      <c r="N276" s="6">
        <v>799.0</v>
      </c>
      <c r="O276" s="6">
        <v>799.0</v>
      </c>
      <c r="P276" s="1" t="s">
        <v>556</v>
      </c>
      <c r="Q276" s="1" t="s">
        <v>54</v>
      </c>
      <c r="R276" s="1" t="s">
        <v>633</v>
      </c>
      <c r="S276" s="1" t="s">
        <v>31</v>
      </c>
      <c r="T276" s="1" t="s">
        <v>568</v>
      </c>
      <c r="U276" s="7"/>
      <c r="V276" s="7"/>
      <c r="W276" s="7"/>
      <c r="X276" s="7"/>
      <c r="Y276" s="7"/>
      <c r="Z276" s="7"/>
      <c r="AA276" s="11" t="str">
        <f>IFERROR(VLOOKUP(A276,Sheet3!B:H,6,false),VLOOKUP(J276,Sheet2!A:C,2,false))</f>
        <v>#N/A</v>
      </c>
      <c r="AB276" s="11" t="str">
        <f>IFERROR(VLOOKUP(A276,Sheet3!B:H,7,false),VLOOKUP(J276,Sheet2!A:C,3,false))</f>
        <v>#N/A</v>
      </c>
      <c r="AC276" s="8" t="str">
        <f t="shared" si="2"/>
        <v>https://rtg-275.myshopify.com/products/RTG-SLEEP-2900</v>
      </c>
      <c r="AD276" s="8" t="str">
        <f>vlookup(L276,'Python sheet'!$E$2:$F$373,2,0)</f>
        <v>https://rtg-275.myshopify.com/products/RTG-SLEEP-2900?variant=47915115479178</v>
      </c>
    </row>
    <row r="277">
      <c r="A277" s="4">
        <v>5.1008893E7</v>
      </c>
      <c r="B277" s="9">
        <v>17.0</v>
      </c>
      <c r="C277" s="9">
        <v>4.47</v>
      </c>
      <c r="D277" s="2" t="s">
        <v>654</v>
      </c>
      <c r="E277" s="2" t="s">
        <v>642</v>
      </c>
      <c r="F277" s="2" t="s">
        <v>559</v>
      </c>
      <c r="G277" s="9">
        <v>17.0</v>
      </c>
      <c r="H277" s="9">
        <v>4.47</v>
      </c>
      <c r="I277" s="9">
        <v>0.0</v>
      </c>
      <c r="J277" s="1" t="s">
        <v>560</v>
      </c>
      <c r="K277" s="1" t="s">
        <v>1020</v>
      </c>
      <c r="L277" s="1" t="str">
        <f t="shared" si="1"/>
        <v>RTG-SLEEP-3900King</v>
      </c>
      <c r="M277" s="1" t="s">
        <v>655</v>
      </c>
      <c r="N277" s="6">
        <v>1299.0</v>
      </c>
      <c r="O277" s="6">
        <v>1499.0</v>
      </c>
      <c r="P277" s="1" t="s">
        <v>556</v>
      </c>
      <c r="Q277" s="1" t="s">
        <v>54</v>
      </c>
      <c r="R277" s="7"/>
      <c r="S277" s="1" t="s">
        <v>31</v>
      </c>
      <c r="T277" s="1" t="s">
        <v>568</v>
      </c>
      <c r="U277" s="7"/>
      <c r="V277" s="7"/>
      <c r="W277" s="7"/>
      <c r="X277" s="7"/>
      <c r="Y277" s="7"/>
      <c r="Z277" s="7"/>
      <c r="AA277" s="11" t="str">
        <f>IFERROR(VLOOKUP(A277,Sheet3!B:H,6,false),VLOOKUP(J277,Sheet2!A:C,2,false))</f>
        <v>#N/A</v>
      </c>
      <c r="AB277" s="11" t="str">
        <f>IFERROR(VLOOKUP(A277,Sheet3!B:H,7,false),VLOOKUP(J277,Sheet2!A:C,3,false))</f>
        <v>#N/A</v>
      </c>
      <c r="AC277" s="8" t="str">
        <f t="shared" si="2"/>
        <v>https://rtg-275.myshopify.com/products/RTG-SLEEP-3900</v>
      </c>
      <c r="AD277" s="8" t="str">
        <f>vlookup(L277,'Python sheet'!$E$2:$F$373,2,0)</f>
        <v>https://rtg-275.myshopify.com/products/RTG-SLEEP-3900?variant=47915115675786</v>
      </c>
    </row>
    <row r="278">
      <c r="A278" s="4">
        <v>5.1008956E7</v>
      </c>
      <c r="B278" s="9">
        <v>1.0</v>
      </c>
      <c r="C278" s="9">
        <v>5.0</v>
      </c>
      <c r="D278" s="2" t="s">
        <v>656</v>
      </c>
      <c r="E278" s="2" t="s">
        <v>642</v>
      </c>
      <c r="F278" s="2" t="s">
        <v>637</v>
      </c>
      <c r="G278" s="9">
        <v>1.0</v>
      </c>
      <c r="H278" s="9">
        <v>5.0</v>
      </c>
      <c r="I278" s="9">
        <v>0.0</v>
      </c>
      <c r="J278" s="1" t="s">
        <v>562</v>
      </c>
      <c r="K278" s="1" t="s">
        <v>1021</v>
      </c>
      <c r="L278" s="1" t="str">
        <f t="shared" si="1"/>
        <v>RTG-SLEEP-5900King</v>
      </c>
      <c r="M278" s="1" t="s">
        <v>657</v>
      </c>
      <c r="N278" s="6">
        <v>2099.0</v>
      </c>
      <c r="O278" s="6">
        <v>2299.0</v>
      </c>
      <c r="P278" s="1" t="s">
        <v>564</v>
      </c>
      <c r="Q278" s="1" t="s">
        <v>54</v>
      </c>
      <c r="R278" s="7"/>
      <c r="S278" s="7"/>
      <c r="T278" s="1" t="s">
        <v>568</v>
      </c>
      <c r="U278" s="7"/>
      <c r="V278" s="7"/>
      <c r="W278" s="7"/>
      <c r="X278" s="7"/>
      <c r="Y278" s="7"/>
      <c r="Z278" s="7"/>
      <c r="AA278" s="11" t="str">
        <f>IFERROR(VLOOKUP(A278,Sheet3!B:H,6,false),VLOOKUP(J278,Sheet2!A:C,2,false))</f>
        <v>#N/A</v>
      </c>
      <c r="AB278" s="11" t="str">
        <f>IFERROR(VLOOKUP(A278,Sheet3!B:H,7,false),VLOOKUP(J278,Sheet2!A:C,3,false))</f>
        <v>#N/A</v>
      </c>
      <c r="AC278" s="8" t="str">
        <f t="shared" si="2"/>
        <v>https://rtg-275.myshopify.com/products/RTG-SLEEP-5900</v>
      </c>
      <c r="AD278" s="8" t="str">
        <f>vlookup(L278,'Python sheet'!$E$2:$F$373,2,0)</f>
        <v>https://rtg-275.myshopify.com/products/RTG-SLEEP-5900?variant=47915115774090</v>
      </c>
    </row>
    <row r="279">
      <c r="A279" s="4">
        <v>5.1010216E7</v>
      </c>
      <c r="B279" s="5"/>
      <c r="C279" s="5"/>
      <c r="D279" s="2" t="s">
        <v>658</v>
      </c>
      <c r="E279" s="2" t="s">
        <v>659</v>
      </c>
      <c r="F279" s="2" t="s">
        <v>660</v>
      </c>
      <c r="G279" s="9">
        <v>4.0</v>
      </c>
      <c r="H279" s="9">
        <v>4.5</v>
      </c>
      <c r="I279" s="5"/>
      <c r="J279" s="1" t="s">
        <v>661</v>
      </c>
      <c r="K279" s="1" t="s">
        <v>1022</v>
      </c>
      <c r="L279" s="1" t="str">
        <f t="shared" si="1"/>
        <v>IPROTECT-PROTECTORTwin XL</v>
      </c>
      <c r="M279" s="1" t="s">
        <v>662</v>
      </c>
      <c r="N279" s="6">
        <v>59.99</v>
      </c>
      <c r="O279" s="6">
        <v>59.99</v>
      </c>
      <c r="P279" s="1" t="s">
        <v>663</v>
      </c>
      <c r="Q279" s="7"/>
      <c r="R279" s="1" t="s">
        <v>664</v>
      </c>
      <c r="S279" s="1" t="s">
        <v>31</v>
      </c>
      <c r="T279" s="1" t="s">
        <v>32</v>
      </c>
      <c r="U279" s="7"/>
      <c r="V279" s="7"/>
      <c r="W279" s="7"/>
      <c r="X279" s="7"/>
      <c r="Y279" s="7"/>
      <c r="Z279" s="7"/>
      <c r="AA279" s="8" t="str">
        <f>IFERROR(VLOOKUP(A279,Sheet3!B:H,6,false),VLOOKUP(J279,Sheet2!A:C,2,false))</f>
        <v>https://bedgear.com/cdn/shop/files/01-IPROTECT-Main.jpg</v>
      </c>
      <c r="AB279" s="8" t="str">
        <f>IFERROR(VLOOKUP(A279,Sheet3!B:H,7,false),VLOOKUP(J279,Sheet2!A:C,3,false))</f>
        <v>https://bedgear.com/products/iprotect-mattress-protector</v>
      </c>
      <c r="AC279" s="8" t="str">
        <f t="shared" si="2"/>
        <v>https://rtg-275.myshopify.com/products/IPROTECT-PROTECTOR</v>
      </c>
      <c r="AD279" s="8" t="str">
        <f>vlookup(L279,'Python sheet'!$E$2:$F$373,2,0)</f>
        <v>https://rtg-275.myshopify.com/products/IPROTECT-PROTECTOR?variant=47915115839626</v>
      </c>
    </row>
    <row r="280">
      <c r="A280" s="4">
        <v>5.1010228E7</v>
      </c>
      <c r="B280" s="5"/>
      <c r="C280" s="5"/>
      <c r="D280" s="2" t="s">
        <v>658</v>
      </c>
      <c r="E280" s="2" t="s">
        <v>659</v>
      </c>
      <c r="F280" s="2" t="s">
        <v>660</v>
      </c>
      <c r="G280" s="9">
        <v>4.0</v>
      </c>
      <c r="H280" s="9">
        <v>4.5</v>
      </c>
      <c r="I280" s="5"/>
      <c r="J280" s="1" t="s">
        <v>661</v>
      </c>
      <c r="K280" s="1" t="s">
        <v>1022</v>
      </c>
      <c r="L280" s="1" t="str">
        <f t="shared" si="1"/>
        <v>IPROTECT-PROTECTORTwin</v>
      </c>
      <c r="M280" s="1" t="s">
        <v>665</v>
      </c>
      <c r="N280" s="6">
        <v>49.99</v>
      </c>
      <c r="O280" s="6">
        <v>49.99</v>
      </c>
      <c r="P280" s="1" t="s">
        <v>663</v>
      </c>
      <c r="Q280" s="7"/>
      <c r="R280" s="1" t="s">
        <v>664</v>
      </c>
      <c r="S280" s="1" t="s">
        <v>31</v>
      </c>
      <c r="T280" s="1" t="s">
        <v>242</v>
      </c>
      <c r="U280" s="7"/>
      <c r="V280" s="7"/>
      <c r="W280" s="7"/>
      <c r="X280" s="7"/>
      <c r="Y280" s="7"/>
      <c r="Z280" s="7"/>
      <c r="AA280" s="8" t="str">
        <f>IFERROR(VLOOKUP(A280,Sheet3!B:H,6,false),VLOOKUP(J280,Sheet2!A:C,2,false))</f>
        <v>https://bedgear.com/cdn/shop/files/01-IPROTECT-Main.jpg</v>
      </c>
      <c r="AB280" s="8" t="str">
        <f>IFERROR(VLOOKUP(A280,Sheet3!B:H,7,false),VLOOKUP(J280,Sheet2!A:C,3,false))</f>
        <v>https://bedgear.com/products/iprotect-mattress-protector</v>
      </c>
      <c r="AC280" s="8" t="str">
        <f t="shared" si="2"/>
        <v>https://rtg-275.myshopify.com/products/IPROTECT-PROTECTOR</v>
      </c>
      <c r="AD280" s="8" t="str">
        <f>vlookup(L280,'Python sheet'!$E$2:$F$373,2,0)</f>
        <v>https://rtg-275.myshopify.com/products/IPROTECT-PROTECTOR?variant=47915115872394</v>
      </c>
    </row>
    <row r="281">
      <c r="A281" s="4">
        <v>5.101023E7</v>
      </c>
      <c r="B281" s="5"/>
      <c r="C281" s="5"/>
      <c r="D281" s="2" t="s">
        <v>658</v>
      </c>
      <c r="E281" s="2" t="s">
        <v>659</v>
      </c>
      <c r="F281" s="2" t="s">
        <v>660</v>
      </c>
      <c r="G281" s="9">
        <v>4.0</v>
      </c>
      <c r="H281" s="9">
        <v>4.5</v>
      </c>
      <c r="I281" s="5"/>
      <c r="J281" s="1" t="s">
        <v>661</v>
      </c>
      <c r="K281" s="1" t="s">
        <v>1022</v>
      </c>
      <c r="L281" s="1" t="str">
        <f t="shared" si="1"/>
        <v>IPROTECT-PROTECTORFull</v>
      </c>
      <c r="M281" s="1" t="s">
        <v>666</v>
      </c>
      <c r="N281" s="6">
        <v>69.99</v>
      </c>
      <c r="O281" s="6">
        <v>69.99</v>
      </c>
      <c r="P281" s="1" t="s">
        <v>663</v>
      </c>
      <c r="Q281" s="7"/>
      <c r="R281" s="1" t="s">
        <v>664</v>
      </c>
      <c r="S281" s="1" t="s">
        <v>31</v>
      </c>
      <c r="T281" s="1" t="s">
        <v>373</v>
      </c>
      <c r="U281" s="7"/>
      <c r="V281" s="7"/>
      <c r="W281" s="7"/>
      <c r="X281" s="7"/>
      <c r="Y281" s="7"/>
      <c r="Z281" s="7"/>
      <c r="AA281" s="8" t="str">
        <f>IFERROR(VLOOKUP(A281,Sheet3!B:H,6,false),VLOOKUP(J281,Sheet2!A:C,2,false))</f>
        <v>https://bedgear.com/cdn/shop/files/01-IPROTECT-Main.jpg</v>
      </c>
      <c r="AB281" s="8" t="str">
        <f>IFERROR(VLOOKUP(A281,Sheet3!B:H,7,false),VLOOKUP(J281,Sheet2!A:C,3,false))</f>
        <v>https://bedgear.com/products/iprotect-mattress-protector</v>
      </c>
      <c r="AC281" s="8" t="str">
        <f t="shared" si="2"/>
        <v>https://rtg-275.myshopify.com/products/IPROTECT-PROTECTOR</v>
      </c>
      <c r="AD281" s="8" t="str">
        <f>vlookup(L281,'Python sheet'!$E$2:$F$373,2,0)</f>
        <v>https://rtg-275.myshopify.com/products/IPROTECT-PROTECTOR?variant=47915115905162</v>
      </c>
    </row>
    <row r="282">
      <c r="A282" s="4">
        <v>5.1010242E7</v>
      </c>
      <c r="B282" s="9">
        <v>3.0</v>
      </c>
      <c r="C282" s="9">
        <v>4.33</v>
      </c>
      <c r="D282" s="2" t="s">
        <v>658</v>
      </c>
      <c r="E282" s="2" t="s">
        <v>659</v>
      </c>
      <c r="F282" s="2" t="s">
        <v>660</v>
      </c>
      <c r="G282" s="9">
        <v>4.0</v>
      </c>
      <c r="H282" s="9">
        <v>4.5</v>
      </c>
      <c r="I282" s="9">
        <v>1.0</v>
      </c>
      <c r="J282" s="1" t="s">
        <v>661</v>
      </c>
      <c r="K282" s="1" t="s">
        <v>1022</v>
      </c>
      <c r="L282" s="1" t="str">
        <f t="shared" si="1"/>
        <v>IPROTECT-PROTECTORQueen</v>
      </c>
      <c r="M282" s="1" t="s">
        <v>667</v>
      </c>
      <c r="N282" s="6">
        <v>79.99</v>
      </c>
      <c r="O282" s="6">
        <v>79.99</v>
      </c>
      <c r="P282" s="1" t="s">
        <v>663</v>
      </c>
      <c r="Q282" s="7"/>
      <c r="R282" s="1" t="s">
        <v>664</v>
      </c>
      <c r="S282" s="1" t="s">
        <v>31</v>
      </c>
      <c r="T282" s="1" t="s">
        <v>470</v>
      </c>
      <c r="U282" s="7"/>
      <c r="V282" s="7"/>
      <c r="W282" s="7"/>
      <c r="X282" s="7"/>
      <c r="Y282" s="7"/>
      <c r="Z282" s="7"/>
      <c r="AA282" s="8" t="str">
        <f>IFERROR(VLOOKUP(A282,Sheet3!B:H,6,false),VLOOKUP(J282,Sheet2!A:C,2,false))</f>
        <v>https://bedgear.com/cdn/shop/files/01-IPROTECT-Main.jpg</v>
      </c>
      <c r="AB282" s="8" t="str">
        <f>IFERROR(VLOOKUP(A282,Sheet3!B:H,7,false),VLOOKUP(J282,Sheet2!A:C,3,false))</f>
        <v>https://bedgear.com/products/iprotect-mattress-protector</v>
      </c>
      <c r="AC282" s="8" t="str">
        <f t="shared" si="2"/>
        <v>https://rtg-275.myshopify.com/products/IPROTECT-PROTECTOR</v>
      </c>
      <c r="AD282" s="8" t="str">
        <f>vlookup(L282,'Python sheet'!$E$2:$F$373,2,0)</f>
        <v>https://rtg-275.myshopify.com/products/IPROTECT-PROTECTOR?variant=47915115937930</v>
      </c>
    </row>
    <row r="283">
      <c r="A283" s="4">
        <v>5.1010254E7</v>
      </c>
      <c r="B283" s="9">
        <v>1.0</v>
      </c>
      <c r="C283" s="9">
        <v>5.0</v>
      </c>
      <c r="D283" s="2" t="s">
        <v>658</v>
      </c>
      <c r="E283" s="2" t="s">
        <v>659</v>
      </c>
      <c r="F283" s="2" t="s">
        <v>660</v>
      </c>
      <c r="G283" s="9">
        <v>4.0</v>
      </c>
      <c r="H283" s="9">
        <v>4.5</v>
      </c>
      <c r="I283" s="9">
        <v>3.0</v>
      </c>
      <c r="J283" s="1" t="s">
        <v>661</v>
      </c>
      <c r="K283" s="1" t="s">
        <v>1022</v>
      </c>
      <c r="L283" s="1" t="str">
        <f t="shared" si="1"/>
        <v>IPROTECT-PROTECTORKing</v>
      </c>
      <c r="M283" s="1" t="s">
        <v>668</v>
      </c>
      <c r="N283" s="6">
        <v>89.99</v>
      </c>
      <c r="O283" s="6">
        <v>89.99</v>
      </c>
      <c r="P283" s="1" t="s">
        <v>663</v>
      </c>
      <c r="Q283" s="7"/>
      <c r="R283" s="1" t="s">
        <v>664</v>
      </c>
      <c r="S283" s="1" t="s">
        <v>31</v>
      </c>
      <c r="T283" s="1" t="s">
        <v>568</v>
      </c>
      <c r="U283" s="7"/>
      <c r="V283" s="7"/>
      <c r="W283" s="7"/>
      <c r="X283" s="7"/>
      <c r="Y283" s="7"/>
      <c r="Z283" s="7"/>
      <c r="AA283" s="8" t="str">
        <f>IFERROR(VLOOKUP(A283,Sheet3!B:H,6,false),VLOOKUP(J283,Sheet2!A:C,2,false))</f>
        <v>https://bedgear.com/cdn/shop/files/01-IPROTECT-Main.jpg</v>
      </c>
      <c r="AB283" s="8" t="str">
        <f>IFERROR(VLOOKUP(A283,Sheet3!B:H,7,false),VLOOKUP(J283,Sheet2!A:C,3,false))</f>
        <v>https://bedgear.com/products/iprotect-mattress-protector</v>
      </c>
      <c r="AC283" s="8" t="str">
        <f t="shared" si="2"/>
        <v>https://rtg-275.myshopify.com/products/IPROTECT-PROTECTOR</v>
      </c>
      <c r="AD283" s="8" t="str">
        <f>vlookup(L283,'Python sheet'!$E$2:$F$373,2,0)</f>
        <v>https://rtg-275.myshopify.com/products/IPROTECT-PROTECTOR?variant=47915115970698</v>
      </c>
    </row>
    <row r="284">
      <c r="A284" s="4">
        <v>5.1010266E7</v>
      </c>
      <c r="B284" s="5"/>
      <c r="C284" s="5"/>
      <c r="D284" s="5"/>
      <c r="E284" s="5"/>
      <c r="F284" s="5"/>
      <c r="G284" s="5"/>
      <c r="H284" s="5"/>
      <c r="I284" s="5"/>
      <c r="J284" s="1" t="s">
        <v>661</v>
      </c>
      <c r="K284" s="1" t="s">
        <v>1022</v>
      </c>
      <c r="L284" s="1" t="str">
        <f t="shared" si="1"/>
        <v>IPROTECT-PROTECTORCalifornia King</v>
      </c>
      <c r="M284" s="1" t="s">
        <v>669</v>
      </c>
      <c r="N284" s="6">
        <v>89.99</v>
      </c>
      <c r="O284" s="6">
        <v>89.99</v>
      </c>
      <c r="P284" s="1" t="s">
        <v>663</v>
      </c>
      <c r="Q284" s="7"/>
      <c r="R284" s="1" t="s">
        <v>664</v>
      </c>
      <c r="S284" s="1" t="s">
        <v>31</v>
      </c>
      <c r="T284" s="1" t="s">
        <v>670</v>
      </c>
      <c r="U284" s="7"/>
      <c r="V284" s="7"/>
      <c r="W284" s="7"/>
      <c r="X284" s="7"/>
      <c r="Y284" s="7"/>
      <c r="Z284" s="7"/>
      <c r="AA284" s="8" t="str">
        <f>IFERROR(VLOOKUP(A284,Sheet3!B:H,6,false),VLOOKUP(J284,Sheet2!A:C,2,false))</f>
        <v>https://bedgear.com/cdn/shop/files/01-IPROTECT-Main.jpg</v>
      </c>
      <c r="AB284" s="8" t="str">
        <f>IFERROR(VLOOKUP(A284,Sheet3!B:H,7,false),VLOOKUP(J284,Sheet2!A:C,3,false))</f>
        <v>https://bedgear.com/products/iprotect-mattress-protector</v>
      </c>
      <c r="AC284" s="8" t="str">
        <f t="shared" si="2"/>
        <v>https://rtg-275.myshopify.com/products/IPROTECT-PROTECTOR</v>
      </c>
      <c r="AD284" s="8" t="str">
        <f>vlookup(L284,'Python sheet'!$E$2:$F$373,2,0)</f>
        <v>https://rtg-275.myshopify.com/products/IPROTECT-PROTECTOR?variant=47915116003466</v>
      </c>
    </row>
    <row r="285">
      <c r="A285" s="4">
        <v>5.1010393E7</v>
      </c>
      <c r="B285" s="5"/>
      <c r="C285" s="5"/>
      <c r="D285" s="5"/>
      <c r="E285" s="5"/>
      <c r="F285" s="5"/>
      <c r="G285" s="5"/>
      <c r="H285" s="5"/>
      <c r="I285" s="5"/>
      <c r="J285" s="1" t="s">
        <v>671</v>
      </c>
      <c r="K285" s="1" t="s">
        <v>1023</v>
      </c>
      <c r="L285" s="1" t="str">
        <f t="shared" si="1"/>
        <v>IPROTECT-CRIB-PROTECTOR</v>
      </c>
      <c r="M285" s="1" t="s">
        <v>671</v>
      </c>
      <c r="N285" s="6">
        <v>19.99</v>
      </c>
      <c r="O285" s="6">
        <v>19.99</v>
      </c>
      <c r="P285" s="1" t="s">
        <v>663</v>
      </c>
      <c r="Q285" s="7"/>
      <c r="R285" s="1" t="s">
        <v>672</v>
      </c>
      <c r="S285" s="1" t="s">
        <v>134</v>
      </c>
      <c r="T285" s="7"/>
      <c r="U285" s="7"/>
      <c r="V285" s="7"/>
      <c r="W285" s="7"/>
      <c r="X285" s="7"/>
      <c r="Y285" s="7"/>
      <c r="Z285" s="7"/>
      <c r="AA285" s="8" t="str">
        <f>IFERROR(VLOOKUP(A285,Sheet3!B:H,6,false),VLOOKUP(J285,Sheet2!A:C,2,false))</f>
        <v>https://bedgear.com/cdn/shop/collections/BG-WEB-NAV-IMG-302x160-BabyKids-CribProtector.jpg</v>
      </c>
      <c r="AB285" s="8" t="str">
        <f>IFERROR(VLOOKUP(A285,Sheet3!B:H,7,false),VLOOKUP(J285,Sheet2!A:C,3,false))</f>
        <v>https://bedgear.com/collections/crib-protectors</v>
      </c>
      <c r="AC285" s="8" t="str">
        <f t="shared" si="2"/>
        <v>https://rtg-275.myshopify.com/products/IPROTECT-CRIB-PROTECTOR</v>
      </c>
      <c r="AD285" s="11" t="str">
        <f>vlookup(L285,'Python sheet'!$E$2:$F$373,2,0)</f>
        <v>#N/A</v>
      </c>
    </row>
    <row r="286">
      <c r="A286" s="4">
        <v>5.1010406E7</v>
      </c>
      <c r="B286" s="5"/>
      <c r="C286" s="5"/>
      <c r="D286" s="5"/>
      <c r="E286" s="5"/>
      <c r="F286" s="5"/>
      <c r="G286" s="5"/>
      <c r="H286" s="5"/>
      <c r="I286" s="5"/>
      <c r="J286" s="1" t="s">
        <v>673</v>
      </c>
      <c r="K286" s="1" t="s">
        <v>1024</v>
      </c>
      <c r="L286" s="1" t="str">
        <f t="shared" si="1"/>
        <v>DRI-TEC-CRIB-PROTECTORCrib</v>
      </c>
      <c r="M286" s="1" t="s">
        <v>673</v>
      </c>
      <c r="N286" s="6">
        <v>29.99</v>
      </c>
      <c r="O286" s="6">
        <v>29.99</v>
      </c>
      <c r="P286" s="1" t="s">
        <v>663</v>
      </c>
      <c r="Q286" s="7"/>
      <c r="R286" s="1" t="s">
        <v>674</v>
      </c>
      <c r="S286" s="1" t="s">
        <v>134</v>
      </c>
      <c r="T286" s="1" t="s">
        <v>675</v>
      </c>
      <c r="U286" s="7"/>
      <c r="V286" s="7"/>
      <c r="W286" s="7"/>
      <c r="X286" s="7"/>
      <c r="Y286" s="7"/>
      <c r="Z286" s="7"/>
      <c r="AA286" s="8" t="str">
        <f>IFERROR(VLOOKUP(A286,Sheet3!B:H,6,false),VLOOKUP(J286,Sheet2!A:C,2,false))</f>
        <v>https://bedgear.com/cdn/shop/files/01-DT-Main.jpg</v>
      </c>
      <c r="AB286" s="8" t="str">
        <f>IFERROR(VLOOKUP(A286,Sheet3!B:H,7,false),VLOOKUP(J286,Sheet2!A:C,3,false))</f>
        <v>https://bedgear.com/collections/crib-protectors</v>
      </c>
      <c r="AC286" s="8" t="str">
        <f t="shared" si="2"/>
        <v>https://rtg-275.myshopify.com/products/DRI-TEC-CRIB-PROTECTOR</v>
      </c>
      <c r="AD286" s="8" t="str">
        <f>vlookup(L286,'Python sheet'!$E$2:$F$373,2,0)</f>
        <v>https://rtg-275.myshopify.com/products/DRI-TEC-CRIB-PROTECTOR?variant=47915116167306</v>
      </c>
    </row>
    <row r="287">
      <c r="A287" s="4">
        <v>5.1010418E7</v>
      </c>
      <c r="B287" s="5"/>
      <c r="C287" s="5"/>
      <c r="D287" s="5"/>
      <c r="E287" s="5"/>
      <c r="F287" s="5"/>
      <c r="G287" s="5"/>
      <c r="H287" s="5"/>
      <c r="I287" s="5"/>
      <c r="J287" s="1" t="s">
        <v>676</v>
      </c>
      <c r="K287" s="1" t="s">
        <v>1025</v>
      </c>
      <c r="L287" s="1" t="str">
        <f t="shared" si="1"/>
        <v>VER-TEX-CRIB-PROTECTORCrib</v>
      </c>
      <c r="M287" s="1" t="s">
        <v>676</v>
      </c>
      <c r="N287" s="6">
        <v>39.99</v>
      </c>
      <c r="O287" s="6">
        <v>39.99</v>
      </c>
      <c r="P287" s="1" t="s">
        <v>663</v>
      </c>
      <c r="Q287" s="7"/>
      <c r="R287" s="1" t="s">
        <v>677</v>
      </c>
      <c r="S287" s="1" t="s">
        <v>134</v>
      </c>
      <c r="T287" s="1" t="s">
        <v>675</v>
      </c>
      <c r="U287" s="7"/>
      <c r="V287" s="7"/>
      <c r="W287" s="7"/>
      <c r="X287" s="7"/>
      <c r="Y287" s="7"/>
      <c r="Z287" s="7"/>
      <c r="AA287" s="8" t="str">
        <f>IFERROR(VLOOKUP(A287,Sheet3!B:H,6,false),VLOOKUP(J287,Sheet2!A:C,2,false))</f>
        <v>https://bedgear.com/cdn/shop/files/01-VT-Main_ba2fd5b4-a14e-47c0-942b-e9c2aea9a2f6.jpg</v>
      </c>
      <c r="AB287" s="8" t="str">
        <f>IFERROR(VLOOKUP(A287,Sheet3!B:H,7,false),VLOOKUP(J287,Sheet2!A:C,3,false))</f>
        <v>https://bedgear.com/collections/crib-protectors</v>
      </c>
      <c r="AC287" s="8" t="str">
        <f t="shared" si="2"/>
        <v>https://rtg-275.myshopify.com/products/VER-TEX-CRIB-PROTECTOR</v>
      </c>
      <c r="AD287" s="8" t="str">
        <f>vlookup(L287,'Python sheet'!$E$2:$F$373,2,0)</f>
        <v>https://rtg-275.myshopify.com/products/VER-TEX-CRIB-PROTECTOR?variant=47915116232842</v>
      </c>
    </row>
    <row r="288">
      <c r="A288" s="4">
        <v>5.1010507E7</v>
      </c>
      <c r="B288" s="5"/>
      <c r="C288" s="5"/>
      <c r="D288" s="2" t="s">
        <v>678</v>
      </c>
      <c r="E288" s="2" t="s">
        <v>659</v>
      </c>
      <c r="F288" s="2" t="s">
        <v>679</v>
      </c>
      <c r="G288" s="9">
        <v>5.0</v>
      </c>
      <c r="H288" s="9">
        <v>4.0</v>
      </c>
      <c r="I288" s="5"/>
      <c r="J288" s="1" t="s">
        <v>680</v>
      </c>
      <c r="K288" s="1" t="s">
        <v>1026</v>
      </c>
      <c r="L288" s="1" t="str">
        <f t="shared" si="1"/>
        <v>DRI-TEC-PROTECTORTwin</v>
      </c>
      <c r="M288" s="1" t="s">
        <v>681</v>
      </c>
      <c r="N288" s="6">
        <v>109.99</v>
      </c>
      <c r="O288" s="6">
        <v>109.99</v>
      </c>
      <c r="P288" s="1" t="s">
        <v>663</v>
      </c>
      <c r="Q288" s="7"/>
      <c r="R288" s="1" t="s">
        <v>682</v>
      </c>
      <c r="S288" s="1" t="s">
        <v>31</v>
      </c>
      <c r="T288" s="1" t="s">
        <v>242</v>
      </c>
      <c r="U288" s="7"/>
      <c r="V288" s="7"/>
      <c r="W288" s="7"/>
      <c r="X288" s="7"/>
      <c r="Y288" s="7"/>
      <c r="Z288" s="7"/>
      <c r="AA288" s="8" t="str">
        <f>IFERROR(VLOOKUP(A288,Sheet3!B:H,6,false),VLOOKUP(J288,Sheet2!A:C,2,false))</f>
        <v>https://bedgear.com/cdn/shop/files/01-DT-Main.jpg</v>
      </c>
      <c r="AB288" s="8" t="str">
        <f>IFERROR(VLOOKUP(A288,Sheet3!B:H,7,false),VLOOKUP(J288,Sheet2!A:C,3,false))</f>
        <v>https://bedgear.com/products/dri-tec-mattress-protector</v>
      </c>
      <c r="AC288" s="8" t="str">
        <f t="shared" si="2"/>
        <v>https://rtg-275.myshopify.com/products/DRI-TEC-PROTECTOR</v>
      </c>
      <c r="AD288" s="11" t="str">
        <f>vlookup(L288,'Python sheet'!$E$2:$F$373,2,0)</f>
        <v>#N/A</v>
      </c>
    </row>
    <row r="289">
      <c r="A289" s="4">
        <v>5.1010519E7</v>
      </c>
      <c r="B289" s="5"/>
      <c r="C289" s="5"/>
      <c r="D289" s="2" t="s">
        <v>678</v>
      </c>
      <c r="E289" s="2" t="s">
        <v>659</v>
      </c>
      <c r="F289" s="2" t="s">
        <v>679</v>
      </c>
      <c r="G289" s="9">
        <v>5.0</v>
      </c>
      <c r="H289" s="9">
        <v>4.0</v>
      </c>
      <c r="I289" s="5"/>
      <c r="J289" s="1" t="s">
        <v>680</v>
      </c>
      <c r="K289" s="1" t="s">
        <v>1026</v>
      </c>
      <c r="L289" s="1" t="str">
        <f t="shared" si="1"/>
        <v>DRI-TEC-PROTECTORTwin XL</v>
      </c>
      <c r="M289" s="1" t="s">
        <v>683</v>
      </c>
      <c r="N289" s="6">
        <v>119.99</v>
      </c>
      <c r="O289" s="6">
        <v>119.99</v>
      </c>
      <c r="P289" s="1" t="s">
        <v>663</v>
      </c>
      <c r="Q289" s="7"/>
      <c r="R289" s="1" t="s">
        <v>682</v>
      </c>
      <c r="S289" s="1" t="s">
        <v>31</v>
      </c>
      <c r="T289" s="1" t="s">
        <v>32</v>
      </c>
      <c r="U289" s="7"/>
      <c r="V289" s="7"/>
      <c r="W289" s="7"/>
      <c r="X289" s="7"/>
      <c r="Y289" s="7"/>
      <c r="Z289" s="7"/>
      <c r="AA289" s="8" t="str">
        <f>IFERROR(VLOOKUP(A289,Sheet3!B:H,6,false),VLOOKUP(J289,Sheet2!A:C,2,false))</f>
        <v>https://bedgear.com/cdn/shop/files/01-DT-Main.jpg</v>
      </c>
      <c r="AB289" s="8" t="str">
        <f>IFERROR(VLOOKUP(A289,Sheet3!B:H,7,false),VLOOKUP(J289,Sheet2!A:C,3,false))</f>
        <v>https://bedgear.com/products/dri-tec-mattress-protector</v>
      </c>
      <c r="AC289" s="8" t="str">
        <f t="shared" si="2"/>
        <v>https://rtg-275.myshopify.com/products/DRI-TEC-PROTECTOR</v>
      </c>
      <c r="AD289" s="11" t="str">
        <f>vlookup(L289,'Python sheet'!$E$2:$F$373,2,0)</f>
        <v>#N/A</v>
      </c>
    </row>
    <row r="290">
      <c r="A290" s="4">
        <v>5.1010521E7</v>
      </c>
      <c r="B290" s="5"/>
      <c r="C290" s="5"/>
      <c r="D290" s="2" t="s">
        <v>678</v>
      </c>
      <c r="E290" s="2" t="s">
        <v>659</v>
      </c>
      <c r="F290" s="2" t="s">
        <v>679</v>
      </c>
      <c r="G290" s="9">
        <v>5.0</v>
      </c>
      <c r="H290" s="9">
        <v>4.0</v>
      </c>
      <c r="I290" s="5"/>
      <c r="J290" s="1" t="s">
        <v>680</v>
      </c>
      <c r="K290" s="1" t="s">
        <v>1026</v>
      </c>
      <c r="L290" s="1" t="str">
        <f t="shared" si="1"/>
        <v>DRI-TEC-PROTECTORFull</v>
      </c>
      <c r="M290" s="1" t="s">
        <v>684</v>
      </c>
      <c r="N290" s="6">
        <v>119.99</v>
      </c>
      <c r="O290" s="6">
        <v>119.99</v>
      </c>
      <c r="P290" s="1" t="s">
        <v>663</v>
      </c>
      <c r="Q290" s="7"/>
      <c r="R290" s="1" t="s">
        <v>682</v>
      </c>
      <c r="S290" s="1" t="s">
        <v>31</v>
      </c>
      <c r="T290" s="1" t="s">
        <v>373</v>
      </c>
      <c r="U290" s="7"/>
      <c r="V290" s="7"/>
      <c r="W290" s="7"/>
      <c r="X290" s="7"/>
      <c r="Y290" s="7"/>
      <c r="Z290" s="7"/>
      <c r="AA290" s="8" t="str">
        <f>IFERROR(VLOOKUP(A290,Sheet3!B:H,6,false),VLOOKUP(J290,Sheet2!A:C,2,false))</f>
        <v>https://bedgear.com/cdn/shop/files/01-DT-Main.jpg</v>
      </c>
      <c r="AB290" s="8" t="str">
        <f>IFERROR(VLOOKUP(A290,Sheet3!B:H,7,false),VLOOKUP(J290,Sheet2!A:C,3,false))</f>
        <v>https://bedgear.com/products/dri-tec-mattress-protector</v>
      </c>
      <c r="AC290" s="8" t="str">
        <f t="shared" si="2"/>
        <v>https://rtg-275.myshopify.com/products/DRI-TEC-PROTECTOR</v>
      </c>
      <c r="AD290" s="11" t="str">
        <f>vlookup(L290,'Python sheet'!$E$2:$F$373,2,0)</f>
        <v>#N/A</v>
      </c>
    </row>
    <row r="291">
      <c r="A291" s="4">
        <v>5.1010533E7</v>
      </c>
      <c r="B291" s="5"/>
      <c r="C291" s="5"/>
      <c r="D291" s="2" t="s">
        <v>678</v>
      </c>
      <c r="E291" s="2" t="s">
        <v>659</v>
      </c>
      <c r="F291" s="2" t="s">
        <v>679</v>
      </c>
      <c r="G291" s="9">
        <v>5.0</v>
      </c>
      <c r="H291" s="9">
        <v>4.0</v>
      </c>
      <c r="I291" s="5"/>
      <c r="J291" s="1" t="s">
        <v>680</v>
      </c>
      <c r="K291" s="1" t="s">
        <v>1026</v>
      </c>
      <c r="L291" s="1" t="str">
        <f t="shared" si="1"/>
        <v>DRI-TEC-PROTECTORQueen</v>
      </c>
      <c r="M291" s="1" t="s">
        <v>685</v>
      </c>
      <c r="N291" s="6">
        <v>159.99</v>
      </c>
      <c r="O291" s="6">
        <v>159.99</v>
      </c>
      <c r="P291" s="1" t="s">
        <v>663</v>
      </c>
      <c r="Q291" s="7"/>
      <c r="R291" s="1" t="s">
        <v>686</v>
      </c>
      <c r="S291" s="1" t="s">
        <v>31</v>
      </c>
      <c r="T291" s="1" t="s">
        <v>470</v>
      </c>
      <c r="U291" s="7"/>
      <c r="V291" s="7"/>
      <c r="W291" s="7"/>
      <c r="X291" s="7"/>
      <c r="Y291" s="7"/>
      <c r="Z291" s="7"/>
      <c r="AA291" s="8" t="str">
        <f>IFERROR(VLOOKUP(A291,Sheet3!B:H,6,false),VLOOKUP(J291,Sheet2!A:C,2,false))</f>
        <v>https://bedgear.com/cdn/shop/files/01-DT-Main.jpg</v>
      </c>
      <c r="AB291" s="8" t="str">
        <f>IFERROR(VLOOKUP(A291,Sheet3!B:H,7,false),VLOOKUP(J291,Sheet2!A:C,3,false))</f>
        <v>https://bedgear.com/products/dri-tec-mattress-protector</v>
      </c>
      <c r="AC291" s="8" t="str">
        <f t="shared" si="2"/>
        <v>https://rtg-275.myshopify.com/products/DRI-TEC-PROTECTOR</v>
      </c>
      <c r="AD291" s="11" t="str">
        <f>vlookup(L291,'Python sheet'!$E$2:$F$373,2,0)</f>
        <v>#N/A</v>
      </c>
    </row>
    <row r="292">
      <c r="A292" s="4">
        <v>5.1010545E7</v>
      </c>
      <c r="B292" s="9">
        <v>2.0</v>
      </c>
      <c r="C292" s="9">
        <v>4.5</v>
      </c>
      <c r="D292" s="2" t="s">
        <v>678</v>
      </c>
      <c r="E292" s="2" t="s">
        <v>659</v>
      </c>
      <c r="F292" s="2" t="s">
        <v>679</v>
      </c>
      <c r="G292" s="9">
        <v>5.0</v>
      </c>
      <c r="H292" s="9">
        <v>4.0</v>
      </c>
      <c r="I292" s="9">
        <v>3.0</v>
      </c>
      <c r="J292" s="1" t="s">
        <v>680</v>
      </c>
      <c r="K292" s="1" t="s">
        <v>1026</v>
      </c>
      <c r="L292" s="1" t="str">
        <f t="shared" si="1"/>
        <v>DRI-TEC-PROTECTORKing</v>
      </c>
      <c r="M292" s="1" t="s">
        <v>687</v>
      </c>
      <c r="N292" s="6">
        <v>189.99</v>
      </c>
      <c r="O292" s="6">
        <v>189.99</v>
      </c>
      <c r="P292" s="1" t="s">
        <v>663</v>
      </c>
      <c r="Q292" s="7"/>
      <c r="R292" s="1" t="s">
        <v>686</v>
      </c>
      <c r="S292" s="1" t="s">
        <v>31</v>
      </c>
      <c r="T292" s="1" t="s">
        <v>568</v>
      </c>
      <c r="U292" s="7"/>
      <c r="V292" s="7"/>
      <c r="W292" s="7"/>
      <c r="X292" s="7"/>
      <c r="Y292" s="7"/>
      <c r="Z292" s="7"/>
      <c r="AA292" s="8" t="str">
        <f>IFERROR(VLOOKUP(A292,Sheet3!B:H,6,false),VLOOKUP(J292,Sheet2!A:C,2,false))</f>
        <v>https://bedgear.com/cdn/shop/files/01-DT-Main.jpg</v>
      </c>
      <c r="AB292" s="8" t="str">
        <f>IFERROR(VLOOKUP(A292,Sheet3!B:H,7,false),VLOOKUP(J292,Sheet2!A:C,3,false))</f>
        <v>https://bedgear.com/products/dri-tec-mattress-protector</v>
      </c>
      <c r="AC292" s="8" t="str">
        <f t="shared" si="2"/>
        <v>https://rtg-275.myshopify.com/products/DRI-TEC-PROTECTOR</v>
      </c>
      <c r="AD292" s="11" t="str">
        <f>vlookup(L292,'Python sheet'!$E$2:$F$373,2,0)</f>
        <v>#N/A</v>
      </c>
    </row>
    <row r="293">
      <c r="A293" s="4">
        <v>5.1010557E7</v>
      </c>
      <c r="B293" s="5"/>
      <c r="C293" s="5"/>
      <c r="D293" s="2" t="s">
        <v>678</v>
      </c>
      <c r="E293" s="2" t="s">
        <v>659</v>
      </c>
      <c r="F293" s="2" t="s">
        <v>679</v>
      </c>
      <c r="G293" s="9">
        <v>5.0</v>
      </c>
      <c r="H293" s="9">
        <v>4.0</v>
      </c>
      <c r="I293" s="5"/>
      <c r="J293" s="1" t="s">
        <v>680</v>
      </c>
      <c r="K293" s="1" t="s">
        <v>1026</v>
      </c>
      <c r="L293" s="1" t="str">
        <f t="shared" si="1"/>
        <v>DRI-TEC-PROTECTORCalifornia King</v>
      </c>
      <c r="M293" s="1" t="s">
        <v>688</v>
      </c>
      <c r="N293" s="6">
        <v>189.99</v>
      </c>
      <c r="O293" s="6">
        <v>189.99</v>
      </c>
      <c r="P293" s="1" t="s">
        <v>663</v>
      </c>
      <c r="Q293" s="7"/>
      <c r="R293" s="1" t="s">
        <v>682</v>
      </c>
      <c r="S293" s="1" t="s">
        <v>31</v>
      </c>
      <c r="T293" s="1" t="s">
        <v>670</v>
      </c>
      <c r="U293" s="7"/>
      <c r="V293" s="7"/>
      <c r="W293" s="7"/>
      <c r="X293" s="7"/>
      <c r="Y293" s="7"/>
      <c r="Z293" s="7"/>
      <c r="AA293" s="8" t="str">
        <f>IFERROR(VLOOKUP(A293,Sheet3!B:H,6,false),VLOOKUP(J293,Sheet2!A:C,2,false))</f>
        <v>https://bedgear.com/cdn/shop/files/01-DT-Main.jpg</v>
      </c>
      <c r="AB293" s="8" t="str">
        <f>IFERROR(VLOOKUP(A293,Sheet3!B:H,7,false),VLOOKUP(J293,Sheet2!A:C,3,false))</f>
        <v>https://bedgear.com/products/dri-tec-mattress-protector</v>
      </c>
      <c r="AC293" s="8" t="str">
        <f t="shared" si="2"/>
        <v>https://rtg-275.myshopify.com/products/DRI-TEC-PROTECTOR</v>
      </c>
      <c r="AD293" s="11" t="str">
        <f>vlookup(L293,'Python sheet'!$E$2:$F$373,2,0)</f>
        <v>#N/A</v>
      </c>
    </row>
    <row r="294">
      <c r="A294" s="4">
        <v>5.1010569E7</v>
      </c>
      <c r="B294" s="9">
        <v>1.0</v>
      </c>
      <c r="C294" s="9">
        <v>5.0</v>
      </c>
      <c r="D294" s="2" t="s">
        <v>678</v>
      </c>
      <c r="E294" s="2" t="s">
        <v>659</v>
      </c>
      <c r="F294" s="2" t="s">
        <v>679</v>
      </c>
      <c r="G294" s="9">
        <v>5.0</v>
      </c>
      <c r="H294" s="9">
        <v>4.0</v>
      </c>
      <c r="I294" s="9">
        <v>4.0</v>
      </c>
      <c r="J294" s="1" t="s">
        <v>680</v>
      </c>
      <c r="K294" s="1" t="s">
        <v>1026</v>
      </c>
      <c r="L294" s="1" t="str">
        <f t="shared" si="1"/>
        <v>DRI-TEC-PROTECTORTwin XL</v>
      </c>
      <c r="M294" s="1" t="s">
        <v>689</v>
      </c>
      <c r="N294" s="6">
        <v>209.99</v>
      </c>
      <c r="O294" s="6">
        <v>209.99</v>
      </c>
      <c r="P294" s="1" t="s">
        <v>663</v>
      </c>
      <c r="Q294" s="7"/>
      <c r="R294" s="1" t="s">
        <v>682</v>
      </c>
      <c r="S294" s="1" t="s">
        <v>31</v>
      </c>
      <c r="T294" s="1" t="s">
        <v>32</v>
      </c>
      <c r="U294" s="7"/>
      <c r="V294" s="7"/>
      <c r="W294" s="7"/>
      <c r="X294" s="7"/>
      <c r="Y294" s="7"/>
      <c r="Z294" s="7"/>
      <c r="AA294" s="8" t="str">
        <f>IFERROR(VLOOKUP(A294,Sheet3!B:H,6,false),VLOOKUP(J294,Sheet2!A:C,2,false))</f>
        <v>https://bedgear.com/cdn/shop/files/01-DT-Main.jpg</v>
      </c>
      <c r="AB294" s="8" t="str">
        <f>IFERROR(VLOOKUP(A294,Sheet3!B:H,7,false),VLOOKUP(J294,Sheet2!A:C,3,false))</f>
        <v>https://bedgear.com/products/dri-tec-mattress-protector</v>
      </c>
      <c r="AC294" s="8" t="str">
        <f t="shared" si="2"/>
        <v>https://rtg-275.myshopify.com/products/DRI-TEC-PROTECTOR</v>
      </c>
      <c r="AD294" s="11" t="str">
        <f>vlookup(L294,'Python sheet'!$E$2:$F$373,2,0)</f>
        <v>#N/A</v>
      </c>
    </row>
    <row r="295">
      <c r="A295" s="4">
        <v>5.1010571E7</v>
      </c>
      <c r="B295" s="5"/>
      <c r="C295" s="5"/>
      <c r="D295" s="5"/>
      <c r="E295" s="5"/>
      <c r="F295" s="5"/>
      <c r="G295" s="5"/>
      <c r="H295" s="5"/>
      <c r="I295" s="5"/>
      <c r="J295" s="1" t="s">
        <v>680</v>
      </c>
      <c r="K295" s="1" t="s">
        <v>1026</v>
      </c>
      <c r="L295" s="1" t="str">
        <f t="shared" si="1"/>
        <v>DRI-TEC-PROTECTORSplit King</v>
      </c>
      <c r="M295" s="1" t="s">
        <v>690</v>
      </c>
      <c r="N295" s="6">
        <v>209.99</v>
      </c>
      <c r="O295" s="6">
        <v>209.99</v>
      </c>
      <c r="P295" s="1" t="s">
        <v>663</v>
      </c>
      <c r="Q295" s="7"/>
      <c r="R295" s="1" t="s">
        <v>691</v>
      </c>
      <c r="S295" s="1" t="s">
        <v>31</v>
      </c>
      <c r="T295" s="1" t="s">
        <v>692</v>
      </c>
      <c r="U295" s="7"/>
      <c r="V295" s="7"/>
      <c r="W295" s="7"/>
      <c r="X295" s="7"/>
      <c r="Y295" s="7"/>
      <c r="Z295" s="7"/>
      <c r="AA295" s="8" t="str">
        <f>IFERROR(VLOOKUP(A295,Sheet3!B:H,6,false),VLOOKUP(J295,Sheet2!A:C,2,false))</f>
        <v>https://bedgear.com/cdn/shop/files/01-DT-Main.jpg</v>
      </c>
      <c r="AB295" s="8" t="str">
        <f>IFERROR(VLOOKUP(A295,Sheet3!B:H,7,false),VLOOKUP(J295,Sheet2!A:C,3,false))</f>
        <v>https://bedgear.com/products/dri-tec-mattress-protector</v>
      </c>
      <c r="AC295" s="8" t="str">
        <f t="shared" si="2"/>
        <v>https://rtg-275.myshopify.com/products/DRI-TEC-PROTECTOR</v>
      </c>
      <c r="AD295" s="11" t="str">
        <f>vlookup(L295,'Python sheet'!$E$2:$F$373,2,0)</f>
        <v>#N/A</v>
      </c>
    </row>
    <row r="296">
      <c r="A296" s="4">
        <v>5.1010583E7</v>
      </c>
      <c r="B296" s="9">
        <v>2.0</v>
      </c>
      <c r="C296" s="9">
        <v>3.0</v>
      </c>
      <c r="D296" s="2" t="s">
        <v>678</v>
      </c>
      <c r="E296" s="2" t="s">
        <v>659</v>
      </c>
      <c r="F296" s="2" t="s">
        <v>679</v>
      </c>
      <c r="G296" s="9">
        <v>5.0</v>
      </c>
      <c r="H296" s="9">
        <v>4.0</v>
      </c>
      <c r="I296" s="9">
        <v>3.0</v>
      </c>
      <c r="J296" s="1" t="s">
        <v>680</v>
      </c>
      <c r="K296" s="1" t="s">
        <v>1026</v>
      </c>
      <c r="L296" s="1" t="str">
        <f t="shared" si="1"/>
        <v>DRI-TEC-PROTECTORSplit Head Queen</v>
      </c>
      <c r="M296" s="1" t="s">
        <v>693</v>
      </c>
      <c r="N296" s="6">
        <v>179.99</v>
      </c>
      <c r="O296" s="6">
        <v>179.99</v>
      </c>
      <c r="P296" s="1" t="s">
        <v>663</v>
      </c>
      <c r="Q296" s="7"/>
      <c r="R296" s="1" t="s">
        <v>694</v>
      </c>
      <c r="S296" s="1" t="s">
        <v>31</v>
      </c>
      <c r="T296" s="1" t="s">
        <v>695</v>
      </c>
      <c r="U296" s="7"/>
      <c r="V296" s="7"/>
      <c r="W296" s="7"/>
      <c r="X296" s="7"/>
      <c r="Y296" s="7"/>
      <c r="Z296" s="7"/>
      <c r="AA296" s="8" t="str">
        <f>IFERROR(VLOOKUP(A296,Sheet3!B:H,6,false),VLOOKUP(J296,Sheet2!A:C,2,false))</f>
        <v>https://bedgear.com/cdn/shop/files/01-DT-Main.jpg</v>
      </c>
      <c r="AB296" s="8" t="str">
        <f>IFERROR(VLOOKUP(A296,Sheet3!B:H,7,false),VLOOKUP(J296,Sheet2!A:C,3,false))</f>
        <v>https://bedgear.com/products/dri-tec-mattress-protector</v>
      </c>
      <c r="AC296" s="8" t="str">
        <f t="shared" si="2"/>
        <v>https://rtg-275.myshopify.com/products/DRI-TEC-PROTECTOR</v>
      </c>
      <c r="AD296" s="11" t="str">
        <f>vlookup(L296,'Python sheet'!$E$2:$F$373,2,0)</f>
        <v>#N/A</v>
      </c>
    </row>
    <row r="297">
      <c r="A297" s="4">
        <v>5.1010595E7</v>
      </c>
      <c r="B297" s="5"/>
      <c r="C297" s="5"/>
      <c r="D297" s="5"/>
      <c r="E297" s="5"/>
      <c r="F297" s="5"/>
      <c r="G297" s="5"/>
      <c r="H297" s="5"/>
      <c r="I297" s="5"/>
      <c r="J297" s="1" t="s">
        <v>680</v>
      </c>
      <c r="K297" s="1" t="s">
        <v>1026</v>
      </c>
      <c r="L297" s="1" t="str">
        <f t="shared" si="1"/>
        <v>DRI-TEC-PROTECTORSplit Head King</v>
      </c>
      <c r="M297" s="1" t="s">
        <v>696</v>
      </c>
      <c r="N297" s="6">
        <v>209.99</v>
      </c>
      <c r="O297" s="6">
        <v>209.99</v>
      </c>
      <c r="P297" s="1" t="s">
        <v>663</v>
      </c>
      <c r="Q297" s="7"/>
      <c r="R297" s="1" t="s">
        <v>694</v>
      </c>
      <c r="S297" s="1" t="s">
        <v>31</v>
      </c>
      <c r="T297" s="1" t="s">
        <v>697</v>
      </c>
      <c r="U297" s="7"/>
      <c r="V297" s="7"/>
      <c r="W297" s="7"/>
      <c r="X297" s="7"/>
      <c r="Y297" s="7"/>
      <c r="Z297" s="7"/>
      <c r="AA297" s="8" t="str">
        <f>IFERROR(VLOOKUP(A297,Sheet3!B:H,6,false),VLOOKUP(J297,Sheet2!A:C,2,false))</f>
        <v>https://bedgear.com/cdn/shop/files/01-DT-Main.jpg</v>
      </c>
      <c r="AB297" s="8" t="str">
        <f>IFERROR(VLOOKUP(A297,Sheet3!B:H,7,false),VLOOKUP(J297,Sheet2!A:C,3,false))</f>
        <v>https://bedgear.com/products/dri-tec-mattress-protector</v>
      </c>
      <c r="AC297" s="8" t="str">
        <f t="shared" si="2"/>
        <v>https://rtg-275.myshopify.com/products/DRI-TEC-PROTECTOR</v>
      </c>
      <c r="AD297" s="11" t="str">
        <f>vlookup(L297,'Python sheet'!$E$2:$F$373,2,0)</f>
        <v>#N/A</v>
      </c>
    </row>
    <row r="298">
      <c r="A298" s="4">
        <v>5.1010608E7</v>
      </c>
      <c r="B298" s="5"/>
      <c r="C298" s="5"/>
      <c r="D298" s="2" t="s">
        <v>698</v>
      </c>
      <c r="E298" s="2" t="s">
        <v>659</v>
      </c>
      <c r="F298" s="2" t="s">
        <v>699</v>
      </c>
      <c r="G298" s="9">
        <v>4.0</v>
      </c>
      <c r="H298" s="9">
        <v>3.5</v>
      </c>
      <c r="I298" s="5"/>
      <c r="J298" s="1" t="s">
        <v>700</v>
      </c>
      <c r="K298" s="1" t="s">
        <v>1027</v>
      </c>
      <c r="L298" s="1" t="str">
        <f t="shared" si="1"/>
        <v>VER-TEX-PROTECTORTwin</v>
      </c>
      <c r="M298" s="1" t="s">
        <v>701</v>
      </c>
      <c r="N298" s="6">
        <v>249.99</v>
      </c>
      <c r="O298" s="6">
        <v>249.99</v>
      </c>
      <c r="P298" s="1" t="s">
        <v>663</v>
      </c>
      <c r="Q298" s="7"/>
      <c r="R298" s="1" t="s">
        <v>702</v>
      </c>
      <c r="S298" s="1" t="s">
        <v>31</v>
      </c>
      <c r="T298" s="1" t="s">
        <v>242</v>
      </c>
      <c r="U298" s="7"/>
      <c r="V298" s="7"/>
      <c r="W298" s="7"/>
      <c r="X298" s="7"/>
      <c r="Y298" s="7"/>
      <c r="Z298" s="7"/>
      <c r="AA298" s="8" t="str">
        <f>IFERROR(VLOOKUP(A298,Sheet3!B:H,6,false),VLOOKUP(J298,Sheet2!A:C,2,false))</f>
        <v>https://bedgear.com/cdn/shop/files/01-VT-Main_ba2fd5b4-a14e-47c0-942b-e9c2aea9a2f6.jpg</v>
      </c>
      <c r="AB298" s="8" t="str">
        <f>IFERROR(VLOOKUP(A298,Sheet3!B:H,7,false),VLOOKUP(J298,Sheet2!A:C,3,false))</f>
        <v>https://bedgear.com/products/ver-tex-mattress-protector</v>
      </c>
      <c r="AC298" s="8" t="str">
        <f t="shared" si="2"/>
        <v>https://rtg-275.myshopify.com/products/VER-TEX-PROTECTOR</v>
      </c>
      <c r="AD298" s="8" t="str">
        <f>vlookup(L298,'Python sheet'!$E$2:$F$373,2,0)</f>
        <v>https://rtg-275.myshopify.com/products/VER-TEX-PROTECTOR?variant=47915116462218</v>
      </c>
    </row>
    <row r="299">
      <c r="A299" s="4">
        <v>5.101061E7</v>
      </c>
      <c r="B299" s="5"/>
      <c r="C299" s="5"/>
      <c r="D299" s="2" t="s">
        <v>698</v>
      </c>
      <c r="E299" s="2" t="s">
        <v>659</v>
      </c>
      <c r="F299" s="2" t="s">
        <v>699</v>
      </c>
      <c r="G299" s="9">
        <v>4.0</v>
      </c>
      <c r="H299" s="9">
        <v>3.5</v>
      </c>
      <c r="I299" s="5"/>
      <c r="J299" s="1" t="s">
        <v>700</v>
      </c>
      <c r="K299" s="1" t="s">
        <v>1027</v>
      </c>
      <c r="L299" s="1" t="str">
        <f t="shared" si="1"/>
        <v>VER-TEX-PROTECTORTwin XL</v>
      </c>
      <c r="M299" s="1" t="s">
        <v>703</v>
      </c>
      <c r="N299" s="6">
        <v>259.99</v>
      </c>
      <c r="O299" s="6">
        <v>259.99</v>
      </c>
      <c r="P299" s="1" t="s">
        <v>663</v>
      </c>
      <c r="Q299" s="7"/>
      <c r="R299" s="1" t="s">
        <v>704</v>
      </c>
      <c r="S299" s="1" t="s">
        <v>31</v>
      </c>
      <c r="T299" s="1" t="s">
        <v>32</v>
      </c>
      <c r="U299" s="7"/>
      <c r="V299" s="7"/>
      <c r="W299" s="7"/>
      <c r="X299" s="7"/>
      <c r="Y299" s="7"/>
      <c r="Z299" s="7"/>
      <c r="AA299" s="8" t="str">
        <f>IFERROR(VLOOKUP(A299,Sheet3!B:H,6,false),VLOOKUP(J299,Sheet2!A:C,2,false))</f>
        <v>https://bedgear.com/cdn/shop/files/01-VT-Main_ba2fd5b4-a14e-47c0-942b-e9c2aea9a2f6.jpg</v>
      </c>
      <c r="AB299" s="8" t="str">
        <f>IFERROR(VLOOKUP(A299,Sheet3!B:H,7,false),VLOOKUP(J299,Sheet2!A:C,3,false))</f>
        <v>https://bedgear.com/products/ver-tex-mattress-protector</v>
      </c>
      <c r="AC299" s="8" t="str">
        <f t="shared" si="2"/>
        <v>https://rtg-275.myshopify.com/products/VER-TEX-PROTECTOR</v>
      </c>
      <c r="AD299" s="8" t="str">
        <f>vlookup(L299,'Python sheet'!$E$2:$F$373,2,0)</f>
        <v>https://rtg-275.myshopify.com/products/VER-TEX-PROTECTOR?variant=47915116494986</v>
      </c>
    </row>
    <row r="300">
      <c r="A300" s="4">
        <v>5.1010622E7</v>
      </c>
      <c r="B300" s="5"/>
      <c r="C300" s="5"/>
      <c r="D300" s="2" t="s">
        <v>698</v>
      </c>
      <c r="E300" s="2" t="s">
        <v>659</v>
      </c>
      <c r="F300" s="2" t="s">
        <v>699</v>
      </c>
      <c r="G300" s="9">
        <v>4.0</v>
      </c>
      <c r="H300" s="9">
        <v>3.5</v>
      </c>
      <c r="I300" s="5"/>
      <c r="J300" s="1" t="s">
        <v>700</v>
      </c>
      <c r="K300" s="1" t="s">
        <v>1027</v>
      </c>
      <c r="L300" s="1" t="str">
        <f t="shared" si="1"/>
        <v>VER-TEX-PROTECTORFull</v>
      </c>
      <c r="M300" s="1" t="s">
        <v>705</v>
      </c>
      <c r="N300" s="6">
        <v>259.99</v>
      </c>
      <c r="O300" s="6">
        <v>259.99</v>
      </c>
      <c r="P300" s="1" t="s">
        <v>663</v>
      </c>
      <c r="Q300" s="7"/>
      <c r="R300" s="1" t="s">
        <v>702</v>
      </c>
      <c r="S300" s="1" t="s">
        <v>31</v>
      </c>
      <c r="T300" s="1" t="s">
        <v>373</v>
      </c>
      <c r="U300" s="7"/>
      <c r="V300" s="7"/>
      <c r="W300" s="7"/>
      <c r="X300" s="7"/>
      <c r="Y300" s="7"/>
      <c r="Z300" s="7"/>
      <c r="AA300" s="8" t="str">
        <f>IFERROR(VLOOKUP(A300,Sheet3!B:H,6,false),VLOOKUP(J300,Sheet2!A:C,2,false))</f>
        <v>https://bedgear.com/cdn/shop/files/01-VT-Main_ba2fd5b4-a14e-47c0-942b-e9c2aea9a2f6.jpg</v>
      </c>
      <c r="AB300" s="8" t="str">
        <f>IFERROR(VLOOKUP(A300,Sheet3!B:H,7,false),VLOOKUP(J300,Sheet2!A:C,3,false))</f>
        <v>https://bedgear.com/products/ver-tex-mattress-protector</v>
      </c>
      <c r="AC300" s="8" t="str">
        <f t="shared" si="2"/>
        <v>https://rtg-275.myshopify.com/products/VER-TEX-PROTECTOR</v>
      </c>
      <c r="AD300" s="8" t="str">
        <f>vlookup(L300,'Python sheet'!$E$2:$F$373,2,0)</f>
        <v>https://rtg-275.myshopify.com/products/VER-TEX-PROTECTOR?variant=47915116527754</v>
      </c>
    </row>
    <row r="301">
      <c r="A301" s="4">
        <v>5.1010634E7</v>
      </c>
      <c r="B301" s="9">
        <v>2.0</v>
      </c>
      <c r="C301" s="9">
        <v>3.0</v>
      </c>
      <c r="D301" s="2" t="s">
        <v>698</v>
      </c>
      <c r="E301" s="2" t="s">
        <v>659</v>
      </c>
      <c r="F301" s="2" t="s">
        <v>699</v>
      </c>
      <c r="G301" s="9">
        <v>4.0</v>
      </c>
      <c r="H301" s="9">
        <v>3.5</v>
      </c>
      <c r="I301" s="9">
        <v>2.0</v>
      </c>
      <c r="J301" s="1" t="s">
        <v>700</v>
      </c>
      <c r="K301" s="1" t="s">
        <v>1027</v>
      </c>
      <c r="L301" s="1" t="str">
        <f t="shared" si="1"/>
        <v>VER-TEX-PROTECTORQueen</v>
      </c>
      <c r="M301" s="1" t="s">
        <v>706</v>
      </c>
      <c r="N301" s="6">
        <v>279.99</v>
      </c>
      <c r="O301" s="6">
        <v>279.99</v>
      </c>
      <c r="P301" s="1" t="s">
        <v>663</v>
      </c>
      <c r="Q301" s="7"/>
      <c r="R301" s="1" t="s">
        <v>702</v>
      </c>
      <c r="S301" s="1" t="s">
        <v>31</v>
      </c>
      <c r="T301" s="1" t="s">
        <v>470</v>
      </c>
      <c r="U301" s="7"/>
      <c r="V301" s="7"/>
      <c r="W301" s="7"/>
      <c r="X301" s="7"/>
      <c r="Y301" s="7"/>
      <c r="Z301" s="7"/>
      <c r="AA301" s="8" t="str">
        <f>IFERROR(VLOOKUP(A301,Sheet3!B:H,6,false),VLOOKUP(J301,Sheet2!A:C,2,false))</f>
        <v>https://bedgear.com/cdn/shop/files/01-VT-Main_ba2fd5b4-a14e-47c0-942b-e9c2aea9a2f6.jpg</v>
      </c>
      <c r="AB301" s="8" t="str">
        <f>IFERROR(VLOOKUP(A301,Sheet3!B:H,7,false),VLOOKUP(J301,Sheet2!A:C,3,false))</f>
        <v>https://bedgear.com/products/ver-tex-mattress-protector</v>
      </c>
      <c r="AC301" s="8" t="str">
        <f t="shared" si="2"/>
        <v>https://rtg-275.myshopify.com/products/VER-TEX-PROTECTOR</v>
      </c>
      <c r="AD301" s="8" t="str">
        <f>vlookup(L301,'Python sheet'!$E$2:$F$373,2,0)</f>
        <v>https://rtg-275.myshopify.com/products/VER-TEX-PROTECTOR?variant=47915116560522</v>
      </c>
    </row>
    <row r="302">
      <c r="A302" s="4">
        <v>5.1010646E7</v>
      </c>
      <c r="B302" s="9">
        <v>1.0</v>
      </c>
      <c r="C302" s="9">
        <v>3.0</v>
      </c>
      <c r="D302" s="2" t="s">
        <v>698</v>
      </c>
      <c r="E302" s="2" t="s">
        <v>659</v>
      </c>
      <c r="F302" s="2" t="s">
        <v>699</v>
      </c>
      <c r="G302" s="9">
        <v>4.0</v>
      </c>
      <c r="H302" s="9">
        <v>3.5</v>
      </c>
      <c r="I302" s="9">
        <v>3.0</v>
      </c>
      <c r="J302" s="1" t="s">
        <v>700</v>
      </c>
      <c r="K302" s="1" t="s">
        <v>1027</v>
      </c>
      <c r="L302" s="1" t="str">
        <f t="shared" si="1"/>
        <v>VER-TEX-PROTECTORKing</v>
      </c>
      <c r="M302" s="1" t="s">
        <v>707</v>
      </c>
      <c r="N302" s="6">
        <v>299.99</v>
      </c>
      <c r="O302" s="6">
        <v>299.99</v>
      </c>
      <c r="P302" s="1" t="s">
        <v>663</v>
      </c>
      <c r="Q302" s="7"/>
      <c r="R302" s="1" t="s">
        <v>702</v>
      </c>
      <c r="S302" s="1" t="s">
        <v>31</v>
      </c>
      <c r="T302" s="1" t="s">
        <v>568</v>
      </c>
      <c r="U302" s="7"/>
      <c r="V302" s="7"/>
      <c r="W302" s="7"/>
      <c r="X302" s="7"/>
      <c r="Y302" s="7"/>
      <c r="Z302" s="7"/>
      <c r="AA302" s="8" t="str">
        <f>IFERROR(VLOOKUP(A302,Sheet3!B:H,6,false),VLOOKUP(J302,Sheet2!A:C,2,false))</f>
        <v>https://bedgear.com/cdn/shop/files/01-VT-Main_ba2fd5b4-a14e-47c0-942b-e9c2aea9a2f6.jpg</v>
      </c>
      <c r="AB302" s="8" t="str">
        <f>IFERROR(VLOOKUP(A302,Sheet3!B:H,7,false),VLOOKUP(J302,Sheet2!A:C,3,false))</f>
        <v>https://bedgear.com/products/ver-tex-mattress-protector</v>
      </c>
      <c r="AC302" s="8" t="str">
        <f t="shared" si="2"/>
        <v>https://rtg-275.myshopify.com/products/VER-TEX-PROTECTOR</v>
      </c>
      <c r="AD302" s="8" t="str">
        <f>vlookup(L302,'Python sheet'!$E$2:$F$373,2,0)</f>
        <v>https://rtg-275.myshopify.com/products/VER-TEX-PROTECTOR?variant=47915116593290</v>
      </c>
    </row>
    <row r="303">
      <c r="A303" s="4">
        <v>5.1010658E7</v>
      </c>
      <c r="B303" s="5"/>
      <c r="C303" s="5"/>
      <c r="D303" s="5"/>
      <c r="E303" s="5"/>
      <c r="F303" s="5"/>
      <c r="G303" s="5"/>
      <c r="H303" s="5"/>
      <c r="I303" s="5"/>
      <c r="J303" s="1" t="s">
        <v>700</v>
      </c>
      <c r="K303" s="1" t="s">
        <v>1027</v>
      </c>
      <c r="L303" s="1" t="str">
        <f t="shared" si="1"/>
        <v>VER-TEX-PROTECTORCalifornia King</v>
      </c>
      <c r="M303" s="1" t="s">
        <v>708</v>
      </c>
      <c r="N303" s="6">
        <v>299.99</v>
      </c>
      <c r="O303" s="6">
        <v>299.99</v>
      </c>
      <c r="P303" s="1" t="s">
        <v>663</v>
      </c>
      <c r="Q303" s="7"/>
      <c r="R303" s="1" t="s">
        <v>702</v>
      </c>
      <c r="S303" s="1" t="s">
        <v>31</v>
      </c>
      <c r="T303" s="1" t="s">
        <v>670</v>
      </c>
      <c r="U303" s="7"/>
      <c r="V303" s="7"/>
      <c r="W303" s="7"/>
      <c r="X303" s="7"/>
      <c r="Y303" s="7"/>
      <c r="Z303" s="7"/>
      <c r="AA303" s="8" t="str">
        <f>IFERROR(VLOOKUP(A303,Sheet3!B:H,6,false),VLOOKUP(J303,Sheet2!A:C,2,false))</f>
        <v>https://bedgear.com/cdn/shop/files/01-VT-Main_ba2fd5b4-a14e-47c0-942b-e9c2aea9a2f6.jpg</v>
      </c>
      <c r="AB303" s="8" t="str">
        <f>IFERROR(VLOOKUP(A303,Sheet3!B:H,7,false),VLOOKUP(J303,Sheet2!A:C,3,false))</f>
        <v>https://bedgear.com/products/ver-tex-mattress-protector</v>
      </c>
      <c r="AC303" s="8" t="str">
        <f t="shared" si="2"/>
        <v>https://rtg-275.myshopify.com/products/VER-TEX-PROTECTOR</v>
      </c>
      <c r="AD303" s="8" t="str">
        <f>vlookup(L303,'Python sheet'!$E$2:$F$373,2,0)</f>
        <v>https://rtg-275.myshopify.com/products/VER-TEX-PROTECTOR?variant=47915116626058</v>
      </c>
    </row>
    <row r="304">
      <c r="A304" s="4">
        <v>5.101066E7</v>
      </c>
      <c r="B304" s="5"/>
      <c r="C304" s="5"/>
      <c r="D304" s="5"/>
      <c r="E304" s="5"/>
      <c r="F304" s="5"/>
      <c r="G304" s="5"/>
      <c r="H304" s="5"/>
      <c r="I304" s="5"/>
      <c r="J304" s="1" t="s">
        <v>700</v>
      </c>
      <c r="K304" s="1" t="s">
        <v>1027</v>
      </c>
      <c r="L304" s="1" t="str">
        <f t="shared" si="1"/>
        <v>VER-TEX-PROTECTORSplit California King</v>
      </c>
      <c r="M304" s="1" t="s">
        <v>709</v>
      </c>
      <c r="N304" s="6">
        <v>359.99</v>
      </c>
      <c r="O304" s="6">
        <v>359.99</v>
      </c>
      <c r="P304" s="1" t="s">
        <v>663</v>
      </c>
      <c r="Q304" s="7"/>
      <c r="R304" s="1" t="s">
        <v>702</v>
      </c>
      <c r="S304" s="1" t="s">
        <v>31</v>
      </c>
      <c r="T304" s="1" t="s">
        <v>710</v>
      </c>
      <c r="U304" s="7"/>
      <c r="V304" s="7"/>
      <c r="W304" s="7"/>
      <c r="X304" s="7"/>
      <c r="Y304" s="7"/>
      <c r="Z304" s="7"/>
      <c r="AA304" s="8" t="str">
        <f>IFERROR(VLOOKUP(A304,Sheet3!B:H,6,false),VLOOKUP(J304,Sheet2!A:C,2,false))</f>
        <v>https://bedgear.com/cdn/shop/files/01-VT-Main_ba2fd5b4-a14e-47c0-942b-e9c2aea9a2f6.jpg</v>
      </c>
      <c r="AB304" s="8" t="str">
        <f>IFERROR(VLOOKUP(A304,Sheet3!B:H,7,false),VLOOKUP(J304,Sheet2!A:C,3,false))</f>
        <v>https://bedgear.com/products/ver-tex-mattress-protector</v>
      </c>
      <c r="AC304" s="8" t="str">
        <f t="shared" si="2"/>
        <v>https://rtg-275.myshopify.com/products/VER-TEX-PROTECTOR</v>
      </c>
      <c r="AD304" s="8" t="str">
        <f>vlookup(L304,'Python sheet'!$E$2:$F$373,2,0)</f>
        <v>https://rtg-275.myshopify.com/products/VER-TEX-PROTECTOR?variant=47915116658826</v>
      </c>
    </row>
    <row r="305">
      <c r="A305" s="4">
        <v>5.1010672E7</v>
      </c>
      <c r="B305" s="9">
        <v>1.0</v>
      </c>
      <c r="C305" s="9">
        <v>5.0</v>
      </c>
      <c r="D305" s="2" t="s">
        <v>698</v>
      </c>
      <c r="E305" s="2" t="s">
        <v>659</v>
      </c>
      <c r="F305" s="2" t="s">
        <v>699</v>
      </c>
      <c r="G305" s="9">
        <v>4.0</v>
      </c>
      <c r="H305" s="9">
        <v>3.5</v>
      </c>
      <c r="I305" s="9">
        <v>3.0</v>
      </c>
      <c r="J305" s="1" t="s">
        <v>700</v>
      </c>
      <c r="K305" s="1" t="s">
        <v>1027</v>
      </c>
      <c r="L305" s="1" t="str">
        <f t="shared" si="1"/>
        <v>VER-TEX-PROTECTORSplit King</v>
      </c>
      <c r="M305" s="1" t="s">
        <v>711</v>
      </c>
      <c r="N305" s="6">
        <v>359.99</v>
      </c>
      <c r="O305" s="6">
        <v>359.99</v>
      </c>
      <c r="P305" s="1" t="s">
        <v>663</v>
      </c>
      <c r="Q305" s="7"/>
      <c r="R305" s="1" t="s">
        <v>712</v>
      </c>
      <c r="S305" s="1" t="s">
        <v>31</v>
      </c>
      <c r="T305" s="1" t="s">
        <v>692</v>
      </c>
      <c r="U305" s="7"/>
      <c r="V305" s="7"/>
      <c r="W305" s="7"/>
      <c r="X305" s="7"/>
      <c r="Y305" s="7"/>
      <c r="Z305" s="7"/>
      <c r="AA305" s="8" t="str">
        <f>IFERROR(VLOOKUP(A305,Sheet3!B:H,6,false),VLOOKUP(J305,Sheet2!A:C,2,false))</f>
        <v>https://bedgear.com/cdn/shop/files/01-VT-Main_ba2fd5b4-a14e-47c0-942b-e9c2aea9a2f6.jpg</v>
      </c>
      <c r="AB305" s="8" t="str">
        <f>IFERROR(VLOOKUP(A305,Sheet3!B:H,7,false),VLOOKUP(J305,Sheet2!A:C,3,false))</f>
        <v>https://bedgear.com/products/ver-tex-mattress-protector</v>
      </c>
      <c r="AC305" s="8" t="str">
        <f t="shared" si="2"/>
        <v>https://rtg-275.myshopify.com/products/VER-TEX-PROTECTOR</v>
      </c>
      <c r="AD305" s="8" t="str">
        <f>vlookup(L305,'Python sheet'!$E$2:$F$373,2,0)</f>
        <v>https://rtg-275.myshopify.com/products/VER-TEX-PROTECTOR?variant=47915116691594</v>
      </c>
    </row>
    <row r="306">
      <c r="A306" s="4">
        <v>5.1011004E7</v>
      </c>
      <c r="B306" s="5"/>
      <c r="C306" s="5"/>
      <c r="D306" s="2" t="s">
        <v>713</v>
      </c>
      <c r="E306" s="2" t="s">
        <v>659</v>
      </c>
      <c r="F306" s="2" t="s">
        <v>714</v>
      </c>
      <c r="G306" s="12" t="e">
        <v>#N/A</v>
      </c>
      <c r="H306" s="12" t="e">
        <v>#N/A</v>
      </c>
      <c r="I306" s="5"/>
      <c r="J306" s="1" t="s">
        <v>715</v>
      </c>
      <c r="K306" s="1" t="s">
        <v>1028</v>
      </c>
      <c r="L306" s="1" t="str">
        <f t="shared" si="1"/>
        <v>IPROTECT-SLEEPER-PROTECTORTwin</v>
      </c>
      <c r="M306" s="1" t="s">
        <v>716</v>
      </c>
      <c r="N306" s="6">
        <v>29.99</v>
      </c>
      <c r="O306" s="6">
        <v>29.99</v>
      </c>
      <c r="P306" s="1" t="s">
        <v>663</v>
      </c>
      <c r="Q306" s="7"/>
      <c r="R306" s="1" t="s">
        <v>717</v>
      </c>
      <c r="S306" s="1" t="s">
        <v>31</v>
      </c>
      <c r="T306" s="1" t="s">
        <v>242</v>
      </c>
      <c r="U306" s="7"/>
      <c r="V306" s="7"/>
      <c r="W306" s="7"/>
      <c r="X306" s="7"/>
      <c r="Y306" s="7"/>
      <c r="Z306" s="7"/>
      <c r="AA306" s="8" t="str">
        <f>IFERROR(VLOOKUP(A306,Sheet3!B:H,6,false),VLOOKUP(J306,Sheet2!A:C,2,false))</f>
        <v>https://bedgear.com/cdn/shop/collections/BG-WEB-NAV-IMG-302x160-Protectors-SofaBedProtect.jpg</v>
      </c>
      <c r="AB306" s="8" t="str">
        <f>IFERROR(VLOOKUP(A306,Sheet3!B:H,7,false),VLOOKUP(J306,Sheet2!A:C,3,false))</f>
        <v>https://bedgear.com/collections/sofa-bed-protectors</v>
      </c>
      <c r="AC306" s="8" t="str">
        <f t="shared" si="2"/>
        <v>https://rtg-275.myshopify.com/products/IPROTECT-SLEEPER-PROTECTOR</v>
      </c>
      <c r="AD306" s="11" t="str">
        <f>vlookup(L306,'Python sheet'!$E$2:$F$373,2,0)</f>
        <v>#N/A</v>
      </c>
    </row>
    <row r="307">
      <c r="A307" s="4">
        <v>5.1011028E7</v>
      </c>
      <c r="B307" s="5"/>
      <c r="C307" s="5"/>
      <c r="D307" s="2" t="s">
        <v>713</v>
      </c>
      <c r="E307" s="2" t="s">
        <v>659</v>
      </c>
      <c r="F307" s="2" t="s">
        <v>714</v>
      </c>
      <c r="G307" s="12" t="e">
        <v>#N/A</v>
      </c>
      <c r="H307" s="12" t="e">
        <v>#N/A</v>
      </c>
      <c r="I307" s="5"/>
      <c r="J307" s="1" t="s">
        <v>715</v>
      </c>
      <c r="K307" s="1" t="s">
        <v>1028</v>
      </c>
      <c r="L307" s="1" t="str">
        <f t="shared" si="1"/>
        <v>IPROTECT-SLEEPER-PROTECTORFull</v>
      </c>
      <c r="M307" s="1" t="s">
        <v>718</v>
      </c>
      <c r="N307" s="6">
        <v>37.99</v>
      </c>
      <c r="O307" s="6">
        <v>37.99</v>
      </c>
      <c r="P307" s="1" t="s">
        <v>663</v>
      </c>
      <c r="Q307" s="7"/>
      <c r="R307" s="1" t="s">
        <v>717</v>
      </c>
      <c r="S307" s="1" t="s">
        <v>31</v>
      </c>
      <c r="T307" s="1" t="s">
        <v>373</v>
      </c>
      <c r="U307" s="7"/>
      <c r="V307" s="7"/>
      <c r="W307" s="7"/>
      <c r="X307" s="7"/>
      <c r="Y307" s="7"/>
      <c r="Z307" s="7"/>
      <c r="AA307" s="8" t="str">
        <f>IFERROR(VLOOKUP(A307,Sheet3!B:H,6,false),VLOOKUP(J307,Sheet2!A:C,2,false))</f>
        <v>https://bedgear.com/cdn/shop/collections/BG-WEB-NAV-IMG-302x160-Protectors-SofaBedProtect.jpg</v>
      </c>
      <c r="AB307" s="8" t="str">
        <f>IFERROR(VLOOKUP(A307,Sheet3!B:H,7,false),VLOOKUP(J307,Sheet2!A:C,3,false))</f>
        <v>https://bedgear.com/collections/sofa-bed-protectors</v>
      </c>
      <c r="AC307" s="8" t="str">
        <f t="shared" si="2"/>
        <v>https://rtg-275.myshopify.com/products/IPROTECT-SLEEPER-PROTECTOR</v>
      </c>
      <c r="AD307" s="11" t="str">
        <f>vlookup(L307,'Python sheet'!$E$2:$F$373,2,0)</f>
        <v>#N/A</v>
      </c>
    </row>
    <row r="308">
      <c r="A308" s="4">
        <v>5.101103E7</v>
      </c>
      <c r="B308" s="5"/>
      <c r="C308" s="5"/>
      <c r="D308" s="2" t="s">
        <v>713</v>
      </c>
      <c r="E308" s="2" t="s">
        <v>659</v>
      </c>
      <c r="F308" s="2" t="s">
        <v>714</v>
      </c>
      <c r="G308" s="12" t="e">
        <v>#N/A</v>
      </c>
      <c r="H308" s="12" t="e">
        <v>#N/A</v>
      </c>
      <c r="I308" s="5"/>
      <c r="J308" s="1" t="s">
        <v>715</v>
      </c>
      <c r="K308" s="1" t="s">
        <v>1028</v>
      </c>
      <c r="L308" s="1" t="str">
        <f t="shared" si="1"/>
        <v>IPROTECT-SLEEPER-PROTECTORQueen</v>
      </c>
      <c r="M308" s="1" t="s">
        <v>719</v>
      </c>
      <c r="N308" s="6">
        <v>39.99</v>
      </c>
      <c r="O308" s="6">
        <v>39.99</v>
      </c>
      <c r="P308" s="1" t="s">
        <v>663</v>
      </c>
      <c r="Q308" s="7"/>
      <c r="R308" s="1" t="s">
        <v>717</v>
      </c>
      <c r="S308" s="1" t="s">
        <v>31</v>
      </c>
      <c r="T308" s="1" t="s">
        <v>470</v>
      </c>
      <c r="U308" s="7"/>
      <c r="V308" s="7"/>
      <c r="W308" s="7"/>
      <c r="X308" s="7"/>
      <c r="Y308" s="7"/>
      <c r="Z308" s="7"/>
      <c r="AA308" s="8" t="str">
        <f>IFERROR(VLOOKUP(A308,Sheet3!B:H,6,false),VLOOKUP(J308,Sheet2!A:C,2,false))</f>
        <v>https://bedgear.com/cdn/shop/collections/BG-WEB-NAV-IMG-302x160-Protectors-SofaBedProtect.jpg</v>
      </c>
      <c r="AB308" s="8" t="str">
        <f>IFERROR(VLOOKUP(A308,Sheet3!B:H,7,false),VLOOKUP(J308,Sheet2!A:C,3,false))</f>
        <v>https://bedgear.com/collections/sofa-bed-protectors</v>
      </c>
      <c r="AC308" s="8" t="str">
        <f t="shared" si="2"/>
        <v>https://rtg-275.myshopify.com/products/IPROTECT-SLEEPER-PROTECTOR</v>
      </c>
      <c r="AD308" s="11" t="str">
        <f>vlookup(L308,'Python sheet'!$E$2:$F$373,2,0)</f>
        <v>#N/A</v>
      </c>
    </row>
    <row r="309">
      <c r="A309" s="4">
        <v>5.1011042E7</v>
      </c>
      <c r="B309" s="5"/>
      <c r="C309" s="5"/>
      <c r="D309" s="2" t="s">
        <v>713</v>
      </c>
      <c r="E309" s="2" t="s">
        <v>659</v>
      </c>
      <c r="F309" s="2" t="s">
        <v>714</v>
      </c>
      <c r="G309" s="12" t="e">
        <v>#N/A</v>
      </c>
      <c r="H309" s="12" t="e">
        <v>#N/A</v>
      </c>
      <c r="I309" s="5"/>
      <c r="J309" s="1" t="s">
        <v>715</v>
      </c>
      <c r="K309" s="1" t="s">
        <v>1028</v>
      </c>
      <c r="L309" s="1" t="str">
        <f t="shared" si="1"/>
        <v>IPROTECT-SLEEPER-PROTECTORQueen</v>
      </c>
      <c r="M309" s="1" t="s">
        <v>720</v>
      </c>
      <c r="N309" s="6">
        <v>39.99</v>
      </c>
      <c r="O309" s="6">
        <v>39.99</v>
      </c>
      <c r="P309" s="1" t="s">
        <v>663</v>
      </c>
      <c r="Q309" s="7"/>
      <c r="R309" s="1" t="s">
        <v>717</v>
      </c>
      <c r="S309" s="1" t="s">
        <v>31</v>
      </c>
      <c r="T309" s="1" t="s">
        <v>470</v>
      </c>
      <c r="U309" s="7"/>
      <c r="V309" s="7"/>
      <c r="W309" s="7"/>
      <c r="X309" s="7"/>
      <c r="Y309" s="7"/>
      <c r="Z309" s="7"/>
      <c r="AA309" s="8" t="str">
        <f>IFERROR(VLOOKUP(A309,Sheet3!B:H,6,false),VLOOKUP(J309,Sheet2!A:C,2,false))</f>
        <v>https://bedgear.com/cdn/shop/collections/BG-WEB-NAV-IMG-302x160-Protectors-SofaBedProtect.jpg</v>
      </c>
      <c r="AB309" s="8" t="str">
        <f>IFERROR(VLOOKUP(A309,Sheet3!B:H,7,false),VLOOKUP(J309,Sheet2!A:C,3,false))</f>
        <v>https://bedgear.com/collections/sofa-bed-protectors</v>
      </c>
      <c r="AC309" s="8" t="str">
        <f t="shared" si="2"/>
        <v>https://rtg-275.myshopify.com/products/IPROTECT-SLEEPER-PROTECTOR</v>
      </c>
      <c r="AD309" s="11" t="str">
        <f>vlookup(L309,'Python sheet'!$E$2:$F$373,2,0)</f>
        <v>#N/A</v>
      </c>
    </row>
    <row r="310">
      <c r="A310" s="4">
        <v>5.1018604E7</v>
      </c>
      <c r="B310" s="9">
        <v>11.0</v>
      </c>
      <c r="C310" s="9">
        <v>4.55</v>
      </c>
      <c r="D310" s="2" t="s">
        <v>721</v>
      </c>
      <c r="E310" s="2" t="s">
        <v>642</v>
      </c>
      <c r="F310" s="2" t="s">
        <v>368</v>
      </c>
      <c r="G310" s="9">
        <v>11.0</v>
      </c>
      <c r="H310" s="9">
        <v>4.45</v>
      </c>
      <c r="I310" s="9">
        <v>0.0</v>
      </c>
      <c r="J310" s="1" t="s">
        <v>369</v>
      </c>
      <c r="K310" s="1" t="s">
        <v>1013</v>
      </c>
      <c r="L310" s="1" t="str">
        <f t="shared" si="1"/>
        <v>EASE-4-0King</v>
      </c>
      <c r="M310" s="1" t="s">
        <v>722</v>
      </c>
      <c r="N310" s="6">
        <v>1499.0</v>
      </c>
      <c r="O310" s="6">
        <v>1499.0</v>
      </c>
      <c r="P310" s="1" t="s">
        <v>468</v>
      </c>
      <c r="Q310" s="7"/>
      <c r="R310" s="1" t="s">
        <v>371</v>
      </c>
      <c r="S310" s="1" t="s">
        <v>31</v>
      </c>
      <c r="T310" s="1" t="s">
        <v>568</v>
      </c>
      <c r="U310" s="7"/>
      <c r="V310" s="7"/>
      <c r="W310" s="7"/>
      <c r="X310" s="7"/>
      <c r="Y310" s="7"/>
      <c r="Z310" s="7"/>
      <c r="AA310" s="11" t="str">
        <f>IFERROR(VLOOKUP(A310,Sheet3!B:H,6,false),VLOOKUP(J310,Sheet2!A:C,2,false))</f>
        <v>#N/A</v>
      </c>
      <c r="AB310" s="11" t="str">
        <f>IFERROR(VLOOKUP(A310,Sheet3!B:H,7,false),VLOOKUP(J310,Sheet2!A:C,3,false))</f>
        <v>#N/A</v>
      </c>
      <c r="AC310" s="8" t="str">
        <f t="shared" si="2"/>
        <v>https://rtg-275.myshopify.com/products/EASE-4-0</v>
      </c>
      <c r="AD310" s="8" t="str">
        <f>vlookup(L310,'Python sheet'!$E$2:$F$373,2,0)</f>
        <v>https://rtg-275.myshopify.com/products/EASE-4-0?variant=47915114201226</v>
      </c>
    </row>
    <row r="311">
      <c r="A311" s="4">
        <v>5.1020003E7</v>
      </c>
      <c r="B311" s="5"/>
      <c r="C311" s="5"/>
      <c r="D311" s="5"/>
      <c r="E311" s="5"/>
      <c r="F311" s="5"/>
      <c r="G311" s="5"/>
      <c r="H311" s="5"/>
      <c r="I311" s="5"/>
      <c r="J311" s="1" t="s">
        <v>723</v>
      </c>
      <c r="K311" s="1" t="s">
        <v>1029</v>
      </c>
      <c r="L311" s="1" t="str">
        <f t="shared" si="1"/>
        <v>IPROTECT-PILLOW-PROTECTORQueen</v>
      </c>
      <c r="M311" s="1" t="s">
        <v>724</v>
      </c>
      <c r="N311" s="6">
        <v>9.99</v>
      </c>
      <c r="O311" s="6">
        <v>9.99</v>
      </c>
      <c r="P311" s="1" t="s">
        <v>663</v>
      </c>
      <c r="Q311" s="7"/>
      <c r="R311" s="1" t="s">
        <v>725</v>
      </c>
      <c r="S311" s="1" t="s">
        <v>31</v>
      </c>
      <c r="T311" s="1" t="s">
        <v>470</v>
      </c>
      <c r="U311" s="7"/>
      <c r="V311" s="7"/>
      <c r="W311" s="7"/>
      <c r="X311" s="7"/>
      <c r="Y311" s="7"/>
      <c r="Z311" s="7"/>
      <c r="AA311" s="8" t="str">
        <f>IFERROR(VLOOKUP(A311,Sheet3!B:H,6,false),VLOOKUP(J311,Sheet2!A:C,2,false))</f>
        <v>https://bedgear.com/cdn/shop/files/iPROTECT-PP-01-ProductShot-Main_07a57982-54a7-462b-a090-cb92f6110793.jpg</v>
      </c>
      <c r="AB311" s="8" t="str">
        <f>IFERROR(VLOOKUP(A311,Sheet3!B:H,7,false),VLOOKUP(J311,Sheet2!A:C,3,false))</f>
        <v>https://bedgear.com/products/iprotect-pillow-protector</v>
      </c>
      <c r="AC311" s="8" t="str">
        <f t="shared" si="2"/>
        <v>https://rtg-275.myshopify.com/products/IPROTECT-PILLOW-PROTECTOR</v>
      </c>
      <c r="AD311" s="8" t="str">
        <f>vlookup(L311,'Python sheet'!$E$2:$F$373,2,0)</f>
        <v>https://rtg-275.myshopify.com/products/IPROTECT-PILLOW-PROTECTOR?variant=47915116789898</v>
      </c>
    </row>
    <row r="312">
      <c r="A312" s="4">
        <v>5.1020015E7</v>
      </c>
      <c r="B312" s="5"/>
      <c r="C312" s="5"/>
      <c r="D312" s="5"/>
      <c r="E312" s="5"/>
      <c r="F312" s="5"/>
      <c r="G312" s="5"/>
      <c r="H312" s="5"/>
      <c r="I312" s="5"/>
      <c r="J312" s="1" t="s">
        <v>723</v>
      </c>
      <c r="K312" s="1" t="s">
        <v>1029</v>
      </c>
      <c r="L312" s="1" t="str">
        <f t="shared" si="1"/>
        <v>IPROTECT-PILLOW-PROTECTORKing</v>
      </c>
      <c r="M312" s="1" t="s">
        <v>726</v>
      </c>
      <c r="N312" s="6">
        <v>14.99</v>
      </c>
      <c r="O312" s="6">
        <v>14.99</v>
      </c>
      <c r="P312" s="1" t="s">
        <v>663</v>
      </c>
      <c r="Q312" s="7"/>
      <c r="R312" s="1" t="s">
        <v>725</v>
      </c>
      <c r="S312" s="1" t="s">
        <v>31</v>
      </c>
      <c r="T312" s="1" t="s">
        <v>568</v>
      </c>
      <c r="U312" s="7"/>
      <c r="V312" s="7"/>
      <c r="W312" s="7"/>
      <c r="X312" s="7"/>
      <c r="Y312" s="7"/>
      <c r="Z312" s="7"/>
      <c r="AA312" s="8" t="str">
        <f>IFERROR(VLOOKUP(A312,Sheet3!B:H,6,false),VLOOKUP(J312,Sheet2!A:C,2,false))</f>
        <v>https://bedgear.com/cdn/shop/files/iPROTECT-PP-01-ProductShot-Main_07a57982-54a7-462b-a090-cb92f6110793.jpg</v>
      </c>
      <c r="AB312" s="8" t="str">
        <f>IFERROR(VLOOKUP(A312,Sheet3!B:H,7,false),VLOOKUP(J312,Sheet2!A:C,3,false))</f>
        <v>https://bedgear.com/products/iprotect-pillow-protector</v>
      </c>
      <c r="AC312" s="8" t="str">
        <f t="shared" si="2"/>
        <v>https://rtg-275.myshopify.com/products/IPROTECT-PILLOW-PROTECTOR</v>
      </c>
      <c r="AD312" s="8" t="str">
        <f>vlookup(L312,'Python sheet'!$E$2:$F$373,2,0)</f>
        <v>https://rtg-275.myshopify.com/products/IPROTECT-PILLOW-PROTECTOR?variant=47915116822666</v>
      </c>
    </row>
    <row r="313">
      <c r="A313" s="4">
        <v>5.1100546E7</v>
      </c>
      <c r="B313" s="5"/>
      <c r="C313" s="5"/>
      <c r="D313" s="5"/>
      <c r="E313" s="5"/>
      <c r="F313" s="5"/>
      <c r="G313" s="5"/>
      <c r="H313" s="5"/>
      <c r="I313" s="5"/>
      <c r="J313" s="1" t="s">
        <v>28</v>
      </c>
      <c r="K313" s="1" t="s">
        <v>968</v>
      </c>
      <c r="L313" s="1" t="str">
        <f t="shared" si="1"/>
        <v>CASPER-CLOUD-ONECali King</v>
      </c>
      <c r="M313" s="1" t="s">
        <v>727</v>
      </c>
      <c r="N313" s="6">
        <v>1319.0</v>
      </c>
      <c r="O313" s="6">
        <v>1649.0</v>
      </c>
      <c r="P313" s="1" t="s">
        <v>30</v>
      </c>
      <c r="Q313" s="7"/>
      <c r="R313" s="7"/>
      <c r="S313" s="1" t="s">
        <v>31</v>
      </c>
      <c r="T313" s="1" t="s">
        <v>728</v>
      </c>
      <c r="U313" s="1" t="s">
        <v>33</v>
      </c>
      <c r="V313" s="1" t="s">
        <v>34</v>
      </c>
      <c r="W313" s="1" t="s">
        <v>35</v>
      </c>
      <c r="X313" s="1" t="s">
        <v>34</v>
      </c>
      <c r="Y313" s="1" t="s">
        <v>36</v>
      </c>
      <c r="Z313" s="1" t="s">
        <v>37</v>
      </c>
      <c r="AA313" s="8" t="str">
        <f>IFERROR(VLOOKUP(A313,Sheet3!B:H,6,false),VLOOKUP(J313,Sheet2!A:C,2,false))</f>
        <v>https://assets.roomstogo.com/product/casper-cloud-one-twin-xl-mattress_50000543_image-item</v>
      </c>
      <c r="AB313" s="8" t="str">
        <f>IFERROR(VLOOKUP(A313,Sheet3!B:H,7,false),VLOOKUP(J313,Sheet2!A:C,3,false))</f>
        <v>https://assets.roomstogo.com/product/casper-cloud-one-twin-xl-mattress_50000543_alt-image-1</v>
      </c>
      <c r="AC313" s="8" t="str">
        <f t="shared" si="2"/>
        <v>https://rtg-275.myshopify.com/products/CASPER-CLOUD-ONE</v>
      </c>
      <c r="AD313" s="8" t="str">
        <f>vlookup(L313,'Python sheet'!$E$2:$F$373,2,0)</f>
        <v>https://rtg-275.myshopify.com/products/CASPER-CLOUD-ONE?variant=47915101683850</v>
      </c>
    </row>
    <row r="314">
      <c r="A314" s="4">
        <v>5.1100572E7</v>
      </c>
      <c r="B314" s="5"/>
      <c r="C314" s="5"/>
      <c r="D314" s="5"/>
      <c r="E314" s="5"/>
      <c r="F314" s="5"/>
      <c r="G314" s="5"/>
      <c r="H314" s="5"/>
      <c r="I314" s="5"/>
      <c r="J314" s="1" t="s">
        <v>38</v>
      </c>
      <c r="K314" s="1" t="s">
        <v>969</v>
      </c>
      <c r="L314" s="1" t="str">
        <f t="shared" si="1"/>
        <v>CASPER-SNOW-2-0California King</v>
      </c>
      <c r="M314" s="1" t="s">
        <v>729</v>
      </c>
      <c r="N314" s="6">
        <v>2595.0</v>
      </c>
      <c r="O314" s="6">
        <v>3295.0</v>
      </c>
      <c r="P314" s="1" t="s">
        <v>30</v>
      </c>
      <c r="Q314" s="7"/>
      <c r="R314" s="1" t="s">
        <v>40</v>
      </c>
      <c r="S314" s="1" t="s">
        <v>31</v>
      </c>
      <c r="T314" s="1" t="s">
        <v>670</v>
      </c>
      <c r="U314" s="1" t="s">
        <v>41</v>
      </c>
      <c r="V314" s="1" t="s">
        <v>34</v>
      </c>
      <c r="W314" s="1" t="s">
        <v>35</v>
      </c>
      <c r="X314" s="1" t="s">
        <v>34</v>
      </c>
      <c r="Y314" s="1" t="s">
        <v>42</v>
      </c>
      <c r="Z314" s="1" t="s">
        <v>37</v>
      </c>
      <c r="AA314" s="8" t="str">
        <f>IFERROR(VLOOKUP(A314,Sheet3!B:H,6,false),VLOOKUP(J314,Sheet2!A:C,2,false))</f>
        <v>https://assets.roomstogo.com/product/casper-snow-20-twin-xl-mattress_50000579_image-item</v>
      </c>
      <c r="AB314" s="8" t="str">
        <f>IFERROR(VLOOKUP(A314,Sheet3!B:H,7,false),VLOOKUP(J314,Sheet2!A:C,3,false))</f>
        <v>https://assets.roomstogo.com/product/casper-snow-20-twin-xl-mattress_50000579_alt-image-1</v>
      </c>
      <c r="AC314" s="8" t="str">
        <f t="shared" si="2"/>
        <v>https://rtg-275.myshopify.com/products/CASPER-SNOW-2-0</v>
      </c>
      <c r="AD314" s="8" t="str">
        <f>vlookup(L314,'Python sheet'!$E$2:$F$373,2,0)</f>
        <v>https://rtg-275.myshopify.com/products/CASPER-SNOW-2-0?variant=47915101880458</v>
      </c>
    </row>
    <row r="315">
      <c r="A315" s="4">
        <v>5.1100584E7</v>
      </c>
      <c r="B315" s="5"/>
      <c r="C315" s="5"/>
      <c r="D315" s="5"/>
      <c r="E315" s="5"/>
      <c r="F315" s="5"/>
      <c r="G315" s="5"/>
      <c r="H315" s="5"/>
      <c r="I315" s="5"/>
      <c r="J315" s="1" t="s">
        <v>46</v>
      </c>
      <c r="K315" s="1" t="s">
        <v>970</v>
      </c>
      <c r="L315" s="1" t="str">
        <f t="shared" si="1"/>
        <v>CASPER-SNOW-MAXCalifornia King</v>
      </c>
      <c r="M315" s="1" t="s">
        <v>730</v>
      </c>
      <c r="N315" s="6">
        <v>3895.0</v>
      </c>
      <c r="O315" s="6">
        <v>4895.0</v>
      </c>
      <c r="P315" s="1" t="s">
        <v>30</v>
      </c>
      <c r="Q315" s="7"/>
      <c r="R315" s="1" t="s">
        <v>48</v>
      </c>
      <c r="S315" s="1" t="s">
        <v>31</v>
      </c>
      <c r="T315" s="1" t="s">
        <v>670</v>
      </c>
      <c r="U315" s="1" t="s">
        <v>41</v>
      </c>
      <c r="V315" s="1" t="s">
        <v>42</v>
      </c>
      <c r="W315" s="1" t="s">
        <v>49</v>
      </c>
      <c r="X315" s="1" t="s">
        <v>34</v>
      </c>
      <c r="Y315" s="1" t="s">
        <v>50</v>
      </c>
      <c r="Z315" s="1" t="s">
        <v>51</v>
      </c>
      <c r="AA315" s="8" t="str">
        <f>IFERROR(VLOOKUP(A315,Sheet3!B:H,6,false),VLOOKUP(J315,Sheet2!A:C,2,false))</f>
        <v>https://assets.roomstogo.com/product/casper-snow-max-twin-xl-mattress_50000581_image-item</v>
      </c>
      <c r="AB315" s="8" t="str">
        <f>IFERROR(VLOOKUP(A315,Sheet3!B:H,7,false),VLOOKUP(J315,Sheet2!A:C,3,false))</f>
        <v>https://assets.roomstogo.com/product/casper-snow-max-twin-xl-mattress_50000581_alt-image-1</v>
      </c>
      <c r="AC315" s="8" t="str">
        <f t="shared" si="2"/>
        <v>https://rtg-275.myshopify.com/products/CASPER-SNOW-MAX</v>
      </c>
      <c r="AD315" s="8" t="str">
        <f>vlookup(L315,'Python sheet'!$E$2:$F$373,2,0)</f>
        <v>https://rtg-275.myshopify.com/products/CASPER-SNOW-MAX?variant=47915102109834</v>
      </c>
    </row>
    <row r="316">
      <c r="A316" s="4">
        <v>5.1100685E7</v>
      </c>
      <c r="B316" s="5"/>
      <c r="C316" s="5"/>
      <c r="D316" s="5"/>
      <c r="E316" s="5"/>
      <c r="F316" s="5"/>
      <c r="G316" s="5"/>
      <c r="H316" s="5"/>
      <c r="I316" s="5"/>
      <c r="J316" s="1" t="s">
        <v>52</v>
      </c>
      <c r="K316" s="1" t="s">
        <v>971</v>
      </c>
      <c r="L316" s="1" t="str">
        <f t="shared" si="1"/>
        <v>CASPER-ONYX-2-0California King</v>
      </c>
      <c r="M316" s="1" t="s">
        <v>731</v>
      </c>
      <c r="N316" s="6">
        <v>1199.0</v>
      </c>
      <c r="O316" s="6">
        <v>1299.0</v>
      </c>
      <c r="P316" s="1" t="s">
        <v>30</v>
      </c>
      <c r="Q316" s="1" t="s">
        <v>54</v>
      </c>
      <c r="R316" s="1" t="s">
        <v>244</v>
      </c>
      <c r="S316" s="1" t="s">
        <v>31</v>
      </c>
      <c r="T316" s="1" t="s">
        <v>670</v>
      </c>
      <c r="U316" s="1" t="s">
        <v>33</v>
      </c>
      <c r="V316" s="1" t="s">
        <v>36</v>
      </c>
      <c r="W316" s="1" t="s">
        <v>35</v>
      </c>
      <c r="X316" s="1" t="s">
        <v>36</v>
      </c>
      <c r="Y316" s="1" t="s">
        <v>36</v>
      </c>
      <c r="Z316" s="1" t="s">
        <v>37</v>
      </c>
      <c r="AA316" s="8" t="str">
        <f>IFERROR(VLOOKUP(A316,Sheet3!B:H,6,false),VLOOKUP(J316,Sheet2!A:C,2,false))</f>
        <v>https://assets.roomstogo.com/product/casper-onyx-20-twin-xl-mattress_50000682_image-item</v>
      </c>
      <c r="AB316" s="8" t="str">
        <f>IFERROR(VLOOKUP(A316,Sheet3!B:H,7,false),VLOOKUP(J316,Sheet2!A:C,3,false))</f>
        <v>https://assets.roomstogo.com/product/casper-onyx-20-twin-xl-mattress_50000682_alt-image-1</v>
      </c>
      <c r="AC316" s="8" t="str">
        <f t="shared" si="2"/>
        <v>https://rtg-275.myshopify.com/products/CASPER-ONYX-2-0</v>
      </c>
      <c r="AD316" s="8" t="str">
        <f>vlookup(L316,'Python sheet'!$E$2:$F$373,2,0)</f>
        <v>https://rtg-275.myshopify.com/products/CASPER-ONYX-2-0?variant=47915102339210</v>
      </c>
    </row>
    <row r="317">
      <c r="A317" s="4">
        <v>5.1101776E7</v>
      </c>
      <c r="B317" s="5"/>
      <c r="C317" s="5"/>
      <c r="D317" s="5"/>
      <c r="E317" s="5"/>
      <c r="F317" s="5"/>
      <c r="G317" s="5"/>
      <c r="H317" s="5"/>
      <c r="I317" s="5"/>
      <c r="J317" s="1" t="s">
        <v>56</v>
      </c>
      <c r="K317" s="1" t="s">
        <v>972</v>
      </c>
      <c r="L317" s="1" t="str">
        <f t="shared" si="1"/>
        <v>SMART-MATCH-2-0California King</v>
      </c>
      <c r="M317" s="1" t="s">
        <v>732</v>
      </c>
      <c r="N317" s="6">
        <v>1777.0</v>
      </c>
      <c r="O317" s="6">
        <v>4899.0</v>
      </c>
      <c r="P317" s="1" t="s">
        <v>58</v>
      </c>
      <c r="Q317" s="7"/>
      <c r="R317" s="7"/>
      <c r="S317" s="7"/>
      <c r="T317" s="1" t="s">
        <v>670</v>
      </c>
      <c r="U317" s="1" t="s">
        <v>59</v>
      </c>
      <c r="V317" s="1" t="s">
        <v>42</v>
      </c>
      <c r="W317" s="1" t="s">
        <v>35</v>
      </c>
      <c r="X317" s="1" t="s">
        <v>42</v>
      </c>
      <c r="Y317" s="1" t="s">
        <v>34</v>
      </c>
      <c r="Z317" s="1" t="s">
        <v>37</v>
      </c>
      <c r="AA317" s="8" t="str">
        <f>IFERROR(VLOOKUP(A317,Sheet3!B:H,6,false),VLOOKUP(J317,Sheet2!A:C,2,false))</f>
        <v>https://assets.roomstogo.com/product/kingsdown-smart-match-20-twin-xl-mattress_50001773_image-item</v>
      </c>
      <c r="AB317" s="8" t="str">
        <f>IFERROR(VLOOKUP(A317,Sheet3!B:H,7,false),VLOOKUP(J317,Sheet2!A:C,3,false))</f>
        <v>https://assets.roomstogo.com/product/kingsdown-smart-match-20-twin-xl-mattress_50001773_alt-image-1</v>
      </c>
      <c r="AC317" s="8" t="str">
        <f t="shared" si="2"/>
        <v>https://rtg-275.myshopify.com/products/SMART-MATCH-2-0</v>
      </c>
      <c r="AD317" s="8" t="str">
        <f>vlookup(L317,'Python sheet'!$E$2:$F$373,2,0)</f>
        <v>https://rtg-275.myshopify.com/products/SMART-MATCH-2-0?variant=47915102634122</v>
      </c>
    </row>
    <row r="318">
      <c r="A318" s="4">
        <v>5.1107463E7</v>
      </c>
      <c r="B318" s="5"/>
      <c r="C318" s="5"/>
      <c r="D318" s="5"/>
      <c r="E318" s="5"/>
      <c r="F318" s="5"/>
      <c r="G318" s="5"/>
      <c r="H318" s="5"/>
      <c r="I318" s="5"/>
      <c r="J318" s="1" t="s">
        <v>62</v>
      </c>
      <c r="K318" s="1" t="s">
        <v>973</v>
      </c>
      <c r="L318" s="1" t="str">
        <f t="shared" si="1"/>
        <v>ADAPT-2-0-MEDIUMCalifornia King</v>
      </c>
      <c r="M318" s="1" t="s">
        <v>733</v>
      </c>
      <c r="N318" s="6">
        <v>2899.0</v>
      </c>
      <c r="O318" s="6">
        <v>2899.0</v>
      </c>
      <c r="P318" s="1" t="s">
        <v>64</v>
      </c>
      <c r="Q318" s="7"/>
      <c r="R318" s="1" t="s">
        <v>65</v>
      </c>
      <c r="S318" s="1" t="s">
        <v>31</v>
      </c>
      <c r="T318" s="1" t="s">
        <v>670</v>
      </c>
      <c r="U318" s="1" t="s">
        <v>33</v>
      </c>
      <c r="V318" s="1" t="s">
        <v>42</v>
      </c>
      <c r="W318" s="1" t="s">
        <v>35</v>
      </c>
      <c r="X318" s="1" t="s">
        <v>42</v>
      </c>
      <c r="Y318" s="1" t="s">
        <v>42</v>
      </c>
      <c r="Z318" s="1" t="s">
        <v>37</v>
      </c>
      <c r="AA318" s="8" t="str">
        <f>IFERROR(VLOOKUP(A318,Sheet3!B:H,6,false),VLOOKUP(J318,Sheet2!A:C,2,false))</f>
        <v>https://assets.roomstogo.com/product/tempur-pedic-adapt-20-medium-twin-xl-mattress_50007460_image-item</v>
      </c>
      <c r="AB318" s="8" t="str">
        <f>IFERROR(VLOOKUP(A318,Sheet3!B:H,7,false),VLOOKUP(J318,Sheet2!A:C,3,false))</f>
        <v>https://assets.roomstogo.com/product/tempur-pedic-adapt-20-medium-twin-xl-mattress_50007460_alt-image-1</v>
      </c>
      <c r="AC318" s="8" t="str">
        <f t="shared" si="2"/>
        <v>https://rtg-275.myshopify.com/products/ADAPT-2-0-MEDIUM</v>
      </c>
      <c r="AD318" s="8" t="str">
        <f>vlookup(L318,'Python sheet'!$E$2:$F$373,2,0)</f>
        <v>https://rtg-275.myshopify.com/products/ADAPT-2-0-MEDIUM?variant=47915102929034</v>
      </c>
    </row>
    <row r="319">
      <c r="A319" s="4">
        <v>5.1107475E7</v>
      </c>
      <c r="B319" s="5"/>
      <c r="C319" s="5"/>
      <c r="D319" s="5"/>
      <c r="E319" s="5"/>
      <c r="F319" s="5"/>
      <c r="G319" s="5"/>
      <c r="H319" s="5"/>
      <c r="I319" s="5"/>
      <c r="J319" s="1" t="s">
        <v>68</v>
      </c>
      <c r="K319" s="1" t="s">
        <v>974</v>
      </c>
      <c r="L319" s="1" t="str">
        <f t="shared" si="1"/>
        <v>ADAPT-2-0-MEDIUM-HYBRIDCalifornia King</v>
      </c>
      <c r="M319" s="1" t="s">
        <v>734</v>
      </c>
      <c r="N319" s="6">
        <v>3199.0</v>
      </c>
      <c r="O319" s="6">
        <v>3199.0</v>
      </c>
      <c r="P319" s="1" t="s">
        <v>64</v>
      </c>
      <c r="Q319" s="7"/>
      <c r="R319" s="1" t="s">
        <v>70</v>
      </c>
      <c r="S319" s="1" t="s">
        <v>31</v>
      </c>
      <c r="T319" s="1" t="s">
        <v>670</v>
      </c>
      <c r="U319" s="1" t="s">
        <v>41</v>
      </c>
      <c r="V319" s="1" t="s">
        <v>42</v>
      </c>
      <c r="W319" s="1" t="s">
        <v>35</v>
      </c>
      <c r="X319" s="1" t="s">
        <v>42</v>
      </c>
      <c r="Y319" s="1" t="s">
        <v>42</v>
      </c>
      <c r="Z319" s="1" t="s">
        <v>37</v>
      </c>
      <c r="AA319" s="8" t="str">
        <f>IFERROR(VLOOKUP(A319,Sheet3!B:H,6,false),VLOOKUP(J319,Sheet2!A:C,2,false))</f>
        <v>https://assets.roomstogo.com/product/tempur-pedic-adapt-20-medium-hybrid-twin-xl-mattress_50007472_image-item</v>
      </c>
      <c r="AB319" s="8" t="str">
        <f>IFERROR(VLOOKUP(A319,Sheet3!B:H,7,false),VLOOKUP(J319,Sheet2!A:C,3,false))</f>
        <v>https://assets.roomstogo.com/product/tempur-pedic-adapt-20-medium-hybrid-twin-xl-mattress_50007472_alt-image-1</v>
      </c>
      <c r="AC319" s="8" t="str">
        <f t="shared" si="2"/>
        <v>https://rtg-275.myshopify.com/products/ADAPT-2-0-MEDIUM-HYBRID</v>
      </c>
      <c r="AD319" s="8" t="str">
        <f>vlookup(L319,'Python sheet'!$E$2:$F$373,2,0)</f>
        <v>https://rtg-275.myshopify.com/products/ADAPT-2-0-MEDIUM-HYBRID?variant=47915103289482</v>
      </c>
    </row>
    <row r="320">
      <c r="A320" s="4">
        <v>5.1107487E7</v>
      </c>
      <c r="B320" s="5"/>
      <c r="C320" s="5"/>
      <c r="D320" s="5"/>
      <c r="E320" s="5"/>
      <c r="F320" s="5"/>
      <c r="G320" s="5"/>
      <c r="H320" s="5"/>
      <c r="I320" s="5"/>
      <c r="J320" s="1" t="s">
        <v>73</v>
      </c>
      <c r="K320" s="1" t="s">
        <v>975</v>
      </c>
      <c r="L320" s="1" t="str">
        <f t="shared" si="1"/>
        <v>PROADAPT-2-0-FIRMCalifornia King</v>
      </c>
      <c r="M320" s="1" t="s">
        <v>735</v>
      </c>
      <c r="N320" s="6">
        <v>4099.0</v>
      </c>
      <c r="O320" s="6">
        <v>4099.0</v>
      </c>
      <c r="P320" s="1" t="s">
        <v>64</v>
      </c>
      <c r="Q320" s="7"/>
      <c r="R320" s="1" t="s">
        <v>75</v>
      </c>
      <c r="S320" s="1" t="s">
        <v>31</v>
      </c>
      <c r="T320" s="1" t="s">
        <v>670</v>
      </c>
      <c r="U320" s="1" t="s">
        <v>33</v>
      </c>
      <c r="V320" s="1" t="s">
        <v>42</v>
      </c>
      <c r="W320" s="1" t="s">
        <v>76</v>
      </c>
      <c r="X320" s="1" t="s">
        <v>50</v>
      </c>
      <c r="Y320" s="1" t="s">
        <v>42</v>
      </c>
      <c r="Z320" s="1" t="s">
        <v>77</v>
      </c>
      <c r="AA320" s="8" t="str">
        <f>IFERROR(VLOOKUP(A320,Sheet3!B:H,6,false),VLOOKUP(J320,Sheet2!A:C,2,false))</f>
        <v>https://assets.roomstogo.com/product/tempur-pedic-proadapt-20-firm-twin-xl-mattress_50007484_image-item</v>
      </c>
      <c r="AB320" s="8" t="str">
        <f>IFERROR(VLOOKUP(A320,Sheet3!B:H,7,false),VLOOKUP(J320,Sheet2!A:C,3,false))</f>
        <v>https://assets.roomstogo.com/product/tempur-pedic-proadapt-20-firm-twin-xl-mattress_50007484_alt-image-1</v>
      </c>
      <c r="AC320" s="8" t="str">
        <f t="shared" si="2"/>
        <v>https://rtg-275.myshopify.com/products/PROADAPT-2-0-FIRM</v>
      </c>
      <c r="AD320" s="8" t="str">
        <f>vlookup(L320,'Python sheet'!$E$2:$F$373,2,0)</f>
        <v>https://rtg-275.myshopify.com/products/PROADAPT-2-0-FIRM?variant=47915103617162</v>
      </c>
    </row>
    <row r="321">
      <c r="A321" s="4">
        <v>5.1107514E7</v>
      </c>
      <c r="B321" s="5"/>
      <c r="C321" s="5"/>
      <c r="D321" s="5"/>
      <c r="E321" s="5"/>
      <c r="F321" s="5"/>
      <c r="G321" s="5"/>
      <c r="H321" s="5"/>
      <c r="I321" s="5"/>
      <c r="J321" s="1" t="s">
        <v>80</v>
      </c>
      <c r="K321" s="1" t="s">
        <v>976</v>
      </c>
      <c r="L321" s="1" t="str">
        <f t="shared" si="1"/>
        <v>PROBREEZE-2-0-MEDIUM-HYBRIDCalifornia King</v>
      </c>
      <c r="M321" s="1" t="s">
        <v>736</v>
      </c>
      <c r="N321" s="6">
        <v>5099.0</v>
      </c>
      <c r="O321" s="6">
        <v>5099.0</v>
      </c>
      <c r="P321" s="1" t="s">
        <v>64</v>
      </c>
      <c r="Q321" s="7"/>
      <c r="R321" s="1" t="s">
        <v>82</v>
      </c>
      <c r="S321" s="1" t="s">
        <v>31</v>
      </c>
      <c r="T321" s="1" t="s">
        <v>670</v>
      </c>
      <c r="U321" s="1" t="s">
        <v>41</v>
      </c>
      <c r="V321" s="1" t="s">
        <v>42</v>
      </c>
      <c r="W321" s="1" t="s">
        <v>35</v>
      </c>
      <c r="X321" s="1" t="s">
        <v>50</v>
      </c>
      <c r="Y321" s="1" t="s">
        <v>50</v>
      </c>
      <c r="Z321" s="1" t="s">
        <v>37</v>
      </c>
      <c r="AA321" s="8" t="str">
        <f>IFERROR(VLOOKUP(A321,Sheet3!B:H,6,false),VLOOKUP(J321,Sheet2!A:C,2,false))</f>
        <v>https://assets.roomstogo.com/product/tempur-pedic-probreeze-20-medium-hybrid-twin-xl-mattress_50007511_image-item</v>
      </c>
      <c r="AB321" s="8" t="str">
        <f>IFERROR(VLOOKUP(A321,Sheet3!B:H,7,false),VLOOKUP(J321,Sheet2!A:C,3,false))</f>
        <v>https://assets.roomstogo.com/product/tempur-pedic-probreeze-20-medium-hybrid-twin-xl-mattress_50007511_image-item</v>
      </c>
      <c r="AC321" s="8" t="str">
        <f t="shared" si="2"/>
        <v>https://rtg-275.myshopify.com/products/PROBREEZE-2-0-MEDIUM-HYBRID</v>
      </c>
      <c r="AD321" s="8" t="str">
        <f>vlookup(L321,'Python sheet'!$E$2:$F$373,2,0)</f>
        <v>https://rtg-275.myshopify.com/products/PROBREEZE-2-0-MEDIUM-HYBRID?variant=47915104141450</v>
      </c>
    </row>
    <row r="322">
      <c r="A322" s="4">
        <v>5.1107526E7</v>
      </c>
      <c r="B322" s="9">
        <v>1.0</v>
      </c>
      <c r="C322" s="9">
        <v>5.0</v>
      </c>
      <c r="D322" s="2" t="s">
        <v>83</v>
      </c>
      <c r="E322" s="2" t="s">
        <v>44</v>
      </c>
      <c r="F322" s="2" t="s">
        <v>84</v>
      </c>
      <c r="G322" s="9">
        <v>5219.0</v>
      </c>
      <c r="H322" s="9">
        <v>4.27</v>
      </c>
      <c r="I322" s="9">
        <v>5218.0</v>
      </c>
      <c r="J322" s="1" t="s">
        <v>85</v>
      </c>
      <c r="K322" s="1" t="s">
        <v>977</v>
      </c>
      <c r="L322" s="1" t="str">
        <f t="shared" si="1"/>
        <v>PROADAPT-2-0-MEDIUMCalifornia King</v>
      </c>
      <c r="M322" s="1" t="s">
        <v>737</v>
      </c>
      <c r="N322" s="6">
        <v>4099.0</v>
      </c>
      <c r="O322" s="6">
        <v>4099.0</v>
      </c>
      <c r="P322" s="1" t="s">
        <v>64</v>
      </c>
      <c r="Q322" s="7"/>
      <c r="R322" s="1" t="s">
        <v>75</v>
      </c>
      <c r="S322" s="1" t="s">
        <v>31</v>
      </c>
      <c r="T322" s="1" t="s">
        <v>670</v>
      </c>
      <c r="U322" s="1" t="s">
        <v>33</v>
      </c>
      <c r="V322" s="1" t="s">
        <v>42</v>
      </c>
      <c r="W322" s="1" t="s">
        <v>35</v>
      </c>
      <c r="X322" s="1" t="s">
        <v>50</v>
      </c>
      <c r="Y322" s="1" t="s">
        <v>42</v>
      </c>
      <c r="Z322" s="1" t="s">
        <v>37</v>
      </c>
      <c r="AA322" s="8" t="str">
        <f>IFERROR(VLOOKUP(A322,Sheet3!B:H,6,false),VLOOKUP(J322,Sheet2!A:C,2,false))</f>
        <v>https://assets.roomstogo.com/product/tempur-pedic-proadapt-20-medium-twin-xl-mattress_50007523_image-item</v>
      </c>
      <c r="AB322" s="8" t="str">
        <f>IFERROR(VLOOKUP(A322,Sheet3!B:H,7,false),VLOOKUP(J322,Sheet2!A:C,3,false))</f>
        <v>https://assets.roomstogo.com/product/tempur-pedic-proadapt-20-medium-twin-xl-mattress_50007523_alt-image-1</v>
      </c>
      <c r="AC322" s="8" t="str">
        <f t="shared" si="2"/>
        <v>https://rtg-275.myshopify.com/products/PROADAPT-2-0-MEDIUM</v>
      </c>
      <c r="AD322" s="8" t="str">
        <f>vlookup(L322,'Python sheet'!$E$2:$F$373,2,0)</f>
        <v>https://rtg-275.myshopify.com/products/PROADAPT-2-0-MEDIUM?variant=47915104469130</v>
      </c>
    </row>
    <row r="323">
      <c r="A323" s="4">
        <v>5.1107538E7</v>
      </c>
      <c r="B323" s="5"/>
      <c r="C323" s="5"/>
      <c r="D323" s="5"/>
      <c r="E323" s="5"/>
      <c r="F323" s="5"/>
      <c r="G323" s="5"/>
      <c r="H323" s="5"/>
      <c r="I323" s="5"/>
      <c r="J323" s="1" t="s">
        <v>89</v>
      </c>
      <c r="K323" s="1" t="s">
        <v>978</v>
      </c>
      <c r="L323" s="1" t="str">
        <f t="shared" si="1"/>
        <v>PROADAPT-2-0-SOFTCalifornia King</v>
      </c>
      <c r="M323" s="1" t="s">
        <v>738</v>
      </c>
      <c r="N323" s="6">
        <v>4099.0</v>
      </c>
      <c r="O323" s="6">
        <v>4099.0</v>
      </c>
      <c r="P323" s="1" t="s">
        <v>64</v>
      </c>
      <c r="Q323" s="7"/>
      <c r="R323" s="1" t="s">
        <v>91</v>
      </c>
      <c r="S323" s="1" t="s">
        <v>31</v>
      </c>
      <c r="T323" s="1" t="s">
        <v>670</v>
      </c>
      <c r="U323" s="1" t="s">
        <v>33</v>
      </c>
      <c r="V323" s="1" t="s">
        <v>50</v>
      </c>
      <c r="W323" s="1" t="s">
        <v>49</v>
      </c>
      <c r="X323" s="1" t="s">
        <v>50</v>
      </c>
      <c r="Y323" s="1" t="s">
        <v>42</v>
      </c>
      <c r="Z323" s="1" t="s">
        <v>51</v>
      </c>
      <c r="AA323" s="8" t="str">
        <f>IFERROR(VLOOKUP(A323,Sheet3!B:H,6,false),VLOOKUP(J323,Sheet2!A:C,2,false))</f>
        <v>https://assets.roomstogo.com/product/tempur-pedic-proadapt-20-soft-twin-xl-mattress_50007535_image-item</v>
      </c>
      <c r="AB323" s="8" t="str">
        <f>IFERROR(VLOOKUP(A323,Sheet3!B:H,7,false),VLOOKUP(J323,Sheet2!A:C,3,false))</f>
        <v>https://assets.roomstogo.com/product/tempur-pedic-proadapt-20-soft-twin-xl-mattress_50007535_alt-image-1</v>
      </c>
      <c r="AC323" s="8" t="str">
        <f t="shared" si="2"/>
        <v>https://rtg-275.myshopify.com/products/PROADAPT-2-0-SOFT</v>
      </c>
      <c r="AD323" s="8" t="str">
        <f>vlookup(L323,'Python sheet'!$E$2:$F$373,2,0)</f>
        <v>https://rtg-275.myshopify.com/products/PROADAPT-2-0-SOFT?variant=47915104731274</v>
      </c>
    </row>
    <row r="324">
      <c r="A324" s="4">
        <v>5.1107552E7</v>
      </c>
      <c r="B324" s="5"/>
      <c r="C324" s="5"/>
      <c r="D324" s="5"/>
      <c r="E324" s="5"/>
      <c r="F324" s="5"/>
      <c r="G324" s="5"/>
      <c r="H324" s="5"/>
      <c r="I324" s="5"/>
      <c r="J324" s="1" t="s">
        <v>94</v>
      </c>
      <c r="K324" s="1" t="s">
        <v>979</v>
      </c>
      <c r="L324" s="1" t="str">
        <f t="shared" si="1"/>
        <v>PROADAPT-2-0-MEDIUM-HYBRIDCalifornia King</v>
      </c>
      <c r="M324" s="1" t="s">
        <v>739</v>
      </c>
      <c r="N324" s="6">
        <v>4099.0</v>
      </c>
      <c r="O324" s="6">
        <v>4099.0</v>
      </c>
      <c r="P324" s="1" t="s">
        <v>64</v>
      </c>
      <c r="Q324" s="7"/>
      <c r="R324" s="1" t="s">
        <v>390</v>
      </c>
      <c r="S324" s="1" t="s">
        <v>31</v>
      </c>
      <c r="T324" s="1" t="s">
        <v>670</v>
      </c>
      <c r="U324" s="1" t="s">
        <v>41</v>
      </c>
      <c r="V324" s="1" t="s">
        <v>42</v>
      </c>
      <c r="W324" s="1" t="s">
        <v>35</v>
      </c>
      <c r="X324" s="1" t="s">
        <v>50</v>
      </c>
      <c r="Y324" s="1" t="s">
        <v>42</v>
      </c>
      <c r="Z324" s="1" t="s">
        <v>37</v>
      </c>
      <c r="AA324" s="8" t="str">
        <f>IFERROR(VLOOKUP(A324,Sheet3!B:H,6,false),VLOOKUP(J324,Sheet2!A:C,2,false))</f>
        <v>https://assets.roomstogo.com/product/tempur-pedic-proadapt-20-medium-hybrid-twin-xl-mattress_50007559_image-item</v>
      </c>
      <c r="AB324" s="8" t="str">
        <f>IFERROR(VLOOKUP(A324,Sheet3!B:H,7,false),VLOOKUP(J324,Sheet2!A:C,3,false))</f>
        <v>https://assets.roomstogo.com/product/tempur-pedic-proadapt-20-medium-hybrid-twin-xl-mattress_50007559_alt-image-1</v>
      </c>
      <c r="AC324" s="8" t="str">
        <f t="shared" si="2"/>
        <v>https://rtg-275.myshopify.com/products/PROADAPT-2-0-MEDIUM-HYBRID</v>
      </c>
      <c r="AD324" s="8" t="str">
        <f>vlookup(L324,'Python sheet'!$E$2:$F$373,2,0)</f>
        <v>https://rtg-275.myshopify.com/products/PROADAPT-2-0-MEDIUM-HYBRID?variant=47915105058954</v>
      </c>
    </row>
    <row r="325">
      <c r="A325" s="4">
        <v>5.1107564E7</v>
      </c>
      <c r="B325" s="5"/>
      <c r="C325" s="5"/>
      <c r="D325" s="5"/>
      <c r="E325" s="5"/>
      <c r="F325" s="5"/>
      <c r="G325" s="5"/>
      <c r="H325" s="5"/>
      <c r="I325" s="5"/>
      <c r="J325" s="1" t="s">
        <v>99</v>
      </c>
      <c r="K325" s="1" t="s">
        <v>980</v>
      </c>
      <c r="L325" s="1" t="str">
        <f t="shared" si="1"/>
        <v>LUXEADAPT-2-0-SOFTCalifornia King</v>
      </c>
      <c r="M325" s="1" t="s">
        <v>740</v>
      </c>
      <c r="N325" s="6">
        <v>5399.0</v>
      </c>
      <c r="O325" s="6">
        <v>5399.0</v>
      </c>
      <c r="P325" s="1" t="s">
        <v>64</v>
      </c>
      <c r="Q325" s="7"/>
      <c r="R325" s="1" t="s">
        <v>101</v>
      </c>
      <c r="S325" s="1" t="s">
        <v>31</v>
      </c>
      <c r="T325" s="1" t="s">
        <v>670</v>
      </c>
      <c r="U325" s="1" t="s">
        <v>33</v>
      </c>
      <c r="V325" s="1" t="s">
        <v>50</v>
      </c>
      <c r="W325" s="1" t="s">
        <v>49</v>
      </c>
      <c r="X325" s="1" t="s">
        <v>50</v>
      </c>
      <c r="Y325" s="1" t="s">
        <v>42</v>
      </c>
      <c r="Z325" s="1" t="s">
        <v>51</v>
      </c>
      <c r="AA325" s="8" t="str">
        <f>IFERROR(VLOOKUP(A325,Sheet3!B:H,6,false),VLOOKUP(J325,Sheet2!A:C,2,false))</f>
        <v>https://assets.roomstogo.com/product/tempur-pedic-luxeadapt-20-soft-twin-xl-mattress_50007561_image-item</v>
      </c>
      <c r="AB325" s="8" t="str">
        <f>IFERROR(VLOOKUP(A325,Sheet3!B:H,7,false),VLOOKUP(J325,Sheet2!A:C,3,false))</f>
        <v>https://assets.roomstogo.com/product/tempur-pedic-luxeadapt-20-soft-twin-xl-mattress_50007561_alt-image-1</v>
      </c>
      <c r="AC325" s="8" t="str">
        <f t="shared" si="2"/>
        <v>https://rtg-275.myshopify.com/products/LUXEADAPT-2-0-SOFT</v>
      </c>
      <c r="AD325" s="8" t="str">
        <f>vlookup(L325,'Python sheet'!$E$2:$F$373,2,0)</f>
        <v>https://rtg-275.myshopify.com/products/LUXEADAPT-2-0-SOFT?variant=47915105255562</v>
      </c>
    </row>
    <row r="326">
      <c r="A326" s="4">
        <v>5.1107588E7</v>
      </c>
      <c r="B326" s="5"/>
      <c r="C326" s="5"/>
      <c r="D326" s="5"/>
      <c r="E326" s="5"/>
      <c r="F326" s="5"/>
      <c r="G326" s="5"/>
      <c r="H326" s="5"/>
      <c r="I326" s="5"/>
      <c r="J326" s="1" t="s">
        <v>104</v>
      </c>
      <c r="K326" s="1" t="s">
        <v>981</v>
      </c>
      <c r="L326" s="1" t="str">
        <f t="shared" si="1"/>
        <v>LUXEADAPT-2-0-MEDIUM-HYBRIDCalifornia King</v>
      </c>
      <c r="M326" s="1" t="s">
        <v>741</v>
      </c>
      <c r="N326" s="6">
        <v>5399.0</v>
      </c>
      <c r="O326" s="6">
        <v>5399.0</v>
      </c>
      <c r="P326" s="1" t="s">
        <v>64</v>
      </c>
      <c r="Q326" s="7"/>
      <c r="R326" s="1" t="s">
        <v>106</v>
      </c>
      <c r="S326" s="1" t="s">
        <v>31</v>
      </c>
      <c r="T326" s="1" t="s">
        <v>670</v>
      </c>
      <c r="U326" s="1" t="s">
        <v>41</v>
      </c>
      <c r="V326" s="1" t="s">
        <v>50</v>
      </c>
      <c r="W326" s="1" t="s">
        <v>35</v>
      </c>
      <c r="X326" s="1" t="s">
        <v>50</v>
      </c>
      <c r="Y326" s="1" t="s">
        <v>42</v>
      </c>
      <c r="Z326" s="1" t="s">
        <v>37</v>
      </c>
      <c r="AA326" s="8" t="str">
        <f>IFERROR(VLOOKUP(A326,Sheet3!B:H,6,false),VLOOKUP(J326,Sheet2!A:C,2,false))</f>
        <v>https://assets.roomstogo.com/product/tempur-pedic-luxeadapt-20-medium-hybrid-twin-xl-mattress_50007585_image-item</v>
      </c>
      <c r="AB326" s="8" t="str">
        <f>IFERROR(VLOOKUP(A326,Sheet3!B:H,7,false),VLOOKUP(J326,Sheet2!A:C,3,false))</f>
        <v>https://assets.roomstogo.com/product/tempur-pedic-luxeadapt-20-medium-hybrid-twin-xl-mattress_50007585_alt-image-1</v>
      </c>
      <c r="AC326" s="8" t="str">
        <f t="shared" si="2"/>
        <v>https://rtg-275.myshopify.com/products/LUXEADAPT-2-0-MEDIUM-HYBRID</v>
      </c>
      <c r="AD326" s="8" t="str">
        <f>vlookup(L326,'Python sheet'!$E$2:$F$373,2,0)</f>
        <v>https://rtg-275.myshopify.com/products/LUXEADAPT-2-0-MEDIUM-HYBRID?variant=47915105484938</v>
      </c>
    </row>
    <row r="327">
      <c r="A327" s="4">
        <v>5.1107627E7</v>
      </c>
      <c r="B327" s="5"/>
      <c r="C327" s="5"/>
      <c r="D327" s="5"/>
      <c r="E327" s="5"/>
      <c r="F327" s="5"/>
      <c r="G327" s="5"/>
      <c r="H327" s="5"/>
      <c r="I327" s="5"/>
      <c r="J327" s="1" t="s">
        <v>109</v>
      </c>
      <c r="K327" s="1" t="s">
        <v>982</v>
      </c>
      <c r="L327" s="1" t="str">
        <f t="shared" si="1"/>
        <v>LUXEBREEZE-2-0-FIRMCalifornia King</v>
      </c>
      <c r="M327" s="1" t="s">
        <v>742</v>
      </c>
      <c r="N327" s="6">
        <v>6399.0</v>
      </c>
      <c r="O327" s="6">
        <v>6399.0</v>
      </c>
      <c r="P327" s="1" t="s">
        <v>64</v>
      </c>
      <c r="Q327" s="7"/>
      <c r="R327" s="1" t="s">
        <v>111</v>
      </c>
      <c r="S327" s="1" t="s">
        <v>31</v>
      </c>
      <c r="T327" s="1" t="s">
        <v>670</v>
      </c>
      <c r="U327" s="1" t="s">
        <v>33</v>
      </c>
      <c r="V327" s="1" t="s">
        <v>50</v>
      </c>
      <c r="W327" s="1" t="s">
        <v>76</v>
      </c>
      <c r="X327" s="1" t="s">
        <v>50</v>
      </c>
      <c r="Y327" s="1" t="s">
        <v>50</v>
      </c>
      <c r="Z327" s="1" t="s">
        <v>77</v>
      </c>
      <c r="AA327" s="8" t="str">
        <f>IFERROR(VLOOKUP(A327,Sheet3!B:H,6,false),VLOOKUP(J327,Sheet2!A:C,2,false))</f>
        <v>https://assets.roomstogo.com/product/tempur-pedic-luxebreeze-20-firm-twin-xl-mattress_50007624_image-item</v>
      </c>
      <c r="AB327" s="8" t="str">
        <f>IFERROR(VLOOKUP(A327,Sheet3!B:H,7,false),VLOOKUP(J327,Sheet2!A:C,3,false))</f>
        <v>https://assets.roomstogo.com/product/tempur-pedic-luxebreeze-20-firm-twin-xl-mattress_50007624_image-item</v>
      </c>
      <c r="AC327" s="8" t="str">
        <f t="shared" si="2"/>
        <v>https://rtg-275.myshopify.com/products/LUXEBREEZE-2-0-FIRM</v>
      </c>
      <c r="AD327" s="8" t="str">
        <f>vlookup(L327,'Python sheet'!$E$2:$F$373,2,0)</f>
        <v>https://rtg-275.myshopify.com/products/LUXEBREEZE-2-0-FIRM?variant=47915105681546</v>
      </c>
    </row>
    <row r="328">
      <c r="A328" s="4">
        <v>5.1109873E7</v>
      </c>
      <c r="B328" s="5"/>
      <c r="C328" s="5"/>
      <c r="D328" s="5"/>
      <c r="E328" s="5"/>
      <c r="F328" s="5"/>
      <c r="G328" s="5"/>
      <c r="H328" s="5"/>
      <c r="I328" s="5"/>
      <c r="J328" s="1" t="s">
        <v>112</v>
      </c>
      <c r="K328" s="1" t="s">
        <v>983</v>
      </c>
      <c r="L328" s="1" t="str">
        <f t="shared" si="1"/>
        <v>TUFT-NEEDLE-STITCH-TN3-1Cali King</v>
      </c>
      <c r="M328" s="1" t="s">
        <v>743</v>
      </c>
      <c r="N328" s="6">
        <v>1397.0</v>
      </c>
      <c r="O328" s="6">
        <v>1699.0</v>
      </c>
      <c r="P328" s="1" t="s">
        <v>114</v>
      </c>
      <c r="Q328" s="1" t="s">
        <v>54</v>
      </c>
      <c r="R328" s="7"/>
      <c r="S328" s="1" t="s">
        <v>31</v>
      </c>
      <c r="T328" s="1" t="s">
        <v>728</v>
      </c>
      <c r="U328" s="1" t="s">
        <v>41</v>
      </c>
      <c r="V328" s="1" t="s">
        <v>34</v>
      </c>
      <c r="W328" s="1" t="s">
        <v>35</v>
      </c>
      <c r="X328" s="1" t="s">
        <v>34</v>
      </c>
      <c r="Y328" s="1" t="s">
        <v>34</v>
      </c>
      <c r="Z328" s="1" t="s">
        <v>37</v>
      </c>
      <c r="AA328" s="8" t="str">
        <f>IFERROR(VLOOKUP(A328,Sheet3!B:H,6,false),VLOOKUP(J328,Sheet2!A:C,2,false))</f>
        <v>https://assets.roomstogo.com/product/tuft-needle-stitch-tn31-twin-xl-mattress_50009870_image-item</v>
      </c>
      <c r="AB328" s="8" t="str">
        <f>IFERROR(VLOOKUP(A328,Sheet3!B:H,7,false),VLOOKUP(J328,Sheet2!A:C,3,false))</f>
        <v>https://assets.roomstogo.com/product/tuft-needle-stitch-tn31-twin-xl-mattress_50009870_alt-image-1</v>
      </c>
      <c r="AC328" s="8" t="str">
        <f t="shared" si="2"/>
        <v>https://rtg-275.myshopify.com/products/TUFT-NEEDLE-STITCH-TN3-1</v>
      </c>
      <c r="AD328" s="8" t="str">
        <f>vlookup(L328,'Python sheet'!$E$2:$F$373,2,0)</f>
        <v>https://rtg-275.myshopify.com/products/TUFT-NEEDLE-STITCH-TN3-1?variant=47915106074762</v>
      </c>
    </row>
    <row r="329">
      <c r="A329" s="4">
        <v>5.1109885E7</v>
      </c>
      <c r="B329" s="5"/>
      <c r="C329" s="5"/>
      <c r="D329" s="5"/>
      <c r="E329" s="5"/>
      <c r="F329" s="5"/>
      <c r="G329" s="5"/>
      <c r="H329" s="5"/>
      <c r="I329" s="5"/>
      <c r="J329" s="1" t="s">
        <v>115</v>
      </c>
      <c r="K329" s="1" t="s">
        <v>984</v>
      </c>
      <c r="L329" s="1" t="str">
        <f t="shared" si="1"/>
        <v>TUFT-NEEDLE-STITCH-TN5-1Cali King</v>
      </c>
      <c r="M329" s="1" t="s">
        <v>744</v>
      </c>
      <c r="N329" s="6">
        <v>1495.0</v>
      </c>
      <c r="O329" s="6">
        <v>2199.0</v>
      </c>
      <c r="P329" s="1" t="s">
        <v>114</v>
      </c>
      <c r="Q329" s="1" t="s">
        <v>54</v>
      </c>
      <c r="R329" s="7"/>
      <c r="S329" s="1" t="s">
        <v>31</v>
      </c>
      <c r="T329" s="1" t="s">
        <v>728</v>
      </c>
      <c r="U329" s="1" t="s">
        <v>41</v>
      </c>
      <c r="V329" s="1" t="s">
        <v>42</v>
      </c>
      <c r="W329" s="1" t="s">
        <v>76</v>
      </c>
      <c r="X329" s="1" t="s">
        <v>42</v>
      </c>
      <c r="Y329" s="1" t="s">
        <v>42</v>
      </c>
      <c r="Z329" s="1" t="s">
        <v>77</v>
      </c>
      <c r="AA329" s="8" t="str">
        <f>IFERROR(VLOOKUP(A329,Sheet3!B:H,6,false),VLOOKUP(J329,Sheet2!A:C,2,false))</f>
        <v>https://assets.roomstogo.com/product/tuft-needle-stitch-tn51-twin-xl-mattress_50009882_image-item</v>
      </c>
      <c r="AB329" s="8" t="str">
        <f>IFERROR(VLOOKUP(A329,Sheet3!B:H,7,false),VLOOKUP(J329,Sheet2!A:C,3,false))</f>
        <v>https://assets.roomstogo.com/product/tuft-needle-stitch-tn51-twin-xl-mattress_50009882_alt-image-1</v>
      </c>
      <c r="AC329" s="8" t="str">
        <f t="shared" si="2"/>
        <v>https://rtg-275.myshopify.com/products/TUFT-NEEDLE-STITCH-TN5-1</v>
      </c>
      <c r="AD329" s="8" t="str">
        <f>vlookup(L329,'Python sheet'!$E$2:$F$373,2,0)</f>
        <v>https://rtg-275.myshopify.com/products/TUFT-NEEDLE-STITCH-TN5-1?variant=47915106304138</v>
      </c>
    </row>
    <row r="330">
      <c r="A330" s="4">
        <v>5.11099E7</v>
      </c>
      <c r="B330" s="5"/>
      <c r="C330" s="5"/>
      <c r="D330" s="5"/>
      <c r="E330" s="5"/>
      <c r="F330" s="5"/>
      <c r="G330" s="5"/>
      <c r="H330" s="5"/>
      <c r="I330" s="5"/>
      <c r="J330" s="1" t="s">
        <v>117</v>
      </c>
      <c r="K330" s="1" t="s">
        <v>985</v>
      </c>
      <c r="L330" s="1" t="str">
        <f t="shared" si="1"/>
        <v>TUFT-NEEDLE-STITCH-TN9-1California King</v>
      </c>
      <c r="M330" s="1" t="s">
        <v>745</v>
      </c>
      <c r="N330" s="6">
        <v>2497.0</v>
      </c>
      <c r="O330" s="6">
        <v>2999.0</v>
      </c>
      <c r="P330" s="1" t="s">
        <v>114</v>
      </c>
      <c r="Q330" s="1" t="s">
        <v>54</v>
      </c>
      <c r="R330" s="7"/>
      <c r="S330" s="1" t="s">
        <v>31</v>
      </c>
      <c r="T330" s="1" t="s">
        <v>670</v>
      </c>
      <c r="U330" s="1" t="s">
        <v>41</v>
      </c>
      <c r="V330" s="1" t="s">
        <v>50</v>
      </c>
      <c r="W330" s="1" t="s">
        <v>49</v>
      </c>
      <c r="X330" s="1" t="s">
        <v>42</v>
      </c>
      <c r="Y330" s="1" t="s">
        <v>42</v>
      </c>
      <c r="Z330" s="1" t="s">
        <v>51</v>
      </c>
      <c r="AA330" s="8" t="str">
        <f>IFERROR(VLOOKUP(A330,Sheet3!B:H,6,false),VLOOKUP(J330,Sheet2!A:C,2,false))</f>
        <v>https://assets.roomstogo.com/product/tuft-needle-stitch-tn91-twin-xl-mattress_50009907_image-item</v>
      </c>
      <c r="AB330" s="8" t="str">
        <f>IFERROR(VLOOKUP(A330,Sheet3!B:H,7,false),VLOOKUP(J330,Sheet2!A:C,3,false))</f>
        <v>https://assets.roomstogo.com/product/tuft-needle-stitch-tn91-twin-xl-mattress_50009907_alt-image-1</v>
      </c>
      <c r="AC330" s="8" t="str">
        <f t="shared" si="2"/>
        <v>https://rtg-275.myshopify.com/products/TUFT-NEEDLE-STITCH-TN9-1</v>
      </c>
      <c r="AD330" s="8" t="str">
        <f>vlookup(L330,'Python sheet'!$E$2:$F$373,2,0)</f>
        <v>https://rtg-275.myshopify.com/products/TUFT-NEEDLE-STITCH-TN9-1?variant=47915106730122</v>
      </c>
    </row>
    <row r="331">
      <c r="A331" s="4">
        <v>5.1109936E7</v>
      </c>
      <c r="B331" s="5"/>
      <c r="C331" s="5"/>
      <c r="D331" s="5"/>
      <c r="E331" s="5"/>
      <c r="F331" s="5"/>
      <c r="G331" s="5"/>
      <c r="H331" s="5"/>
      <c r="I331" s="5"/>
      <c r="J331" s="1" t="s">
        <v>119</v>
      </c>
      <c r="K331" s="1" t="s">
        <v>986</v>
      </c>
      <c r="L331" s="1" t="str">
        <f t="shared" si="1"/>
        <v>TUFT-NEEDLE-TN1California King</v>
      </c>
      <c r="M331" s="1" t="s">
        <v>746</v>
      </c>
      <c r="N331" s="6">
        <v>1177.0</v>
      </c>
      <c r="O331" s="6">
        <v>1299.0</v>
      </c>
      <c r="P331" s="1" t="s">
        <v>114</v>
      </c>
      <c r="Q331" s="1" t="s">
        <v>54</v>
      </c>
      <c r="R331" s="1" t="s">
        <v>121</v>
      </c>
      <c r="S331" s="1" t="s">
        <v>31</v>
      </c>
      <c r="T331" s="1" t="s">
        <v>670</v>
      </c>
      <c r="U331" s="1" t="s">
        <v>33</v>
      </c>
      <c r="V331" s="1" t="s">
        <v>36</v>
      </c>
      <c r="W331" s="1" t="s">
        <v>76</v>
      </c>
      <c r="X331" s="1" t="s">
        <v>36</v>
      </c>
      <c r="Y331" s="1" t="s">
        <v>36</v>
      </c>
      <c r="Z331" s="1" t="s">
        <v>77</v>
      </c>
      <c r="AA331" s="8" t="str">
        <f>IFERROR(VLOOKUP(A331,Sheet3!B:H,6,false),VLOOKUP(J331,Sheet2!A:C,2,false))</f>
        <v>https://assets.roomstogo.com/product/tuft-needle-tn1-twin-xl-mattress_50009933_image-item</v>
      </c>
      <c r="AB331" s="8" t="str">
        <f>IFERROR(VLOOKUP(A331,Sheet3!B:H,7,false),VLOOKUP(J331,Sheet2!A:C,3,false))</f>
        <v>https://assets.roomstogo.com/product/tuft-needle-tn1-twin-xl-mattress_50009933_alt-image-1</v>
      </c>
      <c r="AC331" s="8" t="str">
        <f t="shared" si="2"/>
        <v>https://rtg-275.myshopify.com/products/TUFT-NEEDLE-TN1</v>
      </c>
      <c r="AD331" s="8" t="str">
        <f>vlookup(L331,'Python sheet'!$E$2:$F$373,2,0)</f>
        <v>https://rtg-275.myshopify.com/products/TUFT-NEEDLE-TN1?variant=47915106992266</v>
      </c>
    </row>
    <row r="332">
      <c r="A332" s="4">
        <v>5.1110674E7</v>
      </c>
      <c r="B332" s="9">
        <v>3.0</v>
      </c>
      <c r="C332" s="9">
        <v>3.67</v>
      </c>
      <c r="D332" s="2" t="s">
        <v>125</v>
      </c>
      <c r="E332" s="2" t="s">
        <v>44</v>
      </c>
      <c r="F332" s="2" t="s">
        <v>126</v>
      </c>
      <c r="G332" s="9">
        <v>192.0</v>
      </c>
      <c r="H332" s="9">
        <v>4.4</v>
      </c>
      <c r="I332" s="9">
        <v>189.0</v>
      </c>
      <c r="J332" s="1" t="s">
        <v>127</v>
      </c>
      <c r="K332" s="1" t="s">
        <v>988</v>
      </c>
      <c r="L332" s="1" t="str">
        <f t="shared" si="1"/>
        <v>BROAD-PEAK-MEDIUM-HYBRIDCalifornia King</v>
      </c>
      <c r="M332" s="1" t="s">
        <v>747</v>
      </c>
      <c r="N332" s="6">
        <v>1195.0</v>
      </c>
      <c r="O332" s="6">
        <v>1499.99</v>
      </c>
      <c r="P332" s="1" t="s">
        <v>129</v>
      </c>
      <c r="Q332" s="1" t="s">
        <v>54</v>
      </c>
      <c r="R332" s="1" t="s">
        <v>130</v>
      </c>
      <c r="S332" s="1" t="s">
        <v>31</v>
      </c>
      <c r="T332" s="1" t="s">
        <v>670</v>
      </c>
      <c r="U332" s="1" t="s">
        <v>41</v>
      </c>
      <c r="V332" s="1" t="s">
        <v>34</v>
      </c>
      <c r="W332" s="1" t="s">
        <v>35</v>
      </c>
      <c r="X332" s="1" t="s">
        <v>34</v>
      </c>
      <c r="Y332" s="1" t="s">
        <v>34</v>
      </c>
      <c r="Z332" s="1" t="s">
        <v>37</v>
      </c>
      <c r="AA332" s="8" t="str">
        <f>IFERROR(VLOOKUP(A332,Sheet3!B:H,6,false),VLOOKUP(J332,Sheet2!A:C,2,false))</f>
        <v>https://assets.roomstogo.com/product/beautyrest-select-broad-peak-medium-hybrid-twin-xl-mattress_50010671_image-item</v>
      </c>
      <c r="AB332" s="8" t="str">
        <f>IFERROR(VLOOKUP(A332,Sheet3!B:H,7,false),VLOOKUP(J332,Sheet2!A:C,3,false))</f>
        <v>https://assets.roomstogo.com/product/beautyrest-select-broad-peak-medium-hybrid-twin-xl-mattress_50010671_alt-image-1</v>
      </c>
      <c r="AC332" s="8" t="str">
        <f t="shared" si="2"/>
        <v>https://rtg-275.myshopify.com/products/BROAD-PEAK-MEDIUM-HYBRID</v>
      </c>
      <c r="AD332" s="8" t="str">
        <f>vlookup(L332,'Python sheet'!$E$2:$F$373,2,0)</f>
        <v>https://rtg-275.myshopify.com/products/BROAD-PEAK-MEDIUM-HYBRID?variant=47915107451018</v>
      </c>
    </row>
    <row r="333">
      <c r="A333" s="4">
        <v>5.1122213E7</v>
      </c>
      <c r="B333" s="5"/>
      <c r="C333" s="5"/>
      <c r="D333" s="5"/>
      <c r="E333" s="5"/>
      <c r="F333" s="5"/>
      <c r="G333" s="5"/>
      <c r="H333" s="5"/>
      <c r="I333" s="5"/>
      <c r="J333" s="1" t="s">
        <v>163</v>
      </c>
      <c r="K333" s="1" t="s">
        <v>993</v>
      </c>
      <c r="L333" s="1" t="str">
        <f t="shared" si="1"/>
        <v>OCEANA-MISTCalifornia King</v>
      </c>
      <c r="M333" s="1" t="s">
        <v>748</v>
      </c>
      <c r="N333" s="6">
        <v>697.0</v>
      </c>
      <c r="O333" s="6">
        <v>999.99</v>
      </c>
      <c r="P333" s="1" t="s">
        <v>165</v>
      </c>
      <c r="Q333" s="1" t="s">
        <v>54</v>
      </c>
      <c r="R333" s="1" t="s">
        <v>166</v>
      </c>
      <c r="S333" s="1" t="s">
        <v>31</v>
      </c>
      <c r="T333" s="1" t="s">
        <v>670</v>
      </c>
      <c r="U333" s="1" t="s">
        <v>41</v>
      </c>
      <c r="V333" s="1" t="s">
        <v>36</v>
      </c>
      <c r="W333" s="1" t="s">
        <v>35</v>
      </c>
      <c r="X333" s="1" t="s">
        <v>34</v>
      </c>
      <c r="Y333" s="1" t="s">
        <v>36</v>
      </c>
      <c r="Z333" s="1" t="s">
        <v>37</v>
      </c>
      <c r="AA333" s="8" t="str">
        <f>IFERROR(VLOOKUP(A333,Sheet3!B:H,6,false),VLOOKUP(J333,Sheet2!A:C,2,false))</f>
        <v>https://assets.roomstogo.com/product/beauty-sleep-oceana-mist-medium-hybrid-twin-xl-mattress_50022210_image-item</v>
      </c>
      <c r="AB333" s="8" t="str">
        <f>IFERROR(VLOOKUP(A333,Sheet3!B:H,7,false),VLOOKUP(J333,Sheet2!A:C,3,false))</f>
        <v>https://assets.roomstogo.com/product/beauty-sleep-oceana-mist-medium-hybrid-twin-xl-mattress_50022210_alt-image-8</v>
      </c>
      <c r="AC333" s="8" t="str">
        <f t="shared" si="2"/>
        <v>https://rtg-275.myshopify.com/products/OCEANA-MIST</v>
      </c>
      <c r="AD333" s="8" t="str">
        <f>vlookup(L333,'Python sheet'!$E$2:$F$373,2,0)</f>
        <v>https://rtg-275.myshopify.com/products/OCEANA-MIST?variant=47915109187722</v>
      </c>
    </row>
    <row r="334">
      <c r="A334" s="4">
        <v>5.112574E7</v>
      </c>
      <c r="B334" s="5"/>
      <c r="C334" s="5"/>
      <c r="D334" s="5"/>
      <c r="E334" s="5"/>
      <c r="F334" s="5"/>
      <c r="G334" s="5"/>
      <c r="H334" s="5"/>
      <c r="I334" s="5"/>
      <c r="J334" s="1" t="s">
        <v>169</v>
      </c>
      <c r="K334" s="1" t="s">
        <v>994</v>
      </c>
      <c r="L334" s="1" t="str">
        <f t="shared" si="1"/>
        <v>LEVEL-THREE-PLUSHCalifornia King</v>
      </c>
      <c r="M334" s="1" t="s">
        <v>749</v>
      </c>
      <c r="N334" s="6">
        <v>1749.0</v>
      </c>
      <c r="O334" s="6">
        <v>1749.0</v>
      </c>
      <c r="P334" s="1" t="s">
        <v>171</v>
      </c>
      <c r="Q334" s="7"/>
      <c r="R334" s="1" t="s">
        <v>172</v>
      </c>
      <c r="S334" s="1" t="s">
        <v>31</v>
      </c>
      <c r="T334" s="1" t="s">
        <v>670</v>
      </c>
      <c r="U334" s="1" t="s">
        <v>59</v>
      </c>
      <c r="V334" s="1" t="s">
        <v>42</v>
      </c>
      <c r="W334" s="1" t="s">
        <v>49</v>
      </c>
      <c r="X334" s="1" t="s">
        <v>42</v>
      </c>
      <c r="Y334" s="1" t="s">
        <v>42</v>
      </c>
      <c r="Z334" s="1" t="s">
        <v>51</v>
      </c>
      <c r="AA334" s="8" t="str">
        <f>IFERROR(VLOOKUP(A334,Sheet3!B:H,6,false),VLOOKUP(J334,Sheet2!A:C,2,false))</f>
        <v>https://assets.roomstogo.com/product/beautyrest-world-class-level-three-plush-twin-xl-mattress_50025747_image-item</v>
      </c>
      <c r="AB334" s="8" t="str">
        <f>IFERROR(VLOOKUP(A334,Sheet3!B:H,7,false),VLOOKUP(J334,Sheet2!A:C,3,false))</f>
        <v>https://assets.roomstogo.com/product/beautyrest-world-class-level-three-plush-twin-xl-mattress_50025747_alt-image-13</v>
      </c>
      <c r="AC334" s="8" t="str">
        <f t="shared" si="2"/>
        <v>https://rtg-275.myshopify.com/products/LEVEL-THREE-PLUSH</v>
      </c>
      <c r="AD334" s="8" t="str">
        <f>vlookup(L334,'Python sheet'!$E$2:$F$373,2,0)</f>
        <v>https://rtg-275.myshopify.com/products/LEVEL-THREE-PLUSH?variant=47915109384330</v>
      </c>
    </row>
    <row r="335">
      <c r="A335" s="4">
        <v>5.1125752E7</v>
      </c>
      <c r="B335" s="5"/>
      <c r="C335" s="5"/>
      <c r="D335" s="5"/>
      <c r="E335" s="5"/>
      <c r="F335" s="5"/>
      <c r="G335" s="5"/>
      <c r="H335" s="5"/>
      <c r="I335" s="5"/>
      <c r="J335" s="1" t="s">
        <v>173</v>
      </c>
      <c r="K335" s="1" t="s">
        <v>995</v>
      </c>
      <c r="L335" s="1" t="str">
        <f t="shared" si="1"/>
        <v>LEVEL-THREE-MEDIUM-PILLOWTOPCalifornia King</v>
      </c>
      <c r="M335" s="1" t="s">
        <v>750</v>
      </c>
      <c r="N335" s="6">
        <v>1949.0</v>
      </c>
      <c r="O335" s="6">
        <v>1949.0</v>
      </c>
      <c r="P335" s="1" t="s">
        <v>171</v>
      </c>
      <c r="Q335" s="7"/>
      <c r="R335" s="1" t="s">
        <v>175</v>
      </c>
      <c r="S335" s="1" t="s">
        <v>31</v>
      </c>
      <c r="T335" s="1" t="s">
        <v>670</v>
      </c>
      <c r="U335" s="1" t="s">
        <v>59</v>
      </c>
      <c r="V335" s="1" t="s">
        <v>42</v>
      </c>
      <c r="W335" s="1" t="s">
        <v>35</v>
      </c>
      <c r="X335" s="1" t="s">
        <v>42</v>
      </c>
      <c r="Y335" s="1" t="s">
        <v>42</v>
      </c>
      <c r="Z335" s="1" t="s">
        <v>37</v>
      </c>
      <c r="AA335" s="8" t="str">
        <f>IFERROR(VLOOKUP(A335,Sheet3!B:H,6,false),VLOOKUP(J335,Sheet2!A:C,2,false))</f>
        <v>https://assets.roomstogo.com/product/beautyrest-world-class-level-three-medium-pillow-top-twin-xl-mattress_50025759_image-item</v>
      </c>
      <c r="AB335" s="8" t="str">
        <f>IFERROR(VLOOKUP(A335,Sheet3!B:H,7,false),VLOOKUP(J335,Sheet2!A:C,3,false))</f>
        <v>https://assets.roomstogo.com/product/beautyrest-world-class-level-three-medium-pillow-top-twin-xl-mattress_50025759_alt-image-13</v>
      </c>
      <c r="AC335" s="8" t="str">
        <f t="shared" si="2"/>
        <v>https://rtg-275.myshopify.com/products/LEVEL-THREE-MEDIUM-PILLOWTOP</v>
      </c>
      <c r="AD335" s="8" t="str">
        <f>vlookup(L335,'Python sheet'!$E$2:$F$373,2,0)</f>
        <v>https://rtg-275.myshopify.com/products/LEVEL-THREE-MEDIUM-PILLOWTOP?variant=47915109580938</v>
      </c>
    </row>
    <row r="336">
      <c r="A336" s="4">
        <v>5.1125803E7</v>
      </c>
      <c r="B336" s="5"/>
      <c r="C336" s="5"/>
      <c r="D336" s="5"/>
      <c r="E336" s="5"/>
      <c r="F336" s="5"/>
      <c r="G336" s="5"/>
      <c r="H336" s="5"/>
      <c r="I336" s="5"/>
      <c r="J336" s="1" t="s">
        <v>176</v>
      </c>
      <c r="K336" s="1" t="s">
        <v>996</v>
      </c>
      <c r="L336" s="1" t="str">
        <f t="shared" si="1"/>
        <v>LEVEL-FOUR-PLUSH-PILLOWTOPCalifornia King</v>
      </c>
      <c r="M336" s="1" t="s">
        <v>751</v>
      </c>
      <c r="N336" s="6">
        <v>2299.0</v>
      </c>
      <c r="O336" s="6">
        <v>2299.0</v>
      </c>
      <c r="P336" s="1" t="s">
        <v>171</v>
      </c>
      <c r="Q336" s="7"/>
      <c r="R336" s="1" t="s">
        <v>178</v>
      </c>
      <c r="S336" s="1" t="s">
        <v>31</v>
      </c>
      <c r="T336" s="1" t="s">
        <v>670</v>
      </c>
      <c r="U336" s="1" t="s">
        <v>59</v>
      </c>
      <c r="V336" s="1" t="s">
        <v>50</v>
      </c>
      <c r="W336" s="1" t="s">
        <v>49</v>
      </c>
      <c r="X336" s="1" t="s">
        <v>42</v>
      </c>
      <c r="Y336" s="1" t="s">
        <v>42</v>
      </c>
      <c r="Z336" s="1" t="s">
        <v>51</v>
      </c>
      <c r="AA336" s="8" t="str">
        <f>IFERROR(VLOOKUP(A336,Sheet3!B:H,6,false),VLOOKUP(J336,Sheet2!A:C,2,false))</f>
        <v>https://assets.roomstogo.com/product/beautyrest-world-class-level-four-plush-pillow-top-twin-xl-mattress_50025800_image-item</v>
      </c>
      <c r="AB336" s="8" t="str">
        <f>IFERROR(VLOOKUP(A336,Sheet3!B:H,7,false),VLOOKUP(J336,Sheet2!A:C,3,false))</f>
        <v>https://assets.roomstogo.com/product/beautyrest-world-class-level-four-plush-pillow-top-twin-xl-mattress_50025800_alt-image-13</v>
      </c>
      <c r="AC336" s="8" t="str">
        <f t="shared" si="2"/>
        <v>https://rtg-275.myshopify.com/products/LEVEL-FOUR-PLUSH-PILLOWTOP</v>
      </c>
      <c r="AD336" s="8" t="str">
        <f>vlookup(L336,'Python sheet'!$E$2:$F$373,2,0)</f>
        <v>https://rtg-275.myshopify.com/products/LEVEL-FOUR-PLUSH-PILLOWTOP?variant=47915109777546</v>
      </c>
    </row>
    <row r="337">
      <c r="A337" s="4">
        <v>5.112895E7</v>
      </c>
      <c r="B337" s="5"/>
      <c r="C337" s="5"/>
      <c r="D337" s="5"/>
      <c r="E337" s="5"/>
      <c r="F337" s="5"/>
      <c r="G337" s="5"/>
      <c r="H337" s="5"/>
      <c r="I337" s="5"/>
      <c r="J337" s="1" t="s">
        <v>179</v>
      </c>
      <c r="K337" s="1" t="s">
        <v>997</v>
      </c>
      <c r="L337" s="1" t="str">
        <f t="shared" si="1"/>
        <v>KERRY-PARKCalifornia King</v>
      </c>
      <c r="M337" s="1" t="s">
        <v>752</v>
      </c>
      <c r="N337" s="6">
        <v>1397.0</v>
      </c>
      <c r="O337" s="6">
        <v>1999.0</v>
      </c>
      <c r="P337" s="1" t="s">
        <v>181</v>
      </c>
      <c r="Q337" s="1" t="s">
        <v>54</v>
      </c>
      <c r="R337" s="7"/>
      <c r="S337" s="1" t="s">
        <v>31</v>
      </c>
      <c r="T337" s="1" t="s">
        <v>670</v>
      </c>
      <c r="U337" s="1" t="s">
        <v>59</v>
      </c>
      <c r="V337" s="1" t="s">
        <v>42</v>
      </c>
      <c r="W337" s="1" t="s">
        <v>49</v>
      </c>
      <c r="X337" s="1" t="s">
        <v>34</v>
      </c>
      <c r="Y337" s="1" t="s">
        <v>34</v>
      </c>
      <c r="Z337" s="1" t="s">
        <v>182</v>
      </c>
      <c r="AA337" s="8" t="str">
        <f>IFERROR(VLOOKUP(A337,Sheet3!B:H,6,false),VLOOKUP(J337,Sheet2!A:C,2,false))</f>
        <v>https://assets.roomstogo.com/product/sealy-correct-comfort-kerry-park-twin-xl-mattress_50028957_image-item</v>
      </c>
      <c r="AB337" s="8" t="str">
        <f>IFERROR(VLOOKUP(A337,Sheet3!B:H,7,false),VLOOKUP(J337,Sheet2!A:C,3,false))</f>
        <v>https://assets.roomstogo.com/product/sealy-correct-comfort-kerry-park-twin-xl-mattress_50028957_alt-image-1</v>
      </c>
      <c r="AC337" s="8" t="str">
        <f t="shared" si="2"/>
        <v>https://rtg-275.myshopify.com/products/KERRY-PARK</v>
      </c>
      <c r="AD337" s="8" t="str">
        <f>vlookup(L337,'Python sheet'!$E$2:$F$373,2,0)</f>
        <v>https://rtg-275.myshopify.com/products/KERRY-PARK?variant=47915110006922</v>
      </c>
    </row>
    <row r="338">
      <c r="A338" s="4">
        <v>5.1128974E7</v>
      </c>
      <c r="B338" s="5"/>
      <c r="C338" s="5"/>
      <c r="D338" s="5"/>
      <c r="E338" s="5"/>
      <c r="F338" s="5"/>
      <c r="G338" s="5"/>
      <c r="H338" s="5"/>
      <c r="I338" s="5"/>
      <c r="J338" s="1" t="s">
        <v>187</v>
      </c>
      <c r="K338" s="1" t="s">
        <v>187</v>
      </c>
      <c r="L338" s="1" t="str">
        <f t="shared" si="1"/>
        <v>NORTHGATECalifornia King</v>
      </c>
      <c r="M338" s="1" t="s">
        <v>753</v>
      </c>
      <c r="N338" s="6">
        <v>1497.0</v>
      </c>
      <c r="O338" s="6">
        <v>2299.0</v>
      </c>
      <c r="P338" s="1" t="s">
        <v>181</v>
      </c>
      <c r="Q338" s="1" t="s">
        <v>54</v>
      </c>
      <c r="R338" s="7"/>
      <c r="S338" s="7"/>
      <c r="T338" s="1" t="s">
        <v>670</v>
      </c>
      <c r="U338" s="1" t="s">
        <v>33</v>
      </c>
      <c r="V338" s="1" t="s">
        <v>42</v>
      </c>
      <c r="W338" s="1" t="s">
        <v>35</v>
      </c>
      <c r="X338" s="1" t="s">
        <v>34</v>
      </c>
      <c r="Y338" s="1" t="s">
        <v>34</v>
      </c>
      <c r="Z338" s="1" t="s">
        <v>37</v>
      </c>
      <c r="AA338" s="8" t="str">
        <f>IFERROR(VLOOKUP(A338,Sheet3!B:H,6,false),VLOOKUP(J338,Sheet2!A:C,2,false))</f>
        <v>https://assets.roomstogo.com/product/posturepedic-northgate-twin-xl-mattress_50028971_image-item</v>
      </c>
      <c r="AB338" s="8" t="str">
        <f>IFERROR(VLOOKUP(A338,Sheet3!B:H,7,false),VLOOKUP(J338,Sheet2!A:C,3,false))</f>
        <v>https://assets.roomstogo.com/product/posturepedic-northgate-twin-xl-mattress_50028971_alt-image-1</v>
      </c>
      <c r="AC338" s="8" t="str">
        <f t="shared" si="2"/>
        <v>https://rtg-275.myshopify.com/products/NORTHGATE</v>
      </c>
      <c r="AD338" s="8" t="str">
        <f>vlookup(L338,'Python sheet'!$E$2:$F$373,2,0)</f>
        <v>https://rtg-275.myshopify.com/products/NORTHGATE?variant=47915110301834</v>
      </c>
    </row>
    <row r="339">
      <c r="A339" s="4">
        <v>5.1129178E7</v>
      </c>
      <c r="B339" s="5"/>
      <c r="C339" s="5"/>
      <c r="D339" s="5"/>
      <c r="E339" s="5"/>
      <c r="F339" s="5"/>
      <c r="G339" s="5"/>
      <c r="H339" s="5"/>
      <c r="I339" s="5"/>
      <c r="J339" s="1" t="s">
        <v>189</v>
      </c>
      <c r="K339" s="1" t="s">
        <v>189</v>
      </c>
      <c r="L339" s="1" t="str">
        <f t="shared" si="1"/>
        <v>BRIERWOODCalifornia King</v>
      </c>
      <c r="M339" s="1" t="s">
        <v>754</v>
      </c>
      <c r="N339" s="6">
        <v>1077.0</v>
      </c>
      <c r="O339" s="6">
        <v>1199.0</v>
      </c>
      <c r="P339" s="1" t="s">
        <v>191</v>
      </c>
      <c r="Q339" s="1" t="s">
        <v>54</v>
      </c>
      <c r="R339" s="1" t="s">
        <v>192</v>
      </c>
      <c r="S339" s="1" t="s">
        <v>31</v>
      </c>
      <c r="T339" s="1" t="s">
        <v>670</v>
      </c>
      <c r="U339" s="1" t="s">
        <v>59</v>
      </c>
      <c r="V339" s="1" t="s">
        <v>36</v>
      </c>
      <c r="W339" s="1" t="s">
        <v>35</v>
      </c>
      <c r="X339" s="1" t="s">
        <v>36</v>
      </c>
      <c r="Y339" s="1" t="s">
        <v>36</v>
      </c>
      <c r="Z339" s="1" t="s">
        <v>37</v>
      </c>
      <c r="AA339" s="8" t="str">
        <f>IFERROR(VLOOKUP(A339,Sheet3!B:H,6,false),VLOOKUP(J339,Sheet2!A:C,2,false))</f>
        <v>https://assets.roomstogo.com/product/sealy-posturepedic-brierwood-twin-xl-mattress_50029175_image-item</v>
      </c>
      <c r="AB339" s="8" t="str">
        <f>IFERROR(VLOOKUP(A339,Sheet3!B:H,7,false),VLOOKUP(J339,Sheet2!A:C,3,false))</f>
        <v>https://assets.roomstogo.com/product/sealy-posturepedic-brierwood-twin-xl-mattress_50029175_alt-image-1</v>
      </c>
      <c r="AC339" s="8" t="str">
        <f t="shared" si="2"/>
        <v>https://rtg-275.myshopify.com/products/BRIERWOOD</v>
      </c>
      <c r="AD339" s="8" t="str">
        <f>vlookup(L339,'Python sheet'!$E$2:$F$373,2,0)</f>
        <v>https://rtg-275.myshopify.com/products/BRIERWOOD?variant=47915110498442</v>
      </c>
    </row>
    <row r="340">
      <c r="A340" s="4">
        <v>5.1129205E7</v>
      </c>
      <c r="B340" s="5"/>
      <c r="C340" s="5"/>
      <c r="D340" s="5"/>
      <c r="E340" s="5"/>
      <c r="F340" s="5"/>
      <c r="G340" s="5"/>
      <c r="H340" s="5"/>
      <c r="I340" s="5"/>
      <c r="J340" s="1" t="s">
        <v>193</v>
      </c>
      <c r="K340" s="1" t="s">
        <v>999</v>
      </c>
      <c r="L340" s="1" t="str">
        <f t="shared" si="1"/>
        <v>CASTLE-ROCKCalifornia King</v>
      </c>
      <c r="M340" s="1" t="s">
        <v>755</v>
      </c>
      <c r="N340" s="6">
        <v>1397.0</v>
      </c>
      <c r="O340" s="6">
        <v>1599.0</v>
      </c>
      <c r="P340" s="1" t="s">
        <v>195</v>
      </c>
      <c r="Q340" s="1" t="s">
        <v>54</v>
      </c>
      <c r="R340" s="1" t="s">
        <v>196</v>
      </c>
      <c r="S340" s="1" t="s">
        <v>31</v>
      </c>
      <c r="T340" s="1" t="s">
        <v>670</v>
      </c>
      <c r="U340" s="7"/>
      <c r="V340" s="1" t="s">
        <v>34</v>
      </c>
      <c r="W340" s="1" t="s">
        <v>35</v>
      </c>
      <c r="X340" s="1" t="s">
        <v>34</v>
      </c>
      <c r="Y340" s="1" t="s">
        <v>36</v>
      </c>
      <c r="Z340" s="1" t="s">
        <v>37</v>
      </c>
      <c r="AA340" s="8" t="str">
        <f>IFERROR(VLOOKUP(A340,Sheet3!B:H,6,false),VLOOKUP(J340,Sheet2!A:C,2,false))</f>
        <v>https://assets.roomstogo.com/product/sealy-posturepedic-castle-rock-twin-xl-mattress_50029202_image-item</v>
      </c>
      <c r="AB340" s="8" t="str">
        <f>IFERROR(VLOOKUP(A340,Sheet3!B:H,7,false),VLOOKUP(J340,Sheet2!A:C,3,false))</f>
        <v>https://assets.roomstogo.com/product/sealy-posturepedic-castle-rock-twin-xl-mattress_50029202_alt-image-1</v>
      </c>
      <c r="AC340" s="8" t="str">
        <f t="shared" si="2"/>
        <v>https://rtg-275.myshopify.com/products/CASTLE-ROCK</v>
      </c>
      <c r="AD340" s="8" t="str">
        <f>vlookup(L340,'Python sheet'!$E$2:$F$373,2,0)</f>
        <v>https://rtg-275.myshopify.com/products/CASTLE-ROCK?variant=47915110793354</v>
      </c>
    </row>
    <row r="341">
      <c r="A341" s="4">
        <v>5.1129217E7</v>
      </c>
      <c r="B341" s="9">
        <v>1.0</v>
      </c>
      <c r="C341" s="9">
        <v>2.0</v>
      </c>
      <c r="D341" s="2" t="s">
        <v>609</v>
      </c>
      <c r="E341" s="2" t="s">
        <v>44</v>
      </c>
      <c r="F341" s="2" t="s">
        <v>610</v>
      </c>
      <c r="G341" s="9">
        <v>2.0</v>
      </c>
      <c r="H341" s="9">
        <v>3.5</v>
      </c>
      <c r="I341" s="9">
        <v>1.0</v>
      </c>
      <c r="J341" s="1" t="s">
        <v>197</v>
      </c>
      <c r="K341" s="1" t="s">
        <v>197</v>
      </c>
      <c r="L341" s="1" t="str">
        <f t="shared" si="1"/>
        <v>PEBBLEBROOKCalifornia King</v>
      </c>
      <c r="M341" s="1" t="s">
        <v>756</v>
      </c>
      <c r="N341" s="6">
        <v>1577.0</v>
      </c>
      <c r="O341" s="6">
        <v>1799.0</v>
      </c>
      <c r="P341" s="1" t="s">
        <v>199</v>
      </c>
      <c r="Q341" s="7"/>
      <c r="R341" s="1" t="s">
        <v>200</v>
      </c>
      <c r="S341" s="1" t="s">
        <v>31</v>
      </c>
      <c r="T341" s="1" t="s">
        <v>670</v>
      </c>
      <c r="U341" s="1" t="s">
        <v>59</v>
      </c>
      <c r="V341" s="1" t="s">
        <v>34</v>
      </c>
      <c r="W341" s="1" t="s">
        <v>35</v>
      </c>
      <c r="X341" s="1" t="s">
        <v>42</v>
      </c>
      <c r="Y341" s="1" t="s">
        <v>34</v>
      </c>
      <c r="Z341" s="1" t="s">
        <v>37</v>
      </c>
      <c r="AA341" s="8" t="str">
        <f>IFERROR(VLOOKUP(A341,Sheet3!B:H,6,false),VLOOKUP(J341,Sheet2!A:C,2,false))</f>
        <v>https://assets.roomstogo.com/product/sealy-posturepedic-pebblebrook-twin-xl-mattress_50029214_image-item</v>
      </c>
      <c r="AB341" s="8" t="str">
        <f>IFERROR(VLOOKUP(A341,Sheet3!B:H,7,false),VLOOKUP(J341,Sheet2!A:C,3,false))</f>
        <v>https://assets.roomstogo.com/product/sealy-posturepedic-pebblebrook-twin-xl-mattress_50029214_alt-image-1</v>
      </c>
      <c r="AC341" s="8" t="str">
        <f t="shared" si="2"/>
        <v>https://rtg-275.myshopify.com/products/PEBBLEBROOK</v>
      </c>
      <c r="AD341" s="8" t="str">
        <f>vlookup(L341,'Python sheet'!$E$2:$F$373,2,0)</f>
        <v>https://rtg-275.myshopify.com/products/PEBBLEBROOK?variant=47915111022730</v>
      </c>
    </row>
    <row r="342">
      <c r="A342" s="4">
        <v>5.113705E7</v>
      </c>
      <c r="B342" s="5"/>
      <c r="C342" s="5"/>
      <c r="D342" s="5"/>
      <c r="E342" s="5"/>
      <c r="F342" s="5"/>
      <c r="G342" s="5"/>
      <c r="H342" s="5"/>
      <c r="I342" s="5"/>
      <c r="J342" s="1" t="s">
        <v>203</v>
      </c>
      <c r="K342" s="1" t="s">
        <v>1000</v>
      </c>
      <c r="L342" s="1" t="str">
        <f t="shared" si="1"/>
        <v>SERIES-ONE-EXTRA-FIRMCalifornia King</v>
      </c>
      <c r="M342" s="1" t="s">
        <v>757</v>
      </c>
      <c r="N342" s="6">
        <v>2599.0</v>
      </c>
      <c r="O342" s="6">
        <v>2599.0</v>
      </c>
      <c r="P342" s="1" t="s">
        <v>205</v>
      </c>
      <c r="Q342" s="7"/>
      <c r="R342" s="1" t="s">
        <v>206</v>
      </c>
      <c r="S342" s="1" t="s">
        <v>31</v>
      </c>
      <c r="T342" s="1" t="s">
        <v>670</v>
      </c>
      <c r="U342" s="1" t="s">
        <v>59</v>
      </c>
      <c r="V342" s="1" t="s">
        <v>34</v>
      </c>
      <c r="W342" s="1" t="s">
        <v>76</v>
      </c>
      <c r="X342" s="1" t="s">
        <v>50</v>
      </c>
      <c r="Y342" s="1" t="s">
        <v>42</v>
      </c>
      <c r="Z342" s="1" t="s">
        <v>144</v>
      </c>
      <c r="AA342" s="8" t="str">
        <f>IFERROR(VLOOKUP(A342,Sheet3!B:H,6,false),VLOOKUP(J342,Sheet2!A:C,2,false))</f>
        <v>https://assets.roomstogo.com/product/beautyrest-black-series-one-extra-firm-twin-xl-mattress_50037057_image-item</v>
      </c>
      <c r="AB342" s="8" t="str">
        <f>IFERROR(VLOOKUP(A342,Sheet3!B:H,7,false),VLOOKUP(J342,Sheet2!A:C,3,false))</f>
        <v>https://assets.roomstogo.com/product/beautyrest-black-series-one-extra-firm-twin-xl-mattress_50037057_alt-image-1</v>
      </c>
      <c r="AC342" s="8" t="str">
        <f t="shared" si="2"/>
        <v>https://rtg-275.myshopify.com/products/SERIES-ONE-EXTRA-FIRM</v>
      </c>
      <c r="AD342" s="8" t="str">
        <f>vlookup(L342,'Python sheet'!$E$2:$F$373,2,0)</f>
        <v>https://rtg-275.myshopify.com/products/SERIES-ONE-EXTRA-FIRM?variant=47915111219338</v>
      </c>
    </row>
    <row r="343">
      <c r="A343" s="4">
        <v>5.1137137E7</v>
      </c>
      <c r="B343" s="5"/>
      <c r="C343" s="5"/>
      <c r="D343" s="5"/>
      <c r="E343" s="5"/>
      <c r="F343" s="5"/>
      <c r="G343" s="5"/>
      <c r="H343" s="5"/>
      <c r="I343" s="5"/>
      <c r="J343" s="1" t="s">
        <v>209</v>
      </c>
      <c r="K343" s="1" t="s">
        <v>1001</v>
      </c>
      <c r="L343" s="1" t="str">
        <f t="shared" si="1"/>
        <v>SERIES-TWO-MEDIUMCalifornia King</v>
      </c>
      <c r="M343" s="1" t="s">
        <v>758</v>
      </c>
      <c r="N343" s="6">
        <v>3599.0</v>
      </c>
      <c r="O343" s="6">
        <v>3599.0</v>
      </c>
      <c r="P343" s="1" t="s">
        <v>205</v>
      </c>
      <c r="Q343" s="7"/>
      <c r="R343" s="1" t="s">
        <v>211</v>
      </c>
      <c r="S343" s="1" t="s">
        <v>31</v>
      </c>
      <c r="T343" s="1" t="s">
        <v>670</v>
      </c>
      <c r="U343" s="1" t="s">
        <v>59</v>
      </c>
      <c r="V343" s="1" t="s">
        <v>42</v>
      </c>
      <c r="W343" s="1" t="s">
        <v>35</v>
      </c>
      <c r="X343" s="1" t="s">
        <v>50</v>
      </c>
      <c r="Y343" s="1" t="s">
        <v>42</v>
      </c>
      <c r="Z343" s="1" t="s">
        <v>37</v>
      </c>
      <c r="AA343" s="8" t="str">
        <f>IFERROR(VLOOKUP(A343,Sheet3!B:H,6,false),VLOOKUP(J343,Sheet2!A:C,2,false))</f>
        <v>https://assets.roomstogo.com/product/beautyrest-black-series-two-medium-twin-xl-mattress_50037134_image-item</v>
      </c>
      <c r="AB343" s="8" t="str">
        <f>IFERROR(VLOOKUP(A343,Sheet3!B:H,7,false),VLOOKUP(J343,Sheet2!A:C,3,false))</f>
        <v>https://assets.roomstogo.com/product/beautyrest-black-series-two-medium-twin-xl-mattress_50037134_alt-image-1</v>
      </c>
      <c r="AC343" s="8" t="str">
        <f t="shared" si="2"/>
        <v>https://rtg-275.myshopify.com/products/SERIES-TWO-MEDIUM</v>
      </c>
      <c r="AD343" s="8" t="str">
        <f>vlookup(L343,'Python sheet'!$E$2:$F$373,2,0)</f>
        <v>https://rtg-275.myshopify.com/products/SERIES-TWO-MEDIUM?variant=47915111415946</v>
      </c>
    </row>
    <row r="344">
      <c r="A344" s="4">
        <v>5.1137226E7</v>
      </c>
      <c r="B344" s="5"/>
      <c r="C344" s="5"/>
      <c r="D344" s="5"/>
      <c r="E344" s="5"/>
      <c r="F344" s="5"/>
      <c r="G344" s="5"/>
      <c r="H344" s="5"/>
      <c r="I344" s="5"/>
      <c r="J344" s="1" t="s">
        <v>214</v>
      </c>
      <c r="K344" s="1" t="s">
        <v>1002</v>
      </c>
      <c r="L344" s="1" t="str">
        <f t="shared" si="1"/>
        <v>SERIES-THREE-PLUSH-PILLOW-TOPCalifornia King</v>
      </c>
      <c r="M344" s="1" t="s">
        <v>759</v>
      </c>
      <c r="N344" s="6">
        <v>4899.0</v>
      </c>
      <c r="O344" s="6">
        <v>4899.0</v>
      </c>
      <c r="P344" s="1" t="s">
        <v>205</v>
      </c>
      <c r="Q344" s="7"/>
      <c r="R344" s="1" t="s">
        <v>216</v>
      </c>
      <c r="S344" s="1" t="s">
        <v>31</v>
      </c>
      <c r="T344" s="1" t="s">
        <v>670</v>
      </c>
      <c r="U344" s="1" t="s">
        <v>59</v>
      </c>
      <c r="V344" s="1" t="s">
        <v>50</v>
      </c>
      <c r="W344" s="1" t="s">
        <v>49</v>
      </c>
      <c r="X344" s="1" t="s">
        <v>50</v>
      </c>
      <c r="Y344" s="1" t="s">
        <v>42</v>
      </c>
      <c r="Z344" s="1" t="s">
        <v>51</v>
      </c>
      <c r="AA344" s="8" t="str">
        <f>IFERROR(VLOOKUP(A344,Sheet3!B:H,6,false),VLOOKUP(J344,Sheet2!A:C,2,false))</f>
        <v>https://assets.roomstogo.com/product/beautyrest-black-series-three-plush-pillow-top-twin-xl-mattress_50037223_image-item</v>
      </c>
      <c r="AB344" s="8" t="str">
        <f>IFERROR(VLOOKUP(A344,Sheet3!B:H,7,false),VLOOKUP(J344,Sheet2!A:C,3,false))</f>
        <v>https://assets.roomstogo.com/product/beautyrest-black-series-three-plush-pillow-top-twin-xl-mattress_50037223_alt-image-1</v>
      </c>
      <c r="AC344" s="8" t="str">
        <f t="shared" si="2"/>
        <v>https://rtg-275.myshopify.com/products/SERIES-THREE-PLUSH-PILLOW-TOP</v>
      </c>
      <c r="AD344" s="8" t="str">
        <f>vlookup(L344,'Python sheet'!$E$2:$F$373,2,0)</f>
        <v>https://rtg-275.myshopify.com/products/SERIES-THREE-PLUSH-PILLOW-TOP?variant=47915111645322</v>
      </c>
    </row>
    <row r="345">
      <c r="A345" s="4">
        <v>5.1148039E7</v>
      </c>
      <c r="B345" s="5"/>
      <c r="C345" s="5"/>
      <c r="D345" s="5"/>
      <c r="E345" s="5"/>
      <c r="F345" s="5"/>
      <c r="G345" s="5"/>
      <c r="H345" s="5"/>
      <c r="I345" s="5"/>
      <c r="J345" s="1" t="s">
        <v>219</v>
      </c>
      <c r="K345" s="1" t="s">
        <v>1003</v>
      </c>
      <c r="L345" s="1" t="str">
        <f t="shared" si="1"/>
        <v>ESTATE-FIRM-TTCalifornia King</v>
      </c>
      <c r="M345" s="1" t="s">
        <v>760</v>
      </c>
      <c r="N345" s="6">
        <v>2999.0</v>
      </c>
      <c r="O345" s="6">
        <v>2999.0</v>
      </c>
      <c r="P345" s="1" t="s">
        <v>221</v>
      </c>
      <c r="Q345" s="7"/>
      <c r="R345" s="1" t="s">
        <v>222</v>
      </c>
      <c r="S345" s="1" t="s">
        <v>31</v>
      </c>
      <c r="T345" s="1" t="s">
        <v>670</v>
      </c>
      <c r="U345" s="1" t="s">
        <v>59</v>
      </c>
      <c r="V345" s="1" t="s">
        <v>34</v>
      </c>
      <c r="W345" s="1" t="s">
        <v>76</v>
      </c>
      <c r="X345" s="1" t="s">
        <v>42</v>
      </c>
      <c r="Y345" s="1" t="s">
        <v>34</v>
      </c>
      <c r="Z345" s="1" t="s">
        <v>77</v>
      </c>
      <c r="AA345" s="8" t="str">
        <f>IFERROR(VLOOKUP(A345,Sheet3!B:H,6,false),VLOOKUP(J345,Sheet2!A:C,2,false))</f>
        <v>https://assets.roomstogo.com/product/stearns-and-foster-estate-firm-tight-top-twin-xl-mattress_50048036_image-item</v>
      </c>
      <c r="AB345" s="8" t="str">
        <f>IFERROR(VLOOKUP(A345,Sheet3!B:H,7,false),VLOOKUP(J345,Sheet2!A:C,3,false))</f>
        <v>https://assets.roomstogo.com/product/stearns-and-foster-estate-firm-tight-top-twin-xl-mattress_50048036_alt-image-1</v>
      </c>
      <c r="AC345" s="8" t="str">
        <f t="shared" si="2"/>
        <v>https://rtg-275.myshopify.com/products/ESTATE-FIRM-TT</v>
      </c>
      <c r="AD345" s="8" t="str">
        <f>vlookup(L345,'Python sheet'!$E$2:$F$373,2,0)</f>
        <v>https://rtg-275.myshopify.com/products/ESTATE-FIRM-TT?variant=47915111841930</v>
      </c>
    </row>
    <row r="346">
      <c r="A346" s="4">
        <v>5.1148104E7</v>
      </c>
      <c r="B346" s="5"/>
      <c r="C346" s="5"/>
      <c r="D346" s="5"/>
      <c r="E346" s="5"/>
      <c r="F346" s="5"/>
      <c r="G346" s="5"/>
      <c r="H346" s="5"/>
      <c r="I346" s="5"/>
      <c r="J346" s="1" t="s">
        <v>761</v>
      </c>
      <c r="K346" s="1" t="s">
        <v>1030</v>
      </c>
      <c r="L346" s="1" t="str">
        <f t="shared" si="1"/>
        <v>LUX-ESTATE-FIRM-PTCalifornia King</v>
      </c>
      <c r="M346" s="1" t="s">
        <v>762</v>
      </c>
      <c r="N346" s="6">
        <v>4099.0</v>
      </c>
      <c r="O346" s="6">
        <v>4099.0</v>
      </c>
      <c r="P346" s="1" t="s">
        <v>221</v>
      </c>
      <c r="Q346" s="7"/>
      <c r="R346" s="1" t="s">
        <v>763</v>
      </c>
      <c r="S346" s="1" t="s">
        <v>31</v>
      </c>
      <c r="T346" s="1" t="s">
        <v>670</v>
      </c>
      <c r="U346" s="1" t="s">
        <v>59</v>
      </c>
      <c r="V346" s="1" t="s">
        <v>42</v>
      </c>
      <c r="W346" s="1" t="s">
        <v>76</v>
      </c>
      <c r="X346" s="1" t="s">
        <v>50</v>
      </c>
      <c r="Y346" s="1" t="s">
        <v>42</v>
      </c>
      <c r="Z346" s="1" t="s">
        <v>77</v>
      </c>
      <c r="AA346" s="8" t="str">
        <f>IFERROR(VLOOKUP(A346,Sheet3!B:H,6,false),VLOOKUP(J346,Sheet2!A:C,2,false))</f>
        <v>https://assets.roomstogo.com/product/stearns-and-foster-lux-estate-firm-pillow-top-twin-xl-mattress_50048101_image-item</v>
      </c>
      <c r="AB346" s="8" t="str">
        <f>IFERROR(VLOOKUP(A346,Sheet3!B:H,7,false),VLOOKUP(J346,Sheet2!A:C,3,false))</f>
        <v>https://assets.roomstogo.com/product/stearns-and-foster-lux-estate-firm-pillow-top-twin-xl-mattress_50048101_alt-image-1</v>
      </c>
      <c r="AC346" s="8" t="str">
        <f t="shared" si="2"/>
        <v>https://rtg-275.myshopify.com/products/LUX-ESTATE-FIRM-PT</v>
      </c>
      <c r="AD346" s="8" t="str">
        <f>vlookup(L346,'Python sheet'!$E$2:$F$373,2,0)</f>
        <v>https://rtg-275.myshopify.com/products/LUX-ESTATE-FIRM-PT?variant=47915116920970</v>
      </c>
    </row>
    <row r="347">
      <c r="A347" s="4">
        <v>5.1148279E7</v>
      </c>
      <c r="B347" s="5"/>
      <c r="C347" s="5"/>
      <c r="D347" s="5"/>
      <c r="E347" s="5"/>
      <c r="F347" s="5"/>
      <c r="G347" s="5"/>
      <c r="H347" s="5"/>
      <c r="I347" s="5"/>
      <c r="J347" s="1" t="s">
        <v>227</v>
      </c>
      <c r="K347" s="1" t="s">
        <v>1005</v>
      </c>
      <c r="L347" s="1" t="str">
        <f t="shared" si="1"/>
        <v>LUX-ESTATE-ELITECalifornia King</v>
      </c>
      <c r="M347" s="1" t="s">
        <v>764</v>
      </c>
      <c r="N347" s="6">
        <v>4799.0</v>
      </c>
      <c r="O347" s="6">
        <v>4799.0</v>
      </c>
      <c r="P347" s="1" t="s">
        <v>221</v>
      </c>
      <c r="Q347" s="7"/>
      <c r="R347" s="1" t="s">
        <v>229</v>
      </c>
      <c r="S347" s="1" t="s">
        <v>31</v>
      </c>
      <c r="T347" s="1" t="s">
        <v>670</v>
      </c>
      <c r="U347" s="1" t="s">
        <v>59</v>
      </c>
      <c r="V347" s="1" t="s">
        <v>42</v>
      </c>
      <c r="W347" s="1" t="s">
        <v>35</v>
      </c>
      <c r="X347" s="1" t="s">
        <v>50</v>
      </c>
      <c r="Y347" s="1" t="s">
        <v>42</v>
      </c>
      <c r="Z347" s="1" t="s">
        <v>37</v>
      </c>
      <c r="AA347" s="8" t="str">
        <f>IFERROR(VLOOKUP(A347,Sheet3!B:H,6,false),VLOOKUP(J347,Sheet2!A:C,2,false))</f>
        <v>https://assets.roomstogo.com/product/stearns-and-foster-lux-estate-elite-medium-pillow-top-twin-xl-mattress_50048276_image-item</v>
      </c>
      <c r="AB347" s="8" t="str">
        <f>IFERROR(VLOOKUP(A347,Sheet3!B:H,7,false),VLOOKUP(J347,Sheet2!A:C,3,false))</f>
        <v>https://assets.roomstogo.com/product/stearns-and-foster-lux-estate-elite-medium-pillow-top-twin-xl-mattress_50048276_alt-image-1</v>
      </c>
      <c r="AC347" s="8" t="str">
        <f t="shared" si="2"/>
        <v>https://rtg-275.myshopify.com/products/LUX-ESTATE-ELITE</v>
      </c>
      <c r="AD347" s="8" t="str">
        <f>vlookup(L347,'Python sheet'!$E$2:$F$373,2,0)</f>
        <v>https://rtg-275.myshopify.com/products/LUX-ESTATE-ELITE?variant=47915112136842</v>
      </c>
    </row>
    <row r="348">
      <c r="A348" s="4">
        <v>5.1170113E7</v>
      </c>
      <c r="B348" s="10">
        <v>9000.0</v>
      </c>
      <c r="C348" s="9">
        <v>4.32</v>
      </c>
      <c r="D348" s="2" t="s">
        <v>230</v>
      </c>
      <c r="E348" s="2" t="s">
        <v>44</v>
      </c>
      <c r="F348" s="2" t="s">
        <v>231</v>
      </c>
      <c r="G348" s="9">
        <v>9006.0</v>
      </c>
      <c r="H348" s="9">
        <v>4.32</v>
      </c>
      <c r="I348" s="9">
        <v>6.0</v>
      </c>
      <c r="J348" s="1" t="s">
        <v>232</v>
      </c>
      <c r="K348" s="1" t="s">
        <v>1006</v>
      </c>
      <c r="L348" s="1" t="str">
        <f t="shared" si="1"/>
        <v>HELIX-MIDNIGHT-LUXECalifornia King</v>
      </c>
      <c r="M348" s="1" t="s">
        <v>765</v>
      </c>
      <c r="N348" s="6">
        <v>2538.0</v>
      </c>
      <c r="O348" s="6">
        <v>3172.5</v>
      </c>
      <c r="P348" s="1" t="s">
        <v>234</v>
      </c>
      <c r="Q348" s="7"/>
      <c r="R348" s="7"/>
      <c r="S348" s="1" t="s">
        <v>31</v>
      </c>
      <c r="T348" s="1" t="s">
        <v>670</v>
      </c>
      <c r="U348" s="1" t="s">
        <v>59</v>
      </c>
      <c r="V348" s="1" t="s">
        <v>42</v>
      </c>
      <c r="W348" s="1" t="s">
        <v>35</v>
      </c>
      <c r="X348" s="1" t="s">
        <v>42</v>
      </c>
      <c r="Y348" s="1" t="s">
        <v>34</v>
      </c>
      <c r="Z348" s="1" t="s">
        <v>37</v>
      </c>
      <c r="AA348" s="8" t="str">
        <f>IFERROR(VLOOKUP(A348,Sheet3!B:H,6,false),VLOOKUP(J348,Sheet2!A:C,2,false))</f>
        <v>https://assets.roomstogo.com/product/helix-midnight-luxe-twin-xl-mattress_50070110_image-item</v>
      </c>
      <c r="AB348" s="8" t="str">
        <f>IFERROR(VLOOKUP(A348,Sheet3!B:H,7,false),VLOOKUP(J348,Sheet2!A:C,3,false))</f>
        <v>https://assets.roomstogo.com/product/helix-midnight-luxe-twin-xl-mattress_50070110_alt-image-1</v>
      </c>
      <c r="AC348" s="8" t="str">
        <f t="shared" si="2"/>
        <v>https://rtg-275.myshopify.com/products/HELIX-MIDNIGHT-LUXE</v>
      </c>
      <c r="AD348" s="8" t="str">
        <f>vlookup(L348,'Python sheet'!$E$2:$F$373,2,0)</f>
        <v>https://rtg-275.myshopify.com/products/HELIX-MIDNIGHT-LUXE?variant=47915112333450</v>
      </c>
    </row>
    <row r="349">
      <c r="A349" s="4">
        <v>5.1170125E7</v>
      </c>
      <c r="B349" s="5"/>
      <c r="C349" s="5"/>
      <c r="D349" s="5"/>
      <c r="E349" s="5"/>
      <c r="F349" s="5"/>
      <c r="G349" s="5"/>
      <c r="H349" s="5"/>
      <c r="I349" s="5"/>
      <c r="J349" s="1" t="s">
        <v>237</v>
      </c>
      <c r="K349" s="1" t="s">
        <v>1007</v>
      </c>
      <c r="L349" s="1" t="str">
        <f t="shared" si="1"/>
        <v>HELIX-MIDNIGHT-ELITECalifornia King</v>
      </c>
      <c r="M349" s="1" t="s">
        <v>766</v>
      </c>
      <c r="N349" s="6">
        <v>3599.0</v>
      </c>
      <c r="O349" s="6">
        <v>4498.75</v>
      </c>
      <c r="P349" s="1" t="s">
        <v>234</v>
      </c>
      <c r="Q349" s="7"/>
      <c r="R349" s="7"/>
      <c r="S349" s="1" t="s">
        <v>31</v>
      </c>
      <c r="T349" s="1" t="s">
        <v>670</v>
      </c>
      <c r="U349" s="1" t="s">
        <v>59</v>
      </c>
      <c r="V349" s="1" t="s">
        <v>50</v>
      </c>
      <c r="W349" s="1" t="s">
        <v>35</v>
      </c>
      <c r="X349" s="1" t="s">
        <v>42</v>
      </c>
      <c r="Y349" s="1" t="s">
        <v>42</v>
      </c>
      <c r="Z349" s="1" t="s">
        <v>37</v>
      </c>
      <c r="AA349" s="8" t="str">
        <f>IFERROR(VLOOKUP(A349,Sheet3!B:H,6,false),VLOOKUP(J349,Sheet2!A:C,2,false))</f>
        <v>https://assets.roomstogo.com/product/helix-midnight-elite-twin-xl-mattress_50070122_image-item</v>
      </c>
      <c r="AB349" s="8" t="str">
        <f>IFERROR(VLOOKUP(A349,Sheet3!B:H,7,false),VLOOKUP(J349,Sheet2!A:C,3,false))</f>
        <v>https://assets.roomstogo.com/product/helix-midnight-elite-twin-xl-mattress_50070122_alt-image-1</v>
      </c>
      <c r="AC349" s="8" t="str">
        <f t="shared" si="2"/>
        <v>https://rtg-275.myshopify.com/products/HELIX-MIDNIGHT-ELITE</v>
      </c>
      <c r="AD349" s="8" t="str">
        <f>vlookup(L349,'Python sheet'!$E$2:$F$373,2,0)</f>
        <v>https://rtg-275.myshopify.com/products/HELIX-MIDNIGHT-ELITE?variant=47915112562826</v>
      </c>
    </row>
    <row r="350">
      <c r="A350" s="4">
        <v>5.1300487E7</v>
      </c>
      <c r="B350" s="5"/>
      <c r="C350" s="5"/>
      <c r="D350" s="5"/>
      <c r="E350" s="5"/>
      <c r="F350" s="5"/>
      <c r="G350" s="5"/>
      <c r="H350" s="5"/>
      <c r="I350" s="5"/>
      <c r="J350" s="1" t="s">
        <v>447</v>
      </c>
      <c r="K350" s="1" t="s">
        <v>1014</v>
      </c>
      <c r="L350" s="1" t="str">
        <f t="shared" si="1"/>
        <v>BASELOGIC-SILVERSplit California King</v>
      </c>
      <c r="M350" s="1" t="s">
        <v>767</v>
      </c>
      <c r="N350" s="6">
        <v>649.0</v>
      </c>
      <c r="O350" s="6">
        <v>749.0</v>
      </c>
      <c r="P350" s="1" t="s">
        <v>449</v>
      </c>
      <c r="Q350" s="7"/>
      <c r="R350" s="1" t="s">
        <v>450</v>
      </c>
      <c r="S350" s="1" t="s">
        <v>31</v>
      </c>
      <c r="T350" s="1" t="s">
        <v>710</v>
      </c>
      <c r="U350" s="7"/>
      <c r="V350" s="7"/>
      <c r="W350" s="7"/>
      <c r="X350" s="7"/>
      <c r="Y350" s="7"/>
      <c r="Z350" s="7"/>
      <c r="AA350" s="11" t="str">
        <f>IFERROR(VLOOKUP(A350,Sheet3!B:H,6,false),VLOOKUP(J350,Sheet2!A:C,2,false))</f>
        <v>#N/A</v>
      </c>
      <c r="AB350" s="11" t="str">
        <f>IFERROR(VLOOKUP(A350,Sheet3!B:H,7,false),VLOOKUP(J350,Sheet2!A:C,3,false))</f>
        <v>#N/A</v>
      </c>
      <c r="AC350" s="8" t="str">
        <f t="shared" si="2"/>
        <v>https://rtg-275.myshopify.com/products/BASELOGIC-SILVER</v>
      </c>
      <c r="AD350" s="8" t="str">
        <f>vlookup(L350,'Python sheet'!$E$2:$F$373,2,0)</f>
        <v>https://rtg-275.myshopify.com/products/BASELOGIC-SILVER?variant=47915114463370</v>
      </c>
    </row>
    <row r="351">
      <c r="A351" s="4">
        <v>5.1300514E7</v>
      </c>
      <c r="B351" s="5"/>
      <c r="C351" s="5"/>
      <c r="D351" s="5"/>
      <c r="E351" s="5"/>
      <c r="F351" s="5"/>
      <c r="G351" s="5"/>
      <c r="H351" s="5"/>
      <c r="I351" s="5"/>
      <c r="J351" s="1" t="s">
        <v>453</v>
      </c>
      <c r="K351" s="1" t="s">
        <v>1015</v>
      </c>
      <c r="L351" s="1" t="str">
        <f t="shared" si="1"/>
        <v>BASELOGIC-PLATINUMSplit California King</v>
      </c>
      <c r="M351" s="1" t="s">
        <v>768</v>
      </c>
      <c r="N351" s="6">
        <v>1399.0</v>
      </c>
      <c r="O351" s="6">
        <v>1599.0</v>
      </c>
      <c r="P351" s="1" t="s">
        <v>449</v>
      </c>
      <c r="Q351" s="7"/>
      <c r="R351" s="1" t="s">
        <v>455</v>
      </c>
      <c r="S351" s="1" t="s">
        <v>31</v>
      </c>
      <c r="T351" s="1" t="s">
        <v>710</v>
      </c>
      <c r="U351" s="7"/>
      <c r="V351" s="7"/>
      <c r="W351" s="7"/>
      <c r="X351" s="7"/>
      <c r="Y351" s="7"/>
      <c r="Z351" s="7"/>
      <c r="AA351" s="11" t="str">
        <f>IFERROR(VLOOKUP(A351,Sheet3!B:H,6,false),VLOOKUP(J351,Sheet2!A:C,2,false))</f>
        <v>#N/A</v>
      </c>
      <c r="AB351" s="11" t="str">
        <f>IFERROR(VLOOKUP(A351,Sheet3!B:H,7,false),VLOOKUP(J351,Sheet2!A:C,3,false))</f>
        <v>#N/A</v>
      </c>
      <c r="AC351" s="8" t="str">
        <f t="shared" si="2"/>
        <v>https://rtg-275.myshopify.com/products/BASELOGIC-PLATINUM</v>
      </c>
      <c r="AD351" s="8" t="str">
        <f>vlookup(L351,'Python sheet'!$E$2:$F$373,2,0)</f>
        <v>https://rtg-275.myshopify.com/products/BASELOGIC-PLATINUM?variant=47915114659978</v>
      </c>
    </row>
    <row r="352">
      <c r="A352" s="4">
        <v>5.1307467E7</v>
      </c>
      <c r="B352" s="5"/>
      <c r="C352" s="5"/>
      <c r="D352" s="5"/>
      <c r="E352" s="5"/>
      <c r="F352" s="5"/>
      <c r="G352" s="5"/>
      <c r="H352" s="5"/>
      <c r="I352" s="5"/>
      <c r="J352" s="1" t="s">
        <v>62</v>
      </c>
      <c r="K352" s="1" t="s">
        <v>973</v>
      </c>
      <c r="L352" s="1" t="str">
        <f t="shared" si="1"/>
        <v>ADAPT-2-0-MEDIUMSplit California King</v>
      </c>
      <c r="M352" s="1" t="s">
        <v>769</v>
      </c>
      <c r="N352" s="6">
        <v>1699.0</v>
      </c>
      <c r="O352" s="6">
        <v>1699.0</v>
      </c>
      <c r="P352" s="1" t="s">
        <v>64</v>
      </c>
      <c r="Q352" s="7"/>
      <c r="R352" s="1" t="s">
        <v>65</v>
      </c>
      <c r="S352" s="1" t="s">
        <v>31</v>
      </c>
      <c r="T352" s="1" t="s">
        <v>710</v>
      </c>
      <c r="U352" s="1" t="s">
        <v>33</v>
      </c>
      <c r="V352" s="1" t="s">
        <v>42</v>
      </c>
      <c r="W352" s="1" t="s">
        <v>35</v>
      </c>
      <c r="X352" s="1" t="s">
        <v>42</v>
      </c>
      <c r="Y352" s="1" t="s">
        <v>42</v>
      </c>
      <c r="Z352" s="1" t="s">
        <v>37</v>
      </c>
      <c r="AA352" s="8" t="str">
        <f>IFERROR(VLOOKUP(A352,Sheet3!B:H,6,false),VLOOKUP(J352,Sheet2!A:C,2,false))</f>
        <v>https://assets.roomstogo.com/product/tempur-pedic-adapt-20-medium-twin-xl-mattress_50007460_image-item</v>
      </c>
      <c r="AB352" s="8" t="str">
        <f>IFERROR(VLOOKUP(A352,Sheet3!B:H,7,false),VLOOKUP(J352,Sheet2!A:C,3,false))</f>
        <v>https://assets.roomstogo.com/product/tempur-pedic-adapt-20-medium-twin-xl-mattress_50007460_alt-image-1</v>
      </c>
      <c r="AC352" s="8" t="str">
        <f t="shared" si="2"/>
        <v>https://rtg-275.myshopify.com/products/ADAPT-2-0-MEDIUM</v>
      </c>
      <c r="AD352" s="8" t="str">
        <f>vlookup(L352,'Python sheet'!$E$2:$F$373,2,0)</f>
        <v>https://rtg-275.myshopify.com/products/ADAPT-2-0-MEDIUM?variant=47915102961802</v>
      </c>
    </row>
    <row r="353">
      <c r="A353" s="4">
        <v>5.1307479E7</v>
      </c>
      <c r="B353" s="5"/>
      <c r="C353" s="5"/>
      <c r="D353" s="5"/>
      <c r="E353" s="5"/>
      <c r="F353" s="5"/>
      <c r="G353" s="5"/>
      <c r="H353" s="5"/>
      <c r="I353" s="5"/>
      <c r="J353" s="1" t="s">
        <v>68</v>
      </c>
      <c r="K353" s="1" t="s">
        <v>974</v>
      </c>
      <c r="L353" s="1" t="str">
        <f t="shared" si="1"/>
        <v>ADAPT-2-0-MEDIUM-HYBRIDSplit California King</v>
      </c>
      <c r="M353" s="1" t="s">
        <v>770</v>
      </c>
      <c r="N353" s="6">
        <v>1999.0</v>
      </c>
      <c r="O353" s="6">
        <v>1999.0</v>
      </c>
      <c r="P353" s="1" t="s">
        <v>64</v>
      </c>
      <c r="Q353" s="7"/>
      <c r="R353" s="1" t="s">
        <v>70</v>
      </c>
      <c r="S353" s="1" t="s">
        <v>31</v>
      </c>
      <c r="T353" s="1" t="s">
        <v>710</v>
      </c>
      <c r="U353" s="1" t="s">
        <v>41</v>
      </c>
      <c r="V353" s="1" t="s">
        <v>42</v>
      </c>
      <c r="W353" s="1" t="s">
        <v>35</v>
      </c>
      <c r="X353" s="1" t="s">
        <v>42</v>
      </c>
      <c r="Y353" s="1" t="s">
        <v>42</v>
      </c>
      <c r="Z353" s="1" t="s">
        <v>37</v>
      </c>
      <c r="AA353" s="8" t="str">
        <f>IFERROR(VLOOKUP(A353,Sheet3!B:H,6,false),VLOOKUP(J353,Sheet2!A:C,2,false))</f>
        <v>https://assets.roomstogo.com/product/tempur-pedic-adapt-20-medium-hybrid-twin-xl-mattress_50007472_image-item</v>
      </c>
      <c r="AB353" s="8" t="str">
        <f>IFERROR(VLOOKUP(A353,Sheet3!B:H,7,false),VLOOKUP(J353,Sheet2!A:C,3,false))</f>
        <v>https://assets.roomstogo.com/product/tempur-pedic-adapt-20-medium-hybrid-twin-xl-mattress_50007472_alt-image-1</v>
      </c>
      <c r="AC353" s="8" t="str">
        <f t="shared" si="2"/>
        <v>https://rtg-275.myshopify.com/products/ADAPT-2-0-MEDIUM-HYBRID</v>
      </c>
      <c r="AD353" s="8" t="str">
        <f>vlookup(L353,'Python sheet'!$E$2:$F$373,2,0)</f>
        <v>https://rtg-275.myshopify.com/products/ADAPT-2-0-MEDIUM-HYBRID?variant=47915103322250</v>
      </c>
    </row>
    <row r="354">
      <c r="A354" s="4">
        <v>5.1307481E7</v>
      </c>
      <c r="B354" s="9">
        <v>1.0</v>
      </c>
      <c r="C354" s="9">
        <v>5.0</v>
      </c>
      <c r="D354" s="2" t="s">
        <v>71</v>
      </c>
      <c r="E354" s="2" t="s">
        <v>44</v>
      </c>
      <c r="F354" s="2" t="s">
        <v>72</v>
      </c>
      <c r="G354" s="9">
        <v>245.0</v>
      </c>
      <c r="H354" s="9">
        <v>4.62</v>
      </c>
      <c r="I354" s="9">
        <v>244.0</v>
      </c>
      <c r="J354" s="1" t="s">
        <v>73</v>
      </c>
      <c r="K354" s="1" t="s">
        <v>975</v>
      </c>
      <c r="L354" s="1" t="str">
        <f t="shared" si="1"/>
        <v>PROADAPT-2-0-FIRMSplit California King</v>
      </c>
      <c r="M354" s="1" t="s">
        <v>771</v>
      </c>
      <c r="N354" s="6">
        <v>2899.0</v>
      </c>
      <c r="O354" s="6">
        <v>2899.0</v>
      </c>
      <c r="P354" s="1" t="s">
        <v>64</v>
      </c>
      <c r="Q354" s="7"/>
      <c r="R354" s="1" t="s">
        <v>75</v>
      </c>
      <c r="S354" s="1" t="s">
        <v>31</v>
      </c>
      <c r="T354" s="1" t="s">
        <v>710</v>
      </c>
      <c r="U354" s="1" t="s">
        <v>33</v>
      </c>
      <c r="V354" s="1" t="s">
        <v>42</v>
      </c>
      <c r="W354" s="1" t="s">
        <v>76</v>
      </c>
      <c r="X354" s="1" t="s">
        <v>50</v>
      </c>
      <c r="Y354" s="1" t="s">
        <v>42</v>
      </c>
      <c r="Z354" s="1" t="s">
        <v>77</v>
      </c>
      <c r="AA354" s="8" t="str">
        <f>IFERROR(VLOOKUP(A354,Sheet3!B:H,6,false),VLOOKUP(J354,Sheet2!A:C,2,false))</f>
        <v>https://assets.roomstogo.com/product/tempur-pedic-proadapt-20-firm-twin-xl-mattress_50007484_image-item</v>
      </c>
      <c r="AB354" s="8" t="str">
        <f>IFERROR(VLOOKUP(A354,Sheet3!B:H,7,false),VLOOKUP(J354,Sheet2!A:C,3,false))</f>
        <v>https://assets.roomstogo.com/product/tempur-pedic-proadapt-20-firm-twin-xl-mattress_50007484_alt-image-1</v>
      </c>
      <c r="AC354" s="8" t="str">
        <f t="shared" si="2"/>
        <v>https://rtg-275.myshopify.com/products/PROADAPT-2-0-FIRM</v>
      </c>
      <c r="AD354" s="8" t="str">
        <f>vlookup(L354,'Python sheet'!$E$2:$F$373,2,0)</f>
        <v>https://rtg-275.myshopify.com/products/PROADAPT-2-0-FIRM?variant=47915103649930</v>
      </c>
    </row>
    <row r="355">
      <c r="A355" s="4">
        <v>5.1307518E7</v>
      </c>
      <c r="B355" s="5"/>
      <c r="C355" s="5"/>
      <c r="D355" s="5"/>
      <c r="E355" s="5"/>
      <c r="F355" s="5"/>
      <c r="G355" s="5"/>
      <c r="H355" s="5"/>
      <c r="I355" s="5"/>
      <c r="J355" s="1" t="s">
        <v>80</v>
      </c>
      <c r="K355" s="1" t="s">
        <v>976</v>
      </c>
      <c r="L355" s="1" t="str">
        <f t="shared" si="1"/>
        <v>PROBREEZE-2-0-MEDIUM-HYBRIDSplit California King</v>
      </c>
      <c r="M355" s="1" t="s">
        <v>772</v>
      </c>
      <c r="N355" s="6">
        <v>3899.0</v>
      </c>
      <c r="O355" s="6">
        <v>3899.0</v>
      </c>
      <c r="P355" s="1" t="s">
        <v>64</v>
      </c>
      <c r="Q355" s="7"/>
      <c r="R355" s="1" t="s">
        <v>82</v>
      </c>
      <c r="S355" s="1" t="s">
        <v>31</v>
      </c>
      <c r="T355" s="1" t="s">
        <v>710</v>
      </c>
      <c r="U355" s="1" t="s">
        <v>41</v>
      </c>
      <c r="V355" s="1" t="s">
        <v>42</v>
      </c>
      <c r="W355" s="1" t="s">
        <v>35</v>
      </c>
      <c r="X355" s="1" t="s">
        <v>50</v>
      </c>
      <c r="Y355" s="1" t="s">
        <v>50</v>
      </c>
      <c r="Z355" s="1" t="s">
        <v>37</v>
      </c>
      <c r="AA355" s="8" t="str">
        <f>IFERROR(VLOOKUP(A355,Sheet3!B:H,6,false),VLOOKUP(J355,Sheet2!A:C,2,false))</f>
        <v>https://assets.roomstogo.com/product/tempur-pedic-probreeze-20-medium-hybrid-twin-xl-mattress_50007511_image-item</v>
      </c>
      <c r="AB355" s="8" t="str">
        <f>IFERROR(VLOOKUP(A355,Sheet3!B:H,7,false),VLOOKUP(J355,Sheet2!A:C,3,false))</f>
        <v>https://assets.roomstogo.com/product/tempur-pedic-probreeze-20-medium-hybrid-twin-xl-mattress_50007511_image-item</v>
      </c>
      <c r="AC355" s="8" t="str">
        <f t="shared" si="2"/>
        <v>https://rtg-275.myshopify.com/products/PROBREEZE-2-0-MEDIUM-HYBRID</v>
      </c>
      <c r="AD355" s="8" t="str">
        <f>vlookup(L355,'Python sheet'!$E$2:$F$373,2,0)</f>
        <v>https://rtg-275.myshopify.com/products/PROBREEZE-2-0-MEDIUM-HYBRID?variant=47915104174218</v>
      </c>
    </row>
    <row r="356">
      <c r="A356" s="4">
        <v>5.130752E7</v>
      </c>
      <c r="B356" s="5"/>
      <c r="C356" s="5"/>
      <c r="D356" s="5"/>
      <c r="E356" s="5"/>
      <c r="F356" s="5"/>
      <c r="G356" s="5"/>
      <c r="H356" s="5"/>
      <c r="I356" s="5"/>
      <c r="J356" s="1" t="s">
        <v>85</v>
      </c>
      <c r="K356" s="1" t="s">
        <v>977</v>
      </c>
      <c r="L356" s="1" t="str">
        <f t="shared" si="1"/>
        <v>PROADAPT-2-0-MEDIUMSplit California King</v>
      </c>
      <c r="M356" s="1" t="s">
        <v>773</v>
      </c>
      <c r="N356" s="6">
        <v>2899.0</v>
      </c>
      <c r="O356" s="6">
        <v>2899.0</v>
      </c>
      <c r="P356" s="1" t="s">
        <v>64</v>
      </c>
      <c r="Q356" s="7"/>
      <c r="R356" s="1" t="s">
        <v>75</v>
      </c>
      <c r="S356" s="1" t="s">
        <v>31</v>
      </c>
      <c r="T356" s="1" t="s">
        <v>710</v>
      </c>
      <c r="U356" s="1" t="s">
        <v>33</v>
      </c>
      <c r="V356" s="1" t="s">
        <v>42</v>
      </c>
      <c r="W356" s="1" t="s">
        <v>35</v>
      </c>
      <c r="X356" s="1" t="s">
        <v>50</v>
      </c>
      <c r="Y356" s="1" t="s">
        <v>42</v>
      </c>
      <c r="Z356" s="1" t="s">
        <v>37</v>
      </c>
      <c r="AA356" s="8" t="str">
        <f>IFERROR(VLOOKUP(A356,Sheet3!B:H,6,false),VLOOKUP(J356,Sheet2!A:C,2,false))</f>
        <v>https://assets.roomstogo.com/product/tempur-pedic-proadapt-20-medium-twin-xl-mattress_50007523_image-item</v>
      </c>
      <c r="AB356" s="8" t="str">
        <f>IFERROR(VLOOKUP(A356,Sheet3!B:H,7,false),VLOOKUP(J356,Sheet2!A:C,3,false))</f>
        <v>https://assets.roomstogo.com/product/tempur-pedic-proadapt-20-medium-twin-xl-mattress_50007523_alt-image-1</v>
      </c>
      <c r="AC356" s="8" t="str">
        <f t="shared" si="2"/>
        <v>https://rtg-275.myshopify.com/products/PROADAPT-2-0-MEDIUM</v>
      </c>
      <c r="AD356" s="8" t="str">
        <f>vlookup(L356,'Python sheet'!$E$2:$F$373,2,0)</f>
        <v>https://rtg-275.myshopify.com/products/PROADAPT-2-0-MEDIUM?variant=47915104501898</v>
      </c>
    </row>
    <row r="357">
      <c r="A357" s="4">
        <v>5.1307532E7</v>
      </c>
      <c r="B357" s="5"/>
      <c r="C357" s="5"/>
      <c r="D357" s="5"/>
      <c r="E357" s="5"/>
      <c r="F357" s="5"/>
      <c r="G357" s="5"/>
      <c r="H357" s="5"/>
      <c r="I357" s="5"/>
      <c r="J357" s="1" t="s">
        <v>89</v>
      </c>
      <c r="K357" s="1" t="s">
        <v>978</v>
      </c>
      <c r="L357" s="1" t="str">
        <f t="shared" si="1"/>
        <v>PROADAPT-2-0-SOFTSplit California King</v>
      </c>
      <c r="M357" s="1" t="s">
        <v>774</v>
      </c>
      <c r="N357" s="6">
        <v>2899.0</v>
      </c>
      <c r="O357" s="6">
        <v>2899.0</v>
      </c>
      <c r="P357" s="1" t="s">
        <v>64</v>
      </c>
      <c r="Q357" s="7"/>
      <c r="R357" s="1" t="s">
        <v>91</v>
      </c>
      <c r="S357" s="1" t="s">
        <v>31</v>
      </c>
      <c r="T357" s="1" t="s">
        <v>710</v>
      </c>
      <c r="U357" s="1" t="s">
        <v>33</v>
      </c>
      <c r="V357" s="1" t="s">
        <v>50</v>
      </c>
      <c r="W357" s="1" t="s">
        <v>49</v>
      </c>
      <c r="X357" s="1" t="s">
        <v>50</v>
      </c>
      <c r="Y357" s="1" t="s">
        <v>42</v>
      </c>
      <c r="Z357" s="1" t="s">
        <v>51</v>
      </c>
      <c r="AA357" s="8" t="str">
        <f>IFERROR(VLOOKUP(A357,Sheet3!B:H,6,false),VLOOKUP(J357,Sheet2!A:C,2,false))</f>
        <v>https://assets.roomstogo.com/product/tempur-pedic-proadapt-20-soft-twin-xl-mattress_50007535_image-item</v>
      </c>
      <c r="AB357" s="8" t="str">
        <f>IFERROR(VLOOKUP(A357,Sheet3!B:H,7,false),VLOOKUP(J357,Sheet2!A:C,3,false))</f>
        <v>https://assets.roomstogo.com/product/tempur-pedic-proadapt-20-soft-twin-xl-mattress_50007535_alt-image-1</v>
      </c>
      <c r="AC357" s="8" t="str">
        <f t="shared" si="2"/>
        <v>https://rtg-275.myshopify.com/products/PROADAPT-2-0-SOFT</v>
      </c>
      <c r="AD357" s="8" t="str">
        <f>vlookup(L357,'Python sheet'!$E$2:$F$373,2,0)</f>
        <v>https://rtg-275.myshopify.com/products/PROADAPT-2-0-SOFT?variant=47915104764042</v>
      </c>
    </row>
    <row r="358">
      <c r="A358" s="4">
        <v>5.1307556E7</v>
      </c>
      <c r="B358" s="9">
        <v>1.0</v>
      </c>
      <c r="C358" s="9">
        <v>5.0</v>
      </c>
      <c r="D358" s="2" t="s">
        <v>92</v>
      </c>
      <c r="E358" s="2" t="s">
        <v>44</v>
      </c>
      <c r="F358" s="2" t="s">
        <v>93</v>
      </c>
      <c r="G358" s="9">
        <v>975.0</v>
      </c>
      <c r="H358" s="9">
        <v>4.38</v>
      </c>
      <c r="I358" s="9">
        <v>974.0</v>
      </c>
      <c r="J358" s="1" t="s">
        <v>94</v>
      </c>
      <c r="K358" s="1" t="s">
        <v>979</v>
      </c>
      <c r="L358" s="1" t="str">
        <f t="shared" si="1"/>
        <v>PROADAPT-2-0-MEDIUM-HYBRIDSplit California King</v>
      </c>
      <c r="M358" s="1" t="s">
        <v>775</v>
      </c>
      <c r="N358" s="6">
        <v>2899.0</v>
      </c>
      <c r="O358" s="6">
        <v>2899.0</v>
      </c>
      <c r="P358" s="1" t="s">
        <v>64</v>
      </c>
      <c r="Q358" s="7"/>
      <c r="R358" s="1" t="s">
        <v>390</v>
      </c>
      <c r="S358" s="1" t="s">
        <v>31</v>
      </c>
      <c r="T358" s="1" t="s">
        <v>710</v>
      </c>
      <c r="U358" s="1" t="s">
        <v>41</v>
      </c>
      <c r="V358" s="1" t="s">
        <v>42</v>
      </c>
      <c r="W358" s="1" t="s">
        <v>35</v>
      </c>
      <c r="X358" s="1" t="s">
        <v>50</v>
      </c>
      <c r="Y358" s="1" t="s">
        <v>42</v>
      </c>
      <c r="Z358" s="1" t="s">
        <v>37</v>
      </c>
      <c r="AA358" s="8" t="str">
        <f>IFERROR(VLOOKUP(A358,Sheet3!B:H,6,false),VLOOKUP(J358,Sheet2!A:C,2,false))</f>
        <v>https://assets.roomstogo.com/product/tempur-pedic-proadapt-20-medium-hybrid-twin-xl-mattress_50007559_image-item</v>
      </c>
      <c r="AB358" s="8" t="str">
        <f>IFERROR(VLOOKUP(A358,Sheet3!B:H,7,false),VLOOKUP(J358,Sheet2!A:C,3,false))</f>
        <v>https://assets.roomstogo.com/product/tempur-pedic-proadapt-20-medium-hybrid-twin-xl-mattress_50007559_alt-image-1</v>
      </c>
      <c r="AC358" s="8" t="str">
        <f t="shared" si="2"/>
        <v>https://rtg-275.myshopify.com/products/PROADAPT-2-0-MEDIUM-HYBRID</v>
      </c>
      <c r="AD358" s="8" t="str">
        <f>vlookup(L358,'Python sheet'!$E$2:$F$373,2,0)</f>
        <v>https://rtg-275.myshopify.com/products/PROADAPT-2-0-MEDIUM-HYBRID?variant=47915105091722</v>
      </c>
    </row>
    <row r="359">
      <c r="A359" s="4">
        <v>5.1307568E7</v>
      </c>
      <c r="B359" s="5"/>
      <c r="C359" s="5"/>
      <c r="D359" s="5"/>
      <c r="E359" s="5"/>
      <c r="F359" s="5"/>
      <c r="G359" s="5"/>
      <c r="H359" s="5"/>
      <c r="I359" s="5"/>
      <c r="J359" s="1" t="s">
        <v>99</v>
      </c>
      <c r="K359" s="1" t="s">
        <v>980</v>
      </c>
      <c r="L359" s="1" t="str">
        <f t="shared" si="1"/>
        <v>LUXEADAPT-2-0-SOFTSplit California King</v>
      </c>
      <c r="M359" s="1" t="s">
        <v>776</v>
      </c>
      <c r="N359" s="6">
        <v>4199.0</v>
      </c>
      <c r="O359" s="6">
        <v>4199.0</v>
      </c>
      <c r="P359" s="1" t="s">
        <v>64</v>
      </c>
      <c r="Q359" s="7"/>
      <c r="R359" s="1" t="s">
        <v>101</v>
      </c>
      <c r="S359" s="1" t="s">
        <v>31</v>
      </c>
      <c r="T359" s="1" t="s">
        <v>710</v>
      </c>
      <c r="U359" s="1" t="s">
        <v>33</v>
      </c>
      <c r="V359" s="1" t="s">
        <v>50</v>
      </c>
      <c r="W359" s="1" t="s">
        <v>49</v>
      </c>
      <c r="X359" s="1" t="s">
        <v>50</v>
      </c>
      <c r="Y359" s="1" t="s">
        <v>42</v>
      </c>
      <c r="Z359" s="1" t="s">
        <v>51</v>
      </c>
      <c r="AA359" s="8" t="str">
        <f>IFERROR(VLOOKUP(A359,Sheet3!B:H,6,false),VLOOKUP(J359,Sheet2!A:C,2,false))</f>
        <v>https://assets.roomstogo.com/product/tempur-pedic-luxeadapt-20-soft-twin-xl-mattress_50007561_image-item</v>
      </c>
      <c r="AB359" s="8" t="str">
        <f>IFERROR(VLOOKUP(A359,Sheet3!B:H,7,false),VLOOKUP(J359,Sheet2!A:C,3,false))</f>
        <v>https://assets.roomstogo.com/product/tempur-pedic-luxeadapt-20-soft-twin-xl-mattress_50007561_alt-image-1</v>
      </c>
      <c r="AC359" s="8" t="str">
        <f t="shared" si="2"/>
        <v>https://rtg-275.myshopify.com/products/LUXEADAPT-2-0-SOFT</v>
      </c>
      <c r="AD359" s="8" t="str">
        <f>vlookup(L359,'Python sheet'!$E$2:$F$373,2,0)</f>
        <v>https://rtg-275.myshopify.com/products/LUXEADAPT-2-0-SOFT?variant=47915105288330</v>
      </c>
    </row>
    <row r="360">
      <c r="A360" s="4">
        <v>5.1307621E7</v>
      </c>
      <c r="B360" s="5"/>
      <c r="C360" s="5"/>
      <c r="D360" s="5"/>
      <c r="E360" s="5"/>
      <c r="F360" s="5"/>
      <c r="G360" s="5"/>
      <c r="H360" s="5"/>
      <c r="I360" s="5"/>
      <c r="J360" s="1" t="s">
        <v>109</v>
      </c>
      <c r="K360" s="1" t="s">
        <v>982</v>
      </c>
      <c r="L360" s="1" t="str">
        <f t="shared" si="1"/>
        <v>LUXEBREEZE-2-0-FIRMSplit California King</v>
      </c>
      <c r="M360" s="1" t="s">
        <v>777</v>
      </c>
      <c r="N360" s="6">
        <v>5199.0</v>
      </c>
      <c r="O360" s="6">
        <v>5199.0</v>
      </c>
      <c r="P360" s="1" t="s">
        <v>64</v>
      </c>
      <c r="Q360" s="7"/>
      <c r="R360" s="1" t="s">
        <v>111</v>
      </c>
      <c r="S360" s="1" t="s">
        <v>31</v>
      </c>
      <c r="T360" s="1" t="s">
        <v>710</v>
      </c>
      <c r="U360" s="1" t="s">
        <v>33</v>
      </c>
      <c r="V360" s="1" t="s">
        <v>50</v>
      </c>
      <c r="W360" s="1" t="s">
        <v>76</v>
      </c>
      <c r="X360" s="1" t="s">
        <v>50</v>
      </c>
      <c r="Y360" s="1" t="s">
        <v>50</v>
      </c>
      <c r="Z360" s="1" t="s">
        <v>77</v>
      </c>
      <c r="AA360" s="8" t="str">
        <f>IFERROR(VLOOKUP(A360,Sheet3!B:H,6,false),VLOOKUP(J360,Sheet2!A:C,2,false))</f>
        <v>https://assets.roomstogo.com/product/tempur-pedic-luxebreeze-20-firm-twin-xl-mattress_50007624_image-item</v>
      </c>
      <c r="AB360" s="8" t="str">
        <f>IFERROR(VLOOKUP(A360,Sheet3!B:H,7,false),VLOOKUP(J360,Sheet2!A:C,3,false))</f>
        <v>https://assets.roomstogo.com/product/tempur-pedic-luxebreeze-20-firm-twin-xl-mattress_50007624_image-item</v>
      </c>
      <c r="AC360" s="8" t="str">
        <f t="shared" si="2"/>
        <v>https://rtg-275.myshopify.com/products/LUXEBREEZE-2-0-FIRM</v>
      </c>
      <c r="AD360" s="8" t="str">
        <f>vlookup(L360,'Python sheet'!$E$2:$F$373,2,0)</f>
        <v>https://rtg-275.myshopify.com/products/LUXEBREEZE-2-0-FIRM?variant=47915105714314</v>
      </c>
    </row>
    <row r="361">
      <c r="A361" s="4">
        <v>5.1308166E7</v>
      </c>
      <c r="B361" s="5"/>
      <c r="C361" s="5"/>
      <c r="D361" s="5"/>
      <c r="E361" s="5"/>
      <c r="F361" s="5"/>
      <c r="G361" s="5"/>
      <c r="H361" s="5"/>
      <c r="I361" s="5"/>
      <c r="J361" s="1" t="s">
        <v>458</v>
      </c>
      <c r="K361" s="1" t="s">
        <v>1016</v>
      </c>
      <c r="L361" s="1" t="str">
        <f t="shared" si="1"/>
        <v>TEMPUR-ERGO-3-0Split California King</v>
      </c>
      <c r="M361" s="1" t="s">
        <v>778</v>
      </c>
      <c r="N361" s="6">
        <v>1599.0</v>
      </c>
      <c r="O361" s="6">
        <v>1599.0</v>
      </c>
      <c r="P361" s="1" t="s">
        <v>64</v>
      </c>
      <c r="Q361" s="7"/>
      <c r="R361" s="1" t="s">
        <v>460</v>
      </c>
      <c r="S361" s="1" t="s">
        <v>31</v>
      </c>
      <c r="T361" s="1" t="s">
        <v>710</v>
      </c>
      <c r="U361" s="7"/>
      <c r="V361" s="7"/>
      <c r="W361" s="7"/>
      <c r="X361" s="7"/>
      <c r="Y361" s="7"/>
      <c r="Z361" s="7"/>
      <c r="AA361" s="11" t="str">
        <f>IFERROR(VLOOKUP(A361,Sheet3!B:H,6,false),VLOOKUP(J361,Sheet2!A:C,2,false))</f>
        <v>#N/A</v>
      </c>
      <c r="AB361" s="11" t="str">
        <f>IFERROR(VLOOKUP(A361,Sheet3!B:H,7,false),VLOOKUP(J361,Sheet2!A:C,3,false))</f>
        <v>#N/A</v>
      </c>
      <c r="AC361" s="8" t="str">
        <f t="shared" si="2"/>
        <v>https://rtg-275.myshopify.com/products/TEMPUR-ERGO-3-0</v>
      </c>
      <c r="AD361" s="8" t="str">
        <f>vlookup(L361,'Python sheet'!$E$2:$F$373,2,0)</f>
        <v>https://rtg-275.myshopify.com/products/TEMPUR-ERGO-3-0?variant=47915114889354</v>
      </c>
    </row>
    <row r="362">
      <c r="A362" s="4">
        <v>5.130818E7</v>
      </c>
      <c r="B362" s="5"/>
      <c r="C362" s="5"/>
      <c r="D362" s="5"/>
      <c r="E362" s="5"/>
      <c r="F362" s="5"/>
      <c r="G362" s="5"/>
      <c r="H362" s="5"/>
      <c r="I362" s="5"/>
      <c r="J362" s="1" t="s">
        <v>463</v>
      </c>
      <c r="K362" s="1" t="s">
        <v>1017</v>
      </c>
      <c r="L362" s="1" t="str">
        <f t="shared" si="1"/>
        <v>TEMPUR-ERGO-3-0-SMARTSplit California King</v>
      </c>
      <c r="M362" s="1" t="s">
        <v>779</v>
      </c>
      <c r="N362" s="6">
        <v>2099.0</v>
      </c>
      <c r="O362" s="6">
        <v>2099.0</v>
      </c>
      <c r="P362" s="1" t="s">
        <v>64</v>
      </c>
      <c r="Q362" s="7"/>
      <c r="R362" s="1" t="s">
        <v>465</v>
      </c>
      <c r="S362" s="1" t="s">
        <v>31</v>
      </c>
      <c r="T362" s="1" t="s">
        <v>710</v>
      </c>
      <c r="U362" s="7"/>
      <c r="V362" s="7"/>
      <c r="W362" s="7"/>
      <c r="X362" s="7"/>
      <c r="Y362" s="7"/>
      <c r="Z362" s="7"/>
      <c r="AA362" s="11" t="str">
        <f>IFERROR(VLOOKUP(A362,Sheet3!B:H,6,false),VLOOKUP(J362,Sheet2!A:C,2,false))</f>
        <v>#N/A</v>
      </c>
      <c r="AB362" s="11" t="str">
        <f>IFERROR(VLOOKUP(A362,Sheet3!B:H,7,false),VLOOKUP(J362,Sheet2!A:C,3,false))</f>
        <v>#N/A</v>
      </c>
      <c r="AC362" s="8" t="str">
        <f t="shared" si="2"/>
        <v>https://rtg-275.myshopify.com/products/TEMPUR-ERGO-3-0-SMART</v>
      </c>
      <c r="AD362" s="8" t="str">
        <f>vlookup(L362,'Python sheet'!$E$2:$F$373,2,0)</f>
        <v>https://rtg-275.myshopify.com/products/TEMPUR-ERGO-3-0-SMART?variant=47915115118730</v>
      </c>
    </row>
    <row r="363">
      <c r="A363" s="4">
        <v>5.1308192E7</v>
      </c>
      <c r="B363" s="5"/>
      <c r="C363" s="5"/>
      <c r="D363" s="5"/>
      <c r="E363" s="5"/>
      <c r="F363" s="5"/>
      <c r="G363" s="5"/>
      <c r="H363" s="5"/>
      <c r="I363" s="5"/>
      <c r="J363" s="1" t="s">
        <v>549</v>
      </c>
      <c r="K363" s="1" t="s">
        <v>1018</v>
      </c>
      <c r="L363" s="1" t="str">
        <f t="shared" si="1"/>
        <v>TEMPUR-ERGO-PROSMARTSplit California King</v>
      </c>
      <c r="M363" s="1" t="s">
        <v>780</v>
      </c>
      <c r="N363" s="6">
        <v>2599.0</v>
      </c>
      <c r="O363" s="6">
        <v>2599.0</v>
      </c>
      <c r="P363" s="1" t="s">
        <v>64</v>
      </c>
      <c r="Q363" s="7"/>
      <c r="R363" s="1" t="s">
        <v>551</v>
      </c>
      <c r="S363" s="1" t="s">
        <v>31</v>
      </c>
      <c r="T363" s="1" t="s">
        <v>710</v>
      </c>
      <c r="U363" s="7"/>
      <c r="V363" s="7"/>
      <c r="W363" s="7"/>
      <c r="X363" s="7"/>
      <c r="Y363" s="7"/>
      <c r="Z363" s="7"/>
      <c r="AA363" s="11" t="str">
        <f>IFERROR(VLOOKUP(A363,Sheet3!B:H,6,false),VLOOKUP(J363,Sheet2!A:C,2,false))</f>
        <v>#N/A</v>
      </c>
      <c r="AB363" s="11" t="str">
        <f>IFERROR(VLOOKUP(A363,Sheet3!B:H,7,false),VLOOKUP(J363,Sheet2!A:C,3,false))</f>
        <v>#N/A</v>
      </c>
      <c r="AC363" s="8" t="str">
        <f t="shared" si="2"/>
        <v>https://rtg-275.myshopify.com/products/TEMPUR-ERGO-PROSMART</v>
      </c>
      <c r="AD363" s="8" t="str">
        <f>vlookup(L363,'Python sheet'!$E$2:$F$373,2,0)</f>
        <v>https://rtg-275.myshopify.com/products/TEMPUR-ERGO-PROSMART?variant=47915115315338</v>
      </c>
    </row>
    <row r="364">
      <c r="A364" s="4">
        <v>5.13186E7</v>
      </c>
      <c r="B364" s="5"/>
      <c r="C364" s="5"/>
      <c r="D364" s="5"/>
      <c r="E364" s="5"/>
      <c r="F364" s="5"/>
      <c r="G364" s="5"/>
      <c r="H364" s="5"/>
      <c r="I364" s="5"/>
      <c r="J364" s="1" t="s">
        <v>369</v>
      </c>
      <c r="K364" s="1" t="s">
        <v>1013</v>
      </c>
      <c r="L364" s="1" t="str">
        <f t="shared" si="1"/>
        <v>EASE-4-0Split California King</v>
      </c>
      <c r="M364" s="1" t="s">
        <v>781</v>
      </c>
      <c r="N364" s="6">
        <v>899.0</v>
      </c>
      <c r="O364" s="6">
        <v>899.0</v>
      </c>
      <c r="P364" s="7"/>
      <c r="Q364" s="7"/>
      <c r="R364" s="1" t="s">
        <v>371</v>
      </c>
      <c r="S364" s="1" t="s">
        <v>31</v>
      </c>
      <c r="T364" s="1" t="s">
        <v>710</v>
      </c>
      <c r="U364" s="7"/>
      <c r="V364" s="7"/>
      <c r="W364" s="7"/>
      <c r="X364" s="7"/>
      <c r="Y364" s="7"/>
      <c r="Z364" s="7"/>
      <c r="AA364" s="11" t="str">
        <f>IFERROR(VLOOKUP(A364,Sheet3!B:H,6,false),VLOOKUP(J364,Sheet2!A:C,2,false))</f>
        <v>#N/A</v>
      </c>
      <c r="AB364" s="11" t="str">
        <f>IFERROR(VLOOKUP(A364,Sheet3!B:H,7,false),VLOOKUP(J364,Sheet2!A:C,3,false))</f>
        <v>#N/A</v>
      </c>
      <c r="AC364" s="8" t="str">
        <f t="shared" si="2"/>
        <v>https://rtg-275.myshopify.com/products/EASE-4-0</v>
      </c>
      <c r="AD364" s="8" t="str">
        <f>vlookup(L364,'Python sheet'!$E$2:$F$373,2,0)</f>
        <v>https://rtg-275.myshopify.com/products/EASE-4-0?variant=47915114233994</v>
      </c>
    </row>
    <row r="365">
      <c r="A365" s="4">
        <v>5.1337054E7</v>
      </c>
      <c r="B365" s="5"/>
      <c r="C365" s="5"/>
      <c r="D365" s="5"/>
      <c r="E365" s="5"/>
      <c r="F365" s="5"/>
      <c r="G365" s="5"/>
      <c r="H365" s="5"/>
      <c r="I365" s="5"/>
      <c r="J365" s="1" t="s">
        <v>203</v>
      </c>
      <c r="K365" s="1" t="s">
        <v>1000</v>
      </c>
      <c r="L365" s="1" t="str">
        <f t="shared" si="1"/>
        <v>SERIES-ONE-EXTRA-FIRMSplit California King</v>
      </c>
      <c r="M365" s="1" t="s">
        <v>782</v>
      </c>
      <c r="N365" s="6">
        <v>1549.0</v>
      </c>
      <c r="O365" s="6">
        <v>1549.0</v>
      </c>
      <c r="P365" s="1" t="s">
        <v>205</v>
      </c>
      <c r="Q365" s="7"/>
      <c r="R365" s="1" t="s">
        <v>206</v>
      </c>
      <c r="S365" s="1" t="s">
        <v>31</v>
      </c>
      <c r="T365" s="1" t="s">
        <v>710</v>
      </c>
      <c r="U365" s="1" t="s">
        <v>59</v>
      </c>
      <c r="V365" s="1" t="s">
        <v>34</v>
      </c>
      <c r="W365" s="1" t="s">
        <v>76</v>
      </c>
      <c r="X365" s="1" t="s">
        <v>50</v>
      </c>
      <c r="Y365" s="1" t="s">
        <v>42</v>
      </c>
      <c r="Z365" s="1" t="s">
        <v>144</v>
      </c>
      <c r="AA365" s="8" t="str">
        <f>IFERROR(VLOOKUP(A365,Sheet3!B:H,6,false),VLOOKUP(J365,Sheet2!A:C,2,false))</f>
        <v>https://assets.roomstogo.com/product/beautyrest-black-series-one-extra-firm-twin-xl-mattress_50037057_image-item</v>
      </c>
      <c r="AB365" s="8" t="str">
        <f>IFERROR(VLOOKUP(A365,Sheet3!B:H,7,false),VLOOKUP(J365,Sheet2!A:C,3,false))</f>
        <v>https://assets.roomstogo.com/product/beautyrest-black-series-one-extra-firm-twin-xl-mattress_50037057_alt-image-1</v>
      </c>
      <c r="AC365" s="8" t="str">
        <f t="shared" si="2"/>
        <v>https://rtg-275.myshopify.com/products/SERIES-ONE-EXTRA-FIRM</v>
      </c>
      <c r="AD365" s="8" t="str">
        <f>vlookup(L365,'Python sheet'!$E$2:$F$373,2,0)</f>
        <v>https://rtg-275.myshopify.com/products/SERIES-ONE-EXTRA-FIRM?variant=47915111252106</v>
      </c>
    </row>
    <row r="366">
      <c r="A366" s="4">
        <v>5.133722E7</v>
      </c>
      <c r="B366" s="5"/>
      <c r="C366" s="5"/>
      <c r="D366" s="5"/>
      <c r="E366" s="5"/>
      <c r="F366" s="5"/>
      <c r="G366" s="5"/>
      <c r="H366" s="5"/>
      <c r="I366" s="5"/>
      <c r="J366" s="1" t="s">
        <v>214</v>
      </c>
      <c r="K366" s="1" t="s">
        <v>1002</v>
      </c>
      <c r="L366" s="1" t="str">
        <f t="shared" si="1"/>
        <v>SERIES-THREE-PLUSH-PILLOW-TOPSplit California King</v>
      </c>
      <c r="M366" s="1" t="s">
        <v>783</v>
      </c>
      <c r="N366" s="6">
        <v>3649.0</v>
      </c>
      <c r="O366" s="6">
        <v>3649.0</v>
      </c>
      <c r="P366" s="1" t="s">
        <v>205</v>
      </c>
      <c r="Q366" s="7"/>
      <c r="R366" s="1" t="s">
        <v>216</v>
      </c>
      <c r="S366" s="1" t="s">
        <v>31</v>
      </c>
      <c r="T366" s="1" t="s">
        <v>710</v>
      </c>
      <c r="U366" s="1" t="s">
        <v>59</v>
      </c>
      <c r="V366" s="1" t="s">
        <v>50</v>
      </c>
      <c r="W366" s="1" t="s">
        <v>49</v>
      </c>
      <c r="X366" s="1" t="s">
        <v>50</v>
      </c>
      <c r="Y366" s="1" t="s">
        <v>42</v>
      </c>
      <c r="Z366" s="1" t="s">
        <v>51</v>
      </c>
      <c r="AA366" s="8" t="str">
        <f>IFERROR(VLOOKUP(A366,Sheet3!B:H,6,false),VLOOKUP(J366,Sheet2!A:C,2,false))</f>
        <v>https://assets.roomstogo.com/product/beautyrest-black-series-three-plush-pillow-top-twin-xl-mattress_50037223_image-item</v>
      </c>
      <c r="AB366" s="8" t="str">
        <f>IFERROR(VLOOKUP(A366,Sheet3!B:H,7,false),VLOOKUP(J366,Sheet2!A:C,3,false))</f>
        <v>https://assets.roomstogo.com/product/beautyrest-black-series-three-plush-pillow-top-twin-xl-mattress_50037223_alt-image-1</v>
      </c>
      <c r="AC366" s="8" t="str">
        <f t="shared" si="2"/>
        <v>https://rtg-275.myshopify.com/products/SERIES-THREE-PLUSH-PILLOW-TOP</v>
      </c>
      <c r="AD366" s="8" t="str">
        <f>vlookup(L366,'Python sheet'!$E$2:$F$373,2,0)</f>
        <v>https://rtg-275.myshopify.com/products/SERIES-THREE-PLUSH-PILLOW-TOP?variant=47915111678090</v>
      </c>
    </row>
    <row r="367">
      <c r="A367" s="4">
        <v>5.1348033E7</v>
      </c>
      <c r="B367" s="5"/>
      <c r="C367" s="5"/>
      <c r="D367" s="5"/>
      <c r="E367" s="5"/>
      <c r="F367" s="5"/>
      <c r="G367" s="5"/>
      <c r="H367" s="5"/>
      <c r="I367" s="5"/>
      <c r="J367" s="1" t="s">
        <v>219</v>
      </c>
      <c r="K367" s="1" t="s">
        <v>1003</v>
      </c>
      <c r="L367" s="1" t="str">
        <f t="shared" si="1"/>
        <v>ESTATE-FIRM-TTSplit California King</v>
      </c>
      <c r="M367" s="1" t="s">
        <v>784</v>
      </c>
      <c r="N367" s="6">
        <v>2099.0</v>
      </c>
      <c r="O367" s="6">
        <v>2299.0</v>
      </c>
      <c r="P367" s="1" t="s">
        <v>221</v>
      </c>
      <c r="Q367" s="7"/>
      <c r="R367" s="7"/>
      <c r="S367" s="7"/>
      <c r="T367" s="1" t="s">
        <v>710</v>
      </c>
      <c r="U367" s="1" t="s">
        <v>59</v>
      </c>
      <c r="V367" s="1" t="s">
        <v>42</v>
      </c>
      <c r="W367" s="1" t="s">
        <v>76</v>
      </c>
      <c r="X367" s="1" t="s">
        <v>34</v>
      </c>
      <c r="Y367" s="1" t="s">
        <v>34</v>
      </c>
      <c r="Z367" s="1" t="s">
        <v>77</v>
      </c>
      <c r="AA367" s="8" t="str">
        <f>IFERROR(VLOOKUP(A367,Sheet3!B:H,6,false),VLOOKUP(J367,Sheet2!A:C,2,false))</f>
        <v>https://assets.roomstogo.com/product/stearns-and-foster-estate-firm-tight-top-twin-xl-mattress_50048036_image-item</v>
      </c>
      <c r="AB367" s="8" t="str">
        <f>IFERROR(VLOOKUP(A367,Sheet3!B:H,7,false),VLOOKUP(J367,Sheet2!A:C,3,false))</f>
        <v>https://assets.roomstogo.com/product/stearns-and-foster-estate-firm-tight-top-twin-xl-mattress_50048036_alt-image-1</v>
      </c>
      <c r="AC367" s="8" t="str">
        <f t="shared" si="2"/>
        <v>https://rtg-275.myshopify.com/products/ESTATE-FIRM-TT</v>
      </c>
      <c r="AD367" s="8" t="str">
        <f>vlookup(L367,'Python sheet'!$E$2:$F$373,2,0)</f>
        <v>https://rtg-275.myshopify.com/products/ESTATE-FIRM-TT?variant=47915111874698</v>
      </c>
    </row>
    <row r="368">
      <c r="A368" s="4">
        <v>5.150816E7</v>
      </c>
      <c r="B368" s="9">
        <v>1.0</v>
      </c>
      <c r="C368" s="9">
        <v>5.0</v>
      </c>
      <c r="D368" s="2" t="s">
        <v>785</v>
      </c>
      <c r="E368" s="2" t="s">
        <v>786</v>
      </c>
      <c r="F368" s="2" t="s">
        <v>457</v>
      </c>
      <c r="G368" s="9">
        <v>1.0</v>
      </c>
      <c r="H368" s="9">
        <v>5.0</v>
      </c>
      <c r="I368" s="9">
        <v>0.0</v>
      </c>
      <c r="J368" s="1" t="s">
        <v>458</v>
      </c>
      <c r="K368" s="1" t="s">
        <v>1016</v>
      </c>
      <c r="L368" s="1" t="str">
        <f t="shared" si="1"/>
        <v>TEMPUR-ERGO-3-0California King</v>
      </c>
      <c r="M368" s="1" t="s">
        <v>787</v>
      </c>
      <c r="N368" s="6">
        <v>2399.0</v>
      </c>
      <c r="O368" s="6">
        <v>2399.0</v>
      </c>
      <c r="P368" s="1" t="s">
        <v>64</v>
      </c>
      <c r="Q368" s="7"/>
      <c r="R368" s="1" t="s">
        <v>460</v>
      </c>
      <c r="S368" s="1" t="s">
        <v>31</v>
      </c>
      <c r="T368" s="1" t="s">
        <v>670</v>
      </c>
      <c r="U368" s="7"/>
      <c r="V368" s="7"/>
      <c r="W368" s="7"/>
      <c r="X368" s="7"/>
      <c r="Y368" s="7"/>
      <c r="Z368" s="7"/>
      <c r="AA368" s="11" t="str">
        <f>IFERROR(VLOOKUP(A368,Sheet3!B:H,6,false),VLOOKUP(J368,Sheet2!A:C,2,false))</f>
        <v>#N/A</v>
      </c>
      <c r="AB368" s="11" t="str">
        <f>IFERROR(VLOOKUP(A368,Sheet3!B:H,7,false),VLOOKUP(J368,Sheet2!A:C,3,false))</f>
        <v>#N/A</v>
      </c>
      <c r="AC368" s="8" t="str">
        <f t="shared" si="2"/>
        <v>https://rtg-275.myshopify.com/products/TEMPUR-ERGO-3-0</v>
      </c>
      <c r="AD368" s="8" t="str">
        <f>vlookup(L368,'Python sheet'!$E$2:$F$373,2,0)</f>
        <v>https://rtg-275.myshopify.com/products/TEMPUR-ERGO-3-0?variant=47915114922122</v>
      </c>
    </row>
    <row r="369">
      <c r="A369" s="4">
        <v>5.1508184E7</v>
      </c>
      <c r="B369" s="5"/>
      <c r="C369" s="5"/>
      <c r="D369" s="5"/>
      <c r="E369" s="5"/>
      <c r="F369" s="5"/>
      <c r="G369" s="5"/>
      <c r="H369" s="5"/>
      <c r="I369" s="5"/>
      <c r="J369" s="1" t="s">
        <v>463</v>
      </c>
      <c r="K369" s="1" t="s">
        <v>1017</v>
      </c>
      <c r="L369" s="1" t="str">
        <f t="shared" si="1"/>
        <v>TEMPUR-ERGO-3-0-SMARTCalifornia King</v>
      </c>
      <c r="M369" s="1" t="s">
        <v>788</v>
      </c>
      <c r="N369" s="6">
        <v>2899.0</v>
      </c>
      <c r="O369" s="6">
        <v>2899.0</v>
      </c>
      <c r="P369" s="1" t="s">
        <v>64</v>
      </c>
      <c r="Q369" s="7"/>
      <c r="R369" s="1" t="s">
        <v>465</v>
      </c>
      <c r="S369" s="1" t="s">
        <v>31</v>
      </c>
      <c r="T369" s="1" t="s">
        <v>670</v>
      </c>
      <c r="U369" s="7"/>
      <c r="V369" s="7"/>
      <c r="W369" s="7"/>
      <c r="X369" s="7"/>
      <c r="Y369" s="7"/>
      <c r="Z369" s="7"/>
      <c r="AA369" s="11" t="str">
        <f>IFERROR(VLOOKUP(A369,Sheet3!B:H,6,false),VLOOKUP(J369,Sheet2!A:C,2,false))</f>
        <v>#N/A</v>
      </c>
      <c r="AB369" s="11" t="str">
        <f>IFERROR(VLOOKUP(A369,Sheet3!B:H,7,false),VLOOKUP(J369,Sheet2!A:C,3,false))</f>
        <v>#N/A</v>
      </c>
      <c r="AC369" s="8" t="str">
        <f t="shared" si="2"/>
        <v>https://rtg-275.myshopify.com/products/TEMPUR-ERGO-3-0-SMART</v>
      </c>
      <c r="AD369" s="8" t="str">
        <f>vlookup(L369,'Python sheet'!$E$2:$F$373,2,0)</f>
        <v>https://rtg-275.myshopify.com/products/TEMPUR-ERGO-3-0-SMART?variant=47915115151498</v>
      </c>
    </row>
    <row r="370">
      <c r="A370" s="4">
        <v>5.1508196E7</v>
      </c>
      <c r="B370" s="5"/>
      <c r="C370" s="5"/>
      <c r="D370" s="5"/>
      <c r="E370" s="5"/>
      <c r="F370" s="5"/>
      <c r="G370" s="5"/>
      <c r="H370" s="5"/>
      <c r="I370" s="5"/>
      <c r="J370" s="1" t="s">
        <v>549</v>
      </c>
      <c r="K370" s="1" t="s">
        <v>1018</v>
      </c>
      <c r="L370" s="1" t="str">
        <f t="shared" si="1"/>
        <v>TEMPUR-ERGO-PROSMARTCalifornia King</v>
      </c>
      <c r="M370" s="1" t="s">
        <v>789</v>
      </c>
      <c r="N370" s="6">
        <v>3399.0</v>
      </c>
      <c r="O370" s="6">
        <v>3399.0</v>
      </c>
      <c r="P370" s="1" t="s">
        <v>64</v>
      </c>
      <c r="Q370" s="7"/>
      <c r="R370" s="1" t="s">
        <v>551</v>
      </c>
      <c r="S370" s="1" t="s">
        <v>31</v>
      </c>
      <c r="T370" s="1" t="s">
        <v>670</v>
      </c>
      <c r="U370" s="7"/>
      <c r="V370" s="7"/>
      <c r="W370" s="7"/>
      <c r="X370" s="7"/>
      <c r="Y370" s="7"/>
      <c r="Z370" s="7"/>
      <c r="AA370" s="11" t="str">
        <f>IFERROR(VLOOKUP(A370,Sheet3!B:H,6,false),VLOOKUP(J370,Sheet2!A:C,2,false))</f>
        <v>#N/A</v>
      </c>
      <c r="AB370" s="11" t="str">
        <f>IFERROR(VLOOKUP(A370,Sheet3!B:H,7,false),VLOOKUP(J370,Sheet2!A:C,3,false))</f>
        <v>#N/A</v>
      </c>
      <c r="AC370" s="8" t="str">
        <f t="shared" si="2"/>
        <v>https://rtg-275.myshopify.com/products/TEMPUR-ERGO-PROSMART</v>
      </c>
      <c r="AD370" s="8" t="str">
        <f>vlookup(L370,'Python sheet'!$E$2:$F$373,2,0)</f>
        <v>https://rtg-275.myshopify.com/products/TEMPUR-ERGO-PROSMART?variant=47915115348106</v>
      </c>
    </row>
    <row r="371">
      <c r="A371" s="4">
        <v>5.1518604E7</v>
      </c>
      <c r="B371" s="5"/>
      <c r="C371" s="5"/>
      <c r="D371" s="5"/>
      <c r="E371" s="5"/>
      <c r="F371" s="5"/>
      <c r="G371" s="5"/>
      <c r="H371" s="5"/>
      <c r="I371" s="5"/>
      <c r="J371" s="1" t="s">
        <v>369</v>
      </c>
      <c r="K371" s="1" t="s">
        <v>1013</v>
      </c>
      <c r="L371" s="1" t="str">
        <f t="shared" si="1"/>
        <v>EASE-4-0California King</v>
      </c>
      <c r="M371" s="1" t="s">
        <v>790</v>
      </c>
      <c r="N371" s="6">
        <v>1499.0</v>
      </c>
      <c r="O371" s="6">
        <v>1499.0</v>
      </c>
      <c r="P371" s="1" t="s">
        <v>468</v>
      </c>
      <c r="Q371" s="7"/>
      <c r="R371" s="1" t="s">
        <v>791</v>
      </c>
      <c r="S371" s="1" t="s">
        <v>31</v>
      </c>
      <c r="T371" s="1" t="s">
        <v>670</v>
      </c>
      <c r="U371" s="7"/>
      <c r="V371" s="7"/>
      <c r="W371" s="7"/>
      <c r="X371" s="7"/>
      <c r="Y371" s="7"/>
      <c r="Z371" s="7"/>
      <c r="AA371" s="11" t="str">
        <f>IFERROR(VLOOKUP(A371,Sheet3!B:H,6,false),VLOOKUP(J371,Sheet2!A:C,2,false))</f>
        <v>#N/A</v>
      </c>
      <c r="AB371" s="11" t="str">
        <f>IFERROR(VLOOKUP(A371,Sheet3!B:H,7,false),VLOOKUP(J371,Sheet2!A:C,3,false))</f>
        <v>#N/A</v>
      </c>
      <c r="AC371" s="8" t="str">
        <f t="shared" si="2"/>
        <v>https://rtg-275.myshopify.com/products/EASE-4-0</v>
      </c>
      <c r="AD371" s="8" t="str">
        <f>vlookup(L371,'Python sheet'!$E$2:$F$373,2,0)</f>
        <v>https://rtg-275.myshopify.com/products/EASE-4-0?variant=47915114266762</v>
      </c>
    </row>
    <row r="372">
      <c r="A372" s="4">
        <v>5.1707629E7</v>
      </c>
      <c r="B372" s="5"/>
      <c r="C372" s="5"/>
      <c r="D372" s="5"/>
      <c r="E372" s="5"/>
      <c r="F372" s="5"/>
      <c r="G372" s="5"/>
      <c r="H372" s="5"/>
      <c r="I372" s="5"/>
      <c r="J372" s="1" t="s">
        <v>109</v>
      </c>
      <c r="K372" s="1" t="s">
        <v>982</v>
      </c>
      <c r="L372" s="1" t="str">
        <f t="shared" si="1"/>
        <v>LUXEBREEZE-2-0-FIRMSplit Head King</v>
      </c>
      <c r="M372" s="1" t="s">
        <v>792</v>
      </c>
      <c r="N372" s="6">
        <v>10398.0</v>
      </c>
      <c r="O372" s="6">
        <v>10398.0</v>
      </c>
      <c r="P372" s="1" t="s">
        <v>64</v>
      </c>
      <c r="Q372" s="7"/>
      <c r="R372" s="7"/>
      <c r="S372" s="1" t="s">
        <v>31</v>
      </c>
      <c r="T372" s="1" t="s">
        <v>697</v>
      </c>
      <c r="U372" s="1" t="s">
        <v>33</v>
      </c>
      <c r="V372" s="1" t="s">
        <v>50</v>
      </c>
      <c r="W372" s="1" t="s">
        <v>76</v>
      </c>
      <c r="X372" s="1" t="s">
        <v>50</v>
      </c>
      <c r="Y372" s="1" t="s">
        <v>50</v>
      </c>
      <c r="Z372" s="1" t="s">
        <v>77</v>
      </c>
      <c r="AA372" s="8" t="str">
        <f>IFERROR(VLOOKUP(A372,Sheet3!B:H,6,false),VLOOKUP(J372,Sheet2!A:C,2,false))</f>
        <v>https://assets.roomstogo.com/product/tempur-pedic-luxebreeze-20-firm-twin-xl-mattress_50007624_image-item</v>
      </c>
      <c r="AB372" s="8" t="str">
        <f>IFERROR(VLOOKUP(A372,Sheet3!B:H,7,false),VLOOKUP(J372,Sheet2!A:C,3,false))</f>
        <v>https://assets.roomstogo.com/product/tempur-pedic-luxebreeze-20-firm-twin-xl-mattress_50007624_image-item</v>
      </c>
      <c r="AC372" s="8" t="str">
        <f t="shared" si="2"/>
        <v>https://rtg-275.myshopify.com/products/LUXEBREEZE-2-0-FIRM</v>
      </c>
      <c r="AD372" s="8" t="str">
        <f>vlookup(L372,'Python sheet'!$E$2:$F$373,2,0)</f>
        <v>https://rtg-275.myshopify.com/products/LUXEBREEZE-2-0-FIRM?variant=47915105747082</v>
      </c>
    </row>
    <row r="373">
      <c r="A373" s="4">
        <v>5.990016E7</v>
      </c>
      <c r="B373" s="9">
        <v>22.0</v>
      </c>
      <c r="C373" s="9">
        <v>3.64</v>
      </c>
      <c r="D373" s="2" t="s">
        <v>793</v>
      </c>
      <c r="E373" s="2" t="s">
        <v>794</v>
      </c>
      <c r="F373" s="2" t="s">
        <v>795</v>
      </c>
      <c r="G373" s="9">
        <v>31.0</v>
      </c>
      <c r="H373" s="9">
        <v>4.0</v>
      </c>
      <c r="I373" s="9">
        <v>9.0</v>
      </c>
      <c r="J373" s="1" t="s">
        <v>796</v>
      </c>
      <c r="K373" s="1" t="s">
        <v>1031</v>
      </c>
      <c r="L373" s="1" t="str">
        <f t="shared" si="1"/>
        <v>BEAUTYREST-BLACK-FOAM-PILLOW</v>
      </c>
      <c r="M373" s="1" t="s">
        <v>797</v>
      </c>
      <c r="N373" s="6">
        <v>199.99</v>
      </c>
      <c r="O373" s="6">
        <v>199.99</v>
      </c>
      <c r="P373" s="1" t="s">
        <v>205</v>
      </c>
      <c r="Q373" s="7"/>
      <c r="R373" s="1" t="s">
        <v>798</v>
      </c>
      <c r="S373" s="1" t="s">
        <v>31</v>
      </c>
      <c r="T373" s="7"/>
      <c r="U373" s="7"/>
      <c r="V373" s="7"/>
      <c r="W373" s="7"/>
      <c r="X373" s="7"/>
      <c r="Y373" s="7"/>
      <c r="Z373" s="7"/>
      <c r="AA373" s="8" t="str">
        <f>IFERROR(VLOOKUP(A373,Sheet3!B:H,6,false),VLOOKUP(J373,Sheet2!A:C,2,false))</f>
        <v>https://www.beautyrest.com/adobe/assets/urn:aaid:aem:82e5d4d3-96f4-47c6-992a-ab9de4bfc48b/as/2504-BR-DeluxeDownAlt-Pillow-PDP-Loftvisuals.jpg</v>
      </c>
      <c r="AB373" s="8" t="str">
        <f>IFERROR(VLOOKUP(A373,Sheet3!B:H,7,false),VLOOKUP(J373,Sheet2!A:C,3,false))</f>
        <v>https://www.beautyrest.com/products/beautyrest-black-luxury-foam-pillow</v>
      </c>
      <c r="AC373" s="8" t="str">
        <f t="shared" si="2"/>
        <v>https://rtg-275.myshopify.com/products/BEAUTYREST-BLACK-FOAM-PILLOW</v>
      </c>
      <c r="AD373" s="11" t="str">
        <f>vlookup(L373,'Python sheet'!$E$2:$F$373,2,0)</f>
        <v>#N/A</v>
      </c>
    </row>
    <row r="374">
      <c r="A374" s="4">
        <v>5.9900172E7</v>
      </c>
      <c r="B374" s="9">
        <v>9.0</v>
      </c>
      <c r="C374" s="9">
        <v>4.89</v>
      </c>
      <c r="D374" s="2" t="s">
        <v>793</v>
      </c>
      <c r="E374" s="2" t="s">
        <v>794</v>
      </c>
      <c r="F374" s="2" t="s">
        <v>795</v>
      </c>
      <c r="G374" s="9">
        <v>31.0</v>
      </c>
      <c r="H374" s="9">
        <v>4.0</v>
      </c>
      <c r="I374" s="9">
        <v>22.0</v>
      </c>
      <c r="J374" s="1" t="s">
        <v>796</v>
      </c>
      <c r="K374" s="1" t="s">
        <v>1031</v>
      </c>
      <c r="L374" s="1" t="str">
        <f t="shared" si="1"/>
        <v>BEAUTYREST-BLACK-FOAM-PILLOW</v>
      </c>
      <c r="M374" s="1" t="s">
        <v>799</v>
      </c>
      <c r="N374" s="6">
        <v>249.99</v>
      </c>
      <c r="O374" s="6">
        <v>249.99</v>
      </c>
      <c r="P374" s="1" t="s">
        <v>205</v>
      </c>
      <c r="Q374" s="7"/>
      <c r="R374" s="1" t="s">
        <v>798</v>
      </c>
      <c r="S374" s="1" t="s">
        <v>31</v>
      </c>
      <c r="T374" s="7"/>
      <c r="U374" s="7"/>
      <c r="V374" s="7"/>
      <c r="W374" s="7"/>
      <c r="X374" s="7"/>
      <c r="Y374" s="7"/>
      <c r="Z374" s="7"/>
      <c r="AA374" s="8" t="str">
        <f>IFERROR(VLOOKUP(A374,Sheet3!B:H,6,false),VLOOKUP(J374,Sheet2!A:C,2,false))</f>
        <v>https://www.beautyrest.com/adobe/assets/urn:aaid:aem:82e5d4d3-96f4-47c6-992a-ab9de4bfc48b/as/2504-BR-DeluxeDownAlt-Pillow-PDP-Loftvisuals.jpg</v>
      </c>
      <c r="AB374" s="8" t="str">
        <f>IFERROR(VLOOKUP(A374,Sheet3!B:H,7,false),VLOOKUP(J374,Sheet2!A:C,3,false))</f>
        <v>https://www.beautyrest.com/products/beautyrest-black-luxury-foam-pillow</v>
      </c>
      <c r="AC374" s="8" t="str">
        <f t="shared" si="2"/>
        <v>https://rtg-275.myshopify.com/products/BEAUTYREST-BLACK-FOAM-PILLOW</v>
      </c>
      <c r="AD374" s="11" t="str">
        <f>vlookup(L374,'Python sheet'!$E$2:$F$373,2,0)</f>
        <v>#N/A</v>
      </c>
    </row>
    <row r="375">
      <c r="A375" s="4">
        <v>5.9905716E7</v>
      </c>
      <c r="B375" s="5"/>
      <c r="C375" s="5"/>
      <c r="D375" s="5"/>
      <c r="E375" s="5"/>
      <c r="F375" s="5"/>
      <c r="G375" s="5"/>
      <c r="H375" s="5"/>
      <c r="I375" s="5"/>
      <c r="J375" s="1" t="s">
        <v>800</v>
      </c>
      <c r="K375" s="1" t="s">
        <v>1032</v>
      </c>
      <c r="L375" s="1" t="str">
        <f t="shared" si="1"/>
        <v>ASPEN-PILLOWQueen</v>
      </c>
      <c r="M375" s="1" t="s">
        <v>801</v>
      </c>
      <c r="N375" s="6">
        <v>149.99</v>
      </c>
      <c r="O375" s="6">
        <v>149.99</v>
      </c>
      <c r="P375" s="1" t="s">
        <v>663</v>
      </c>
      <c r="Q375" s="7"/>
      <c r="R375" s="7"/>
      <c r="S375" s="1" t="s">
        <v>31</v>
      </c>
      <c r="T375" s="1" t="s">
        <v>470</v>
      </c>
      <c r="U375" s="7"/>
      <c r="V375" s="7"/>
      <c r="W375" s="7"/>
      <c r="X375" s="7"/>
      <c r="Y375" s="7"/>
      <c r="Z375" s="7"/>
      <c r="AA375" s="8" t="str">
        <f>IFERROR(VLOOKUP(A375,Sheet3!B:H,6,false),VLOOKUP(J375,Sheet2!A:C,2,false))</f>
        <v>https://bedgear.com/cdn/shop/files/ASPEN-PILLOW-01-Main_75db6ada-94b5-4d22-88a1-edf843444220.jpg</v>
      </c>
      <c r="AB375" s="8" t="str">
        <f>IFERROR(VLOOKUP(A375,Sheet3!B:H,7,false),VLOOKUP(J375,Sheet2!A:C,3,false))</f>
        <v>https://bedgear.com/products/aspen-performance-pillow</v>
      </c>
      <c r="AC375" s="8" t="str">
        <f t="shared" si="2"/>
        <v>https://rtg-275.myshopify.com/products/ASPEN-PILLOW</v>
      </c>
      <c r="AD375" s="11" t="str">
        <f>vlookup(L375,'Python sheet'!$E$2:$F$373,2,0)</f>
        <v>#N/A</v>
      </c>
    </row>
    <row r="376">
      <c r="A376" s="4">
        <v>5.9905728E7</v>
      </c>
      <c r="B376" s="5"/>
      <c r="C376" s="5"/>
      <c r="D376" s="5"/>
      <c r="E376" s="5"/>
      <c r="F376" s="5"/>
      <c r="G376" s="5"/>
      <c r="H376" s="5"/>
      <c r="I376" s="5"/>
      <c r="J376" s="1" t="s">
        <v>800</v>
      </c>
      <c r="K376" s="1" t="s">
        <v>1032</v>
      </c>
      <c r="L376" s="1" t="str">
        <f t="shared" si="1"/>
        <v>ASPEN-PILLOWQueen</v>
      </c>
      <c r="M376" s="1" t="s">
        <v>802</v>
      </c>
      <c r="N376" s="6">
        <v>149.99</v>
      </c>
      <c r="O376" s="6">
        <v>149.99</v>
      </c>
      <c r="P376" s="1" t="s">
        <v>663</v>
      </c>
      <c r="Q376" s="7"/>
      <c r="R376" s="7"/>
      <c r="S376" s="1" t="s">
        <v>31</v>
      </c>
      <c r="T376" s="1" t="s">
        <v>470</v>
      </c>
      <c r="U376" s="7"/>
      <c r="V376" s="7"/>
      <c r="W376" s="7"/>
      <c r="X376" s="7"/>
      <c r="Y376" s="7"/>
      <c r="Z376" s="7"/>
      <c r="AA376" s="8" t="str">
        <f>IFERROR(VLOOKUP(A376,Sheet3!B:H,6,false),VLOOKUP(J376,Sheet2!A:C,2,false))</f>
        <v>https://bedgear.com/cdn/shop/files/ASPEN-PILLOW-01-Main_75db6ada-94b5-4d22-88a1-edf843444220.jpg</v>
      </c>
      <c r="AB376" s="8" t="str">
        <f>IFERROR(VLOOKUP(A376,Sheet3!B:H,7,false),VLOOKUP(J376,Sheet2!A:C,3,false))</f>
        <v>https://bedgear.com/products/aspen-performance-pillow</v>
      </c>
      <c r="AC376" s="8" t="str">
        <f t="shared" si="2"/>
        <v>https://rtg-275.myshopify.com/products/ASPEN-PILLOW</v>
      </c>
      <c r="AD376" s="11" t="str">
        <f>vlookup(L376,'Python sheet'!$E$2:$F$373,2,0)</f>
        <v>#N/A</v>
      </c>
    </row>
    <row r="377">
      <c r="A377" s="4">
        <v>5.990573E7</v>
      </c>
      <c r="B377" s="5"/>
      <c r="C377" s="5"/>
      <c r="D377" s="5"/>
      <c r="E377" s="5"/>
      <c r="F377" s="5"/>
      <c r="G377" s="5"/>
      <c r="H377" s="5"/>
      <c r="I377" s="5"/>
      <c r="J377" s="1" t="s">
        <v>800</v>
      </c>
      <c r="K377" s="1" t="s">
        <v>1032</v>
      </c>
      <c r="L377" s="1" t="str">
        <f t="shared" si="1"/>
        <v>ASPEN-PILLOWQueen</v>
      </c>
      <c r="M377" s="1" t="s">
        <v>803</v>
      </c>
      <c r="N377" s="6">
        <v>149.99</v>
      </c>
      <c r="O377" s="6">
        <v>149.99</v>
      </c>
      <c r="P377" s="1" t="s">
        <v>663</v>
      </c>
      <c r="Q377" s="7"/>
      <c r="R377" s="7"/>
      <c r="S377" s="1" t="s">
        <v>31</v>
      </c>
      <c r="T377" s="1" t="s">
        <v>470</v>
      </c>
      <c r="U377" s="7"/>
      <c r="V377" s="7"/>
      <c r="W377" s="7"/>
      <c r="X377" s="7"/>
      <c r="Y377" s="7"/>
      <c r="Z377" s="7"/>
      <c r="AA377" s="8" t="str">
        <f>IFERROR(VLOOKUP(A377,Sheet3!B:H,6,false),VLOOKUP(J377,Sheet2!A:C,2,false))</f>
        <v>https://bedgear.com/cdn/shop/files/ASPEN-PILLOW-01-Main_75db6ada-94b5-4d22-88a1-edf843444220.jpg</v>
      </c>
      <c r="AB377" s="8" t="str">
        <f>IFERROR(VLOOKUP(A377,Sheet3!B:H,7,false),VLOOKUP(J377,Sheet2!A:C,3,false))</f>
        <v>https://bedgear.com/products/aspen-performance-pillow</v>
      </c>
      <c r="AC377" s="8" t="str">
        <f t="shared" si="2"/>
        <v>https://rtg-275.myshopify.com/products/ASPEN-PILLOW</v>
      </c>
      <c r="AD377" s="11" t="str">
        <f>vlookup(L377,'Python sheet'!$E$2:$F$373,2,0)</f>
        <v>#N/A</v>
      </c>
    </row>
    <row r="378">
      <c r="A378" s="4">
        <v>5.9905742E7</v>
      </c>
      <c r="B378" s="9">
        <v>1.0</v>
      </c>
      <c r="C378" s="9">
        <v>5.0</v>
      </c>
      <c r="D378" s="2" t="s">
        <v>804</v>
      </c>
      <c r="E378" s="2" t="s">
        <v>794</v>
      </c>
      <c r="F378" s="2" t="s">
        <v>805</v>
      </c>
      <c r="G378" s="9">
        <v>2.0</v>
      </c>
      <c r="H378" s="9">
        <v>5.0</v>
      </c>
      <c r="I378" s="9">
        <v>1.0</v>
      </c>
      <c r="J378" s="1" t="s">
        <v>800</v>
      </c>
      <c r="K378" s="1" t="s">
        <v>1032</v>
      </c>
      <c r="L378" s="1" t="str">
        <f t="shared" si="1"/>
        <v>ASPEN-PILLOWQueen</v>
      </c>
      <c r="M378" s="1" t="s">
        <v>806</v>
      </c>
      <c r="N378" s="6">
        <v>149.99</v>
      </c>
      <c r="O378" s="6">
        <v>149.99</v>
      </c>
      <c r="P378" s="1" t="s">
        <v>663</v>
      </c>
      <c r="Q378" s="7"/>
      <c r="R378" s="7"/>
      <c r="S378" s="1" t="s">
        <v>31</v>
      </c>
      <c r="T378" s="1" t="s">
        <v>470</v>
      </c>
      <c r="U378" s="7"/>
      <c r="V378" s="7"/>
      <c r="W378" s="7"/>
      <c r="X378" s="7"/>
      <c r="Y378" s="7"/>
      <c r="Z378" s="7"/>
      <c r="AA378" s="8" t="str">
        <f>IFERROR(VLOOKUP(A378,Sheet3!B:H,6,false),VLOOKUP(J378,Sheet2!A:C,2,false))</f>
        <v>https://bedgear.com/cdn/shop/files/ASPEN-PILLOW-01-Main_75db6ada-94b5-4d22-88a1-edf843444220.jpg</v>
      </c>
      <c r="AB378" s="8" t="str">
        <f>IFERROR(VLOOKUP(A378,Sheet3!B:H,7,false),VLOOKUP(J378,Sheet2!A:C,3,false))</f>
        <v>https://bedgear.com/products/aspen-performance-pillow</v>
      </c>
      <c r="AC378" s="8" t="str">
        <f t="shared" si="2"/>
        <v>https://rtg-275.myshopify.com/products/ASPEN-PILLOW</v>
      </c>
      <c r="AD378" s="11" t="str">
        <f>vlookup(L378,'Python sheet'!$E$2:$F$373,2,0)</f>
        <v>#N/A</v>
      </c>
    </row>
    <row r="379">
      <c r="A379" s="4">
        <v>5.9905754E7</v>
      </c>
      <c r="B379" s="5"/>
      <c r="C379" s="5"/>
      <c r="D379" s="5"/>
      <c r="E379" s="5"/>
      <c r="F379" s="5"/>
      <c r="G379" s="5"/>
      <c r="H379" s="5"/>
      <c r="I379" s="5"/>
      <c r="J379" s="1" t="s">
        <v>800</v>
      </c>
      <c r="K379" s="1" t="s">
        <v>1032</v>
      </c>
      <c r="L379" s="1" t="str">
        <f t="shared" si="1"/>
        <v>ASPEN-PILLOWKing</v>
      </c>
      <c r="M379" s="1" t="s">
        <v>807</v>
      </c>
      <c r="N379" s="6">
        <v>199.99</v>
      </c>
      <c r="O379" s="6">
        <v>199.99</v>
      </c>
      <c r="P379" s="1" t="s">
        <v>663</v>
      </c>
      <c r="Q379" s="7"/>
      <c r="R379" s="7"/>
      <c r="S379" s="1" t="s">
        <v>31</v>
      </c>
      <c r="T379" s="1" t="s">
        <v>568</v>
      </c>
      <c r="U379" s="7"/>
      <c r="V379" s="7"/>
      <c r="W379" s="7"/>
      <c r="X379" s="7"/>
      <c r="Y379" s="7"/>
      <c r="Z379" s="7"/>
      <c r="AA379" s="8" t="str">
        <f>IFERROR(VLOOKUP(A379,Sheet3!B:H,6,false),VLOOKUP(J379,Sheet2!A:C,2,false))</f>
        <v>https://bedgear.com/cdn/shop/files/ASPEN-PILLOW-01-Main_75db6ada-94b5-4d22-88a1-edf843444220.jpg</v>
      </c>
      <c r="AB379" s="8" t="str">
        <f>IFERROR(VLOOKUP(A379,Sheet3!B:H,7,false),VLOOKUP(J379,Sheet2!A:C,3,false))</f>
        <v>https://bedgear.com/products/aspen-performance-pillow</v>
      </c>
      <c r="AC379" s="8" t="str">
        <f t="shared" si="2"/>
        <v>https://rtg-275.myshopify.com/products/ASPEN-PILLOW</v>
      </c>
      <c r="AD379" s="11" t="str">
        <f>vlookup(L379,'Python sheet'!$E$2:$F$373,2,0)</f>
        <v>#N/A</v>
      </c>
    </row>
    <row r="380">
      <c r="A380" s="4">
        <v>5.9905766E7</v>
      </c>
      <c r="B380" s="5"/>
      <c r="C380" s="5"/>
      <c r="D380" s="5"/>
      <c r="E380" s="5"/>
      <c r="F380" s="5"/>
      <c r="G380" s="5"/>
      <c r="H380" s="5"/>
      <c r="I380" s="5"/>
      <c r="J380" s="1" t="s">
        <v>800</v>
      </c>
      <c r="K380" s="1" t="s">
        <v>1032</v>
      </c>
      <c r="L380" s="1" t="str">
        <f t="shared" si="1"/>
        <v>ASPEN-PILLOWKing</v>
      </c>
      <c r="M380" s="1" t="s">
        <v>808</v>
      </c>
      <c r="N380" s="6">
        <v>199.99</v>
      </c>
      <c r="O380" s="6">
        <v>199.99</v>
      </c>
      <c r="P380" s="1" t="s">
        <v>663</v>
      </c>
      <c r="Q380" s="7"/>
      <c r="R380" s="7"/>
      <c r="S380" s="1" t="s">
        <v>31</v>
      </c>
      <c r="T380" s="1" t="s">
        <v>568</v>
      </c>
      <c r="U380" s="7"/>
      <c r="V380" s="7"/>
      <c r="W380" s="7"/>
      <c r="X380" s="7"/>
      <c r="Y380" s="7"/>
      <c r="Z380" s="7"/>
      <c r="AA380" s="8" t="str">
        <f>IFERROR(VLOOKUP(A380,Sheet3!B:H,6,false),VLOOKUP(J380,Sheet2!A:C,2,false))</f>
        <v>https://bedgear.com/cdn/shop/files/ASPEN-PILLOW-01-Main_75db6ada-94b5-4d22-88a1-edf843444220.jpg</v>
      </c>
      <c r="AB380" s="8" t="str">
        <f>IFERROR(VLOOKUP(A380,Sheet3!B:H,7,false),VLOOKUP(J380,Sheet2!A:C,3,false))</f>
        <v>https://bedgear.com/products/aspen-performance-pillow</v>
      </c>
      <c r="AC380" s="8" t="str">
        <f t="shared" si="2"/>
        <v>https://rtg-275.myshopify.com/products/ASPEN-PILLOW</v>
      </c>
      <c r="AD380" s="11" t="str">
        <f>vlookup(L380,'Python sheet'!$E$2:$F$373,2,0)</f>
        <v>#N/A</v>
      </c>
    </row>
    <row r="381">
      <c r="A381" s="4">
        <v>5.9905778E7</v>
      </c>
      <c r="B381" s="5"/>
      <c r="C381" s="5"/>
      <c r="D381" s="5"/>
      <c r="E381" s="5"/>
      <c r="F381" s="5"/>
      <c r="G381" s="5"/>
      <c r="H381" s="5"/>
      <c r="I381" s="5"/>
      <c r="J381" s="1" t="s">
        <v>800</v>
      </c>
      <c r="K381" s="1" t="s">
        <v>1032</v>
      </c>
      <c r="L381" s="1" t="str">
        <f t="shared" si="1"/>
        <v>ASPEN-PILLOWKing</v>
      </c>
      <c r="M381" s="1" t="s">
        <v>809</v>
      </c>
      <c r="N381" s="6">
        <v>199.99</v>
      </c>
      <c r="O381" s="6">
        <v>199.99</v>
      </c>
      <c r="P381" s="1" t="s">
        <v>663</v>
      </c>
      <c r="Q381" s="7"/>
      <c r="R381" s="7"/>
      <c r="S381" s="1" t="s">
        <v>31</v>
      </c>
      <c r="T381" s="1" t="s">
        <v>568</v>
      </c>
      <c r="U381" s="7"/>
      <c r="V381" s="7"/>
      <c r="W381" s="7"/>
      <c r="X381" s="7"/>
      <c r="Y381" s="7"/>
      <c r="Z381" s="7"/>
      <c r="AA381" s="8" t="str">
        <f>IFERROR(VLOOKUP(A381,Sheet3!B:H,6,false),VLOOKUP(J381,Sheet2!A:C,2,false))</f>
        <v>https://bedgear.com/cdn/shop/files/ASPEN-PILLOW-01-Main_75db6ada-94b5-4d22-88a1-edf843444220.jpg</v>
      </c>
      <c r="AB381" s="8" t="str">
        <f>IFERROR(VLOOKUP(A381,Sheet3!B:H,7,false),VLOOKUP(J381,Sheet2!A:C,3,false))</f>
        <v>https://bedgear.com/products/aspen-performance-pillow</v>
      </c>
      <c r="AC381" s="8" t="str">
        <f t="shared" si="2"/>
        <v>https://rtg-275.myshopify.com/products/ASPEN-PILLOW</v>
      </c>
      <c r="AD381" s="11" t="str">
        <f>vlookup(L381,'Python sheet'!$E$2:$F$373,2,0)</f>
        <v>#N/A</v>
      </c>
    </row>
    <row r="382">
      <c r="A382" s="4">
        <v>5.990578E7</v>
      </c>
      <c r="B382" s="9">
        <v>1.0</v>
      </c>
      <c r="C382" s="9">
        <v>5.0</v>
      </c>
      <c r="D382" s="2" t="s">
        <v>804</v>
      </c>
      <c r="E382" s="2" t="s">
        <v>794</v>
      </c>
      <c r="F382" s="2" t="s">
        <v>805</v>
      </c>
      <c r="G382" s="9">
        <v>2.0</v>
      </c>
      <c r="H382" s="9">
        <v>5.0</v>
      </c>
      <c r="I382" s="9">
        <v>1.0</v>
      </c>
      <c r="J382" s="1" t="s">
        <v>800</v>
      </c>
      <c r="K382" s="1" t="s">
        <v>1032</v>
      </c>
      <c r="L382" s="1" t="str">
        <f t="shared" si="1"/>
        <v>ASPEN-PILLOWKing</v>
      </c>
      <c r="M382" s="1" t="s">
        <v>810</v>
      </c>
      <c r="N382" s="6">
        <v>199.99</v>
      </c>
      <c r="O382" s="6">
        <v>199.99</v>
      </c>
      <c r="P382" s="1" t="s">
        <v>663</v>
      </c>
      <c r="Q382" s="7"/>
      <c r="R382" s="7"/>
      <c r="S382" s="1" t="s">
        <v>31</v>
      </c>
      <c r="T382" s="1" t="s">
        <v>568</v>
      </c>
      <c r="U382" s="7"/>
      <c r="V382" s="7"/>
      <c r="W382" s="7"/>
      <c r="X382" s="7"/>
      <c r="Y382" s="7"/>
      <c r="Z382" s="7"/>
      <c r="AA382" s="8" t="str">
        <f>IFERROR(VLOOKUP(A382,Sheet3!B:H,6,false),VLOOKUP(J382,Sheet2!A:C,2,false))</f>
        <v>https://bedgear.com/cdn/shop/files/ASPEN-PILLOW-01-Main_75db6ada-94b5-4d22-88a1-edf843444220.jpg</v>
      </c>
      <c r="AB382" s="8" t="str">
        <f>IFERROR(VLOOKUP(A382,Sheet3!B:H,7,false),VLOOKUP(J382,Sheet2!A:C,3,false))</f>
        <v>https://bedgear.com/products/aspen-performance-pillow</v>
      </c>
      <c r="AC382" s="8" t="str">
        <f t="shared" si="2"/>
        <v>https://rtg-275.myshopify.com/products/ASPEN-PILLOW</v>
      </c>
      <c r="AD382" s="11" t="str">
        <f>vlookup(L382,'Python sheet'!$E$2:$F$373,2,0)</f>
        <v>#N/A</v>
      </c>
    </row>
    <row r="383">
      <c r="A383" s="4">
        <v>5.9906314E7</v>
      </c>
      <c r="B383" s="9">
        <v>10.0</v>
      </c>
      <c r="C383" s="9">
        <v>3.6</v>
      </c>
      <c r="D383" s="2" t="s">
        <v>811</v>
      </c>
      <c r="E383" s="2" t="s">
        <v>794</v>
      </c>
      <c r="F383" s="2" t="s">
        <v>812</v>
      </c>
      <c r="G383" s="9">
        <v>341.0</v>
      </c>
      <c r="H383" s="9">
        <v>4.23</v>
      </c>
      <c r="I383" s="9">
        <v>331.0</v>
      </c>
      <c r="J383" s="1" t="s">
        <v>813</v>
      </c>
      <c r="K383" s="1" t="s">
        <v>1033</v>
      </c>
      <c r="L383" s="1" t="str">
        <f t="shared" si="1"/>
        <v>STORM-PILLOWQueen</v>
      </c>
      <c r="M383" s="1" t="s">
        <v>814</v>
      </c>
      <c r="N383" s="6">
        <v>199.99</v>
      </c>
      <c r="O383" s="6">
        <v>199.99</v>
      </c>
      <c r="P383" s="1" t="s">
        <v>663</v>
      </c>
      <c r="Q383" s="7"/>
      <c r="R383" s="1" t="s">
        <v>815</v>
      </c>
      <c r="S383" s="1" t="s">
        <v>31</v>
      </c>
      <c r="T383" s="1" t="s">
        <v>470</v>
      </c>
      <c r="U383" s="7"/>
      <c r="V383" s="7"/>
      <c r="W383" s="7"/>
      <c r="X383" s="7"/>
      <c r="Y383" s="7"/>
      <c r="Z383" s="7"/>
      <c r="AA383" s="8" t="str">
        <f>IFERROR(VLOOKUP(A383,Sheet3!B:H,6,false),VLOOKUP(J383,Sheet2!A:C,2,false))</f>
        <v>https://bedgear.com/cdn/shop/files/01-STORM-1.0-ProductShot-Main_4039e18e-00ff-4c78-8705-b11a60a00744.jpg</v>
      </c>
      <c r="AB383" s="8" t="str">
        <f>IFERROR(VLOOKUP(A383,Sheet3!B:H,7,false),VLOOKUP(J383,Sheet2!A:C,3,false))</f>
        <v>https://bedgear.com/products/storm-performance-pillow</v>
      </c>
      <c r="AC383" s="8" t="str">
        <f t="shared" si="2"/>
        <v>https://rtg-275.myshopify.com/products/STORM-PILLOW</v>
      </c>
      <c r="AD383" s="11" t="str">
        <f>vlookup(L383,'Python sheet'!$E$2:$F$373,2,0)</f>
        <v>#N/A</v>
      </c>
    </row>
    <row r="384">
      <c r="A384" s="4">
        <v>5.9906326E7</v>
      </c>
      <c r="B384" s="9">
        <v>15.0</v>
      </c>
      <c r="C384" s="9">
        <v>4.33</v>
      </c>
      <c r="D384" s="2" t="s">
        <v>811</v>
      </c>
      <c r="E384" s="2" t="s">
        <v>794</v>
      </c>
      <c r="F384" s="2" t="s">
        <v>812</v>
      </c>
      <c r="G384" s="9">
        <v>341.0</v>
      </c>
      <c r="H384" s="9">
        <v>4.23</v>
      </c>
      <c r="I384" s="9">
        <v>326.0</v>
      </c>
      <c r="J384" s="1" t="s">
        <v>813</v>
      </c>
      <c r="K384" s="1" t="s">
        <v>1033</v>
      </c>
      <c r="L384" s="1" t="str">
        <f t="shared" si="1"/>
        <v>STORM-PILLOWQueen</v>
      </c>
      <c r="M384" s="1" t="s">
        <v>816</v>
      </c>
      <c r="N384" s="6">
        <v>199.99</v>
      </c>
      <c r="O384" s="6">
        <v>199.99</v>
      </c>
      <c r="P384" s="1" t="s">
        <v>663</v>
      </c>
      <c r="Q384" s="7"/>
      <c r="R384" s="1" t="s">
        <v>815</v>
      </c>
      <c r="S384" s="1" t="s">
        <v>31</v>
      </c>
      <c r="T384" s="1" t="s">
        <v>470</v>
      </c>
      <c r="U384" s="7"/>
      <c r="V384" s="7"/>
      <c r="W384" s="7"/>
      <c r="X384" s="7"/>
      <c r="Y384" s="7"/>
      <c r="Z384" s="7"/>
      <c r="AA384" s="8" t="str">
        <f>IFERROR(VLOOKUP(A384,Sheet3!B:H,6,false),VLOOKUP(J384,Sheet2!A:C,2,false))</f>
        <v>https://bedgear.com/cdn/shop/files/01-STORM-1.0-ProductShot-Main_4039e18e-00ff-4c78-8705-b11a60a00744.jpg</v>
      </c>
      <c r="AB384" s="8" t="str">
        <f>IFERROR(VLOOKUP(A384,Sheet3!B:H,7,false),VLOOKUP(J384,Sheet2!A:C,3,false))</f>
        <v>https://bedgear.com/products/storm-performance-pillow</v>
      </c>
      <c r="AC384" s="8" t="str">
        <f t="shared" si="2"/>
        <v>https://rtg-275.myshopify.com/products/STORM-PILLOW</v>
      </c>
      <c r="AD384" s="11" t="str">
        <f>vlookup(L384,'Python sheet'!$E$2:$F$373,2,0)</f>
        <v>#N/A</v>
      </c>
    </row>
    <row r="385">
      <c r="A385" s="4">
        <v>5.9906338E7</v>
      </c>
      <c r="B385" s="9">
        <v>31.0</v>
      </c>
      <c r="C385" s="9">
        <v>3.65</v>
      </c>
      <c r="D385" s="2" t="s">
        <v>811</v>
      </c>
      <c r="E385" s="2" t="s">
        <v>794</v>
      </c>
      <c r="F385" s="2" t="s">
        <v>812</v>
      </c>
      <c r="G385" s="9">
        <v>341.0</v>
      </c>
      <c r="H385" s="9">
        <v>4.23</v>
      </c>
      <c r="I385" s="9">
        <v>310.0</v>
      </c>
      <c r="J385" s="1" t="s">
        <v>813</v>
      </c>
      <c r="K385" s="1" t="s">
        <v>1033</v>
      </c>
      <c r="L385" s="1" t="str">
        <f t="shared" si="1"/>
        <v>STORM-PILLOWQueen</v>
      </c>
      <c r="M385" s="1" t="s">
        <v>817</v>
      </c>
      <c r="N385" s="6">
        <v>199.99</v>
      </c>
      <c r="O385" s="6">
        <v>199.99</v>
      </c>
      <c r="P385" s="1" t="s">
        <v>663</v>
      </c>
      <c r="Q385" s="7"/>
      <c r="R385" s="1" t="s">
        <v>815</v>
      </c>
      <c r="S385" s="1" t="s">
        <v>31</v>
      </c>
      <c r="T385" s="1" t="s">
        <v>470</v>
      </c>
      <c r="U385" s="7"/>
      <c r="V385" s="7"/>
      <c r="W385" s="7"/>
      <c r="X385" s="7"/>
      <c r="Y385" s="7"/>
      <c r="Z385" s="7"/>
      <c r="AA385" s="8" t="str">
        <f>IFERROR(VLOOKUP(A385,Sheet3!B:H,6,false),VLOOKUP(J385,Sheet2!A:C,2,false))</f>
        <v>https://bedgear.com/cdn/shop/files/01-STORM-1.0-ProductShot-Main_4039e18e-00ff-4c78-8705-b11a60a00744.jpg</v>
      </c>
      <c r="AB385" s="8" t="str">
        <f>IFERROR(VLOOKUP(A385,Sheet3!B:H,7,false),VLOOKUP(J385,Sheet2!A:C,3,false))</f>
        <v>https://bedgear.com/products/storm-performance-pillow</v>
      </c>
      <c r="AC385" s="8" t="str">
        <f t="shared" si="2"/>
        <v>https://rtg-275.myshopify.com/products/STORM-PILLOW</v>
      </c>
      <c r="AD385" s="11" t="str">
        <f>vlookup(L385,'Python sheet'!$E$2:$F$373,2,0)</f>
        <v>#N/A</v>
      </c>
    </row>
    <row r="386">
      <c r="A386" s="4">
        <v>5.990634E7</v>
      </c>
      <c r="B386" s="9">
        <v>250.0</v>
      </c>
      <c r="C386" s="9">
        <v>4.39</v>
      </c>
      <c r="D386" s="2" t="s">
        <v>811</v>
      </c>
      <c r="E386" s="2" t="s">
        <v>794</v>
      </c>
      <c r="F386" s="2" t="s">
        <v>812</v>
      </c>
      <c r="G386" s="9">
        <v>341.0</v>
      </c>
      <c r="H386" s="9">
        <v>4.23</v>
      </c>
      <c r="I386" s="9">
        <v>91.0</v>
      </c>
      <c r="J386" s="1" t="s">
        <v>813</v>
      </c>
      <c r="K386" s="1" t="s">
        <v>1033</v>
      </c>
      <c r="L386" s="1" t="str">
        <f t="shared" si="1"/>
        <v>STORM-PILLOWQueen</v>
      </c>
      <c r="M386" s="1" t="s">
        <v>818</v>
      </c>
      <c r="N386" s="6">
        <v>199.99</v>
      </c>
      <c r="O386" s="6">
        <v>199.99</v>
      </c>
      <c r="P386" s="1" t="s">
        <v>663</v>
      </c>
      <c r="Q386" s="7"/>
      <c r="R386" s="1" t="s">
        <v>815</v>
      </c>
      <c r="S386" s="1" t="s">
        <v>31</v>
      </c>
      <c r="T386" s="1" t="s">
        <v>470</v>
      </c>
      <c r="U386" s="7"/>
      <c r="V386" s="7"/>
      <c r="W386" s="7"/>
      <c r="X386" s="7"/>
      <c r="Y386" s="7"/>
      <c r="Z386" s="7"/>
      <c r="AA386" s="8" t="str">
        <f>IFERROR(VLOOKUP(A386,Sheet3!B:H,6,false),VLOOKUP(J386,Sheet2!A:C,2,false))</f>
        <v>https://bedgear.com/cdn/shop/files/01-STORM-1.0-ProductShot-Main_4039e18e-00ff-4c78-8705-b11a60a00744.jpg</v>
      </c>
      <c r="AB386" s="8" t="str">
        <f>IFERROR(VLOOKUP(A386,Sheet3!B:H,7,false),VLOOKUP(J386,Sheet2!A:C,3,false))</f>
        <v>https://bedgear.com/products/storm-performance-pillow</v>
      </c>
      <c r="AC386" s="8" t="str">
        <f t="shared" si="2"/>
        <v>https://rtg-275.myshopify.com/products/STORM-PILLOW</v>
      </c>
      <c r="AD386" s="11" t="str">
        <f>vlookup(L386,'Python sheet'!$E$2:$F$373,2,0)</f>
        <v>#N/A</v>
      </c>
    </row>
    <row r="387">
      <c r="A387" s="4">
        <v>5.9906352E7</v>
      </c>
      <c r="B387" s="9">
        <v>1.0</v>
      </c>
      <c r="C387" s="9">
        <v>5.0</v>
      </c>
      <c r="D387" s="2" t="s">
        <v>811</v>
      </c>
      <c r="E387" s="2" t="s">
        <v>794</v>
      </c>
      <c r="F387" s="2" t="s">
        <v>812</v>
      </c>
      <c r="G387" s="9">
        <v>341.0</v>
      </c>
      <c r="H387" s="9">
        <v>4.23</v>
      </c>
      <c r="I387" s="9">
        <v>340.0</v>
      </c>
      <c r="J387" s="1" t="s">
        <v>813</v>
      </c>
      <c r="K387" s="1" t="s">
        <v>1033</v>
      </c>
      <c r="L387" s="1" t="str">
        <f t="shared" si="1"/>
        <v>STORM-PILLOWKing</v>
      </c>
      <c r="M387" s="1" t="s">
        <v>819</v>
      </c>
      <c r="N387" s="6">
        <v>259.99</v>
      </c>
      <c r="O387" s="6">
        <v>259.99</v>
      </c>
      <c r="P387" s="1" t="s">
        <v>663</v>
      </c>
      <c r="Q387" s="7"/>
      <c r="R387" s="1" t="s">
        <v>820</v>
      </c>
      <c r="S387" s="1" t="s">
        <v>31</v>
      </c>
      <c r="T387" s="1" t="s">
        <v>568</v>
      </c>
      <c r="U387" s="7"/>
      <c r="V387" s="7"/>
      <c r="W387" s="7"/>
      <c r="X387" s="7"/>
      <c r="Y387" s="7"/>
      <c r="Z387" s="7"/>
      <c r="AA387" s="8" t="str">
        <f>IFERROR(VLOOKUP(A387,Sheet3!B:H,6,false),VLOOKUP(J387,Sheet2!A:C,2,false))</f>
        <v>https://bedgear.com/cdn/shop/files/01-STORM-1.0-ProductShot-Main_4039e18e-00ff-4c78-8705-b11a60a00744.jpg</v>
      </c>
      <c r="AB387" s="8" t="str">
        <f>IFERROR(VLOOKUP(A387,Sheet3!B:H,7,false),VLOOKUP(J387,Sheet2!A:C,3,false))</f>
        <v>https://bedgear.com/products/storm-performance-pillow</v>
      </c>
      <c r="AC387" s="8" t="str">
        <f t="shared" si="2"/>
        <v>https://rtg-275.myshopify.com/products/STORM-PILLOW</v>
      </c>
      <c r="AD387" s="11" t="str">
        <f>vlookup(L387,'Python sheet'!$E$2:$F$373,2,0)</f>
        <v>#N/A</v>
      </c>
    </row>
    <row r="388">
      <c r="A388" s="4">
        <v>5.9906364E7</v>
      </c>
      <c r="B388" s="9">
        <v>5.0</v>
      </c>
      <c r="C388" s="9">
        <v>3.6</v>
      </c>
      <c r="D388" s="2" t="s">
        <v>811</v>
      </c>
      <c r="E388" s="2" t="s">
        <v>794</v>
      </c>
      <c r="F388" s="2" t="s">
        <v>812</v>
      </c>
      <c r="G388" s="9">
        <v>341.0</v>
      </c>
      <c r="H388" s="9">
        <v>4.23</v>
      </c>
      <c r="I388" s="9">
        <v>336.0</v>
      </c>
      <c r="J388" s="1" t="s">
        <v>813</v>
      </c>
      <c r="K388" s="1" t="s">
        <v>1033</v>
      </c>
      <c r="L388" s="1" t="str">
        <f t="shared" si="1"/>
        <v>STORM-PILLOWKing</v>
      </c>
      <c r="M388" s="1" t="s">
        <v>821</v>
      </c>
      <c r="N388" s="6">
        <v>259.99</v>
      </c>
      <c r="O388" s="6">
        <v>259.99</v>
      </c>
      <c r="P388" s="1" t="s">
        <v>663</v>
      </c>
      <c r="Q388" s="7"/>
      <c r="R388" s="1" t="s">
        <v>820</v>
      </c>
      <c r="S388" s="1" t="s">
        <v>31</v>
      </c>
      <c r="T388" s="1" t="s">
        <v>568</v>
      </c>
      <c r="U388" s="7"/>
      <c r="V388" s="7"/>
      <c r="W388" s="7"/>
      <c r="X388" s="7"/>
      <c r="Y388" s="7"/>
      <c r="Z388" s="7"/>
      <c r="AA388" s="8" t="str">
        <f>IFERROR(VLOOKUP(A388,Sheet3!B:H,6,false),VLOOKUP(J388,Sheet2!A:C,2,false))</f>
        <v>https://bedgear.com/cdn/shop/files/01-STORM-1.0-ProductShot-Main_4039e18e-00ff-4c78-8705-b11a60a00744.jpg</v>
      </c>
      <c r="AB388" s="8" t="str">
        <f>IFERROR(VLOOKUP(A388,Sheet3!B:H,7,false),VLOOKUP(J388,Sheet2!A:C,3,false))</f>
        <v>https://bedgear.com/products/storm-performance-pillow</v>
      </c>
      <c r="AC388" s="8" t="str">
        <f t="shared" si="2"/>
        <v>https://rtg-275.myshopify.com/products/STORM-PILLOW</v>
      </c>
      <c r="AD388" s="11" t="str">
        <f>vlookup(L388,'Python sheet'!$E$2:$F$373,2,0)</f>
        <v>#N/A</v>
      </c>
    </row>
    <row r="389">
      <c r="A389" s="4">
        <v>5.9906376E7</v>
      </c>
      <c r="B389" s="9">
        <v>15.0</v>
      </c>
      <c r="C389" s="9">
        <v>3.87</v>
      </c>
      <c r="D389" s="2" t="s">
        <v>811</v>
      </c>
      <c r="E389" s="2" t="s">
        <v>794</v>
      </c>
      <c r="F389" s="2" t="s">
        <v>812</v>
      </c>
      <c r="G389" s="9">
        <v>341.0</v>
      </c>
      <c r="H389" s="9">
        <v>4.23</v>
      </c>
      <c r="I389" s="9">
        <v>326.0</v>
      </c>
      <c r="J389" s="1" t="s">
        <v>813</v>
      </c>
      <c r="K389" s="1" t="s">
        <v>1033</v>
      </c>
      <c r="L389" s="1" t="str">
        <f t="shared" si="1"/>
        <v>STORM-PILLOWKing</v>
      </c>
      <c r="M389" s="1" t="s">
        <v>822</v>
      </c>
      <c r="N389" s="6">
        <v>259.99</v>
      </c>
      <c r="O389" s="6">
        <v>259.99</v>
      </c>
      <c r="P389" s="1" t="s">
        <v>663</v>
      </c>
      <c r="Q389" s="7"/>
      <c r="R389" s="1" t="s">
        <v>820</v>
      </c>
      <c r="S389" s="1" t="s">
        <v>31</v>
      </c>
      <c r="T389" s="1" t="s">
        <v>568</v>
      </c>
      <c r="U389" s="7"/>
      <c r="V389" s="7"/>
      <c r="W389" s="7"/>
      <c r="X389" s="7"/>
      <c r="Y389" s="7"/>
      <c r="Z389" s="7"/>
      <c r="AA389" s="8" t="str">
        <f>IFERROR(VLOOKUP(A389,Sheet3!B:H,6,false),VLOOKUP(J389,Sheet2!A:C,2,false))</f>
        <v>https://bedgear.com/cdn/shop/files/01-STORM-1.0-ProductShot-Main_4039e18e-00ff-4c78-8705-b11a60a00744.jpg</v>
      </c>
      <c r="AB389" s="8" t="str">
        <f>IFERROR(VLOOKUP(A389,Sheet3!B:H,7,false),VLOOKUP(J389,Sheet2!A:C,3,false))</f>
        <v>https://bedgear.com/products/storm-performance-pillow</v>
      </c>
      <c r="AC389" s="8" t="str">
        <f t="shared" si="2"/>
        <v>https://rtg-275.myshopify.com/products/STORM-PILLOW</v>
      </c>
      <c r="AD389" s="11" t="str">
        <f>vlookup(L389,'Python sheet'!$E$2:$F$373,2,0)</f>
        <v>#N/A</v>
      </c>
    </row>
    <row r="390">
      <c r="A390" s="4">
        <v>5.9906388E7</v>
      </c>
      <c r="B390" s="9">
        <v>14.0</v>
      </c>
      <c r="C390" s="9">
        <v>3.71</v>
      </c>
      <c r="D390" s="2" t="s">
        <v>811</v>
      </c>
      <c r="E390" s="2" t="s">
        <v>794</v>
      </c>
      <c r="F390" s="2" t="s">
        <v>812</v>
      </c>
      <c r="G390" s="9">
        <v>341.0</v>
      </c>
      <c r="H390" s="9">
        <v>4.23</v>
      </c>
      <c r="I390" s="9">
        <v>327.0</v>
      </c>
      <c r="J390" s="1" t="s">
        <v>813</v>
      </c>
      <c r="K390" s="1" t="s">
        <v>1033</v>
      </c>
      <c r="L390" s="1" t="str">
        <f t="shared" si="1"/>
        <v>STORM-PILLOWKing</v>
      </c>
      <c r="M390" s="1" t="s">
        <v>823</v>
      </c>
      <c r="N390" s="6">
        <v>259.99</v>
      </c>
      <c r="O390" s="6">
        <v>259.99</v>
      </c>
      <c r="P390" s="1" t="s">
        <v>663</v>
      </c>
      <c r="Q390" s="7"/>
      <c r="R390" s="1" t="s">
        <v>820</v>
      </c>
      <c r="S390" s="1" t="s">
        <v>31</v>
      </c>
      <c r="T390" s="1" t="s">
        <v>568</v>
      </c>
      <c r="U390" s="7"/>
      <c r="V390" s="7"/>
      <c r="W390" s="7"/>
      <c r="X390" s="7"/>
      <c r="Y390" s="7"/>
      <c r="Z390" s="7"/>
      <c r="AA390" s="8" t="str">
        <f>IFERROR(VLOOKUP(A390,Sheet3!B:H,6,false),VLOOKUP(J390,Sheet2!A:C,2,false))</f>
        <v>https://bedgear.com/cdn/shop/files/01-STORM-1.0-ProductShot-Main_4039e18e-00ff-4c78-8705-b11a60a00744.jpg</v>
      </c>
      <c r="AB390" s="8" t="str">
        <f>IFERROR(VLOOKUP(A390,Sheet3!B:H,7,false),VLOOKUP(J390,Sheet2!A:C,3,false))</f>
        <v>https://bedgear.com/products/storm-performance-pillow</v>
      </c>
      <c r="AC390" s="8" t="str">
        <f t="shared" si="2"/>
        <v>https://rtg-275.myshopify.com/products/STORM-PILLOW</v>
      </c>
      <c r="AD390" s="11" t="str">
        <f>vlookup(L390,'Python sheet'!$E$2:$F$373,2,0)</f>
        <v>#N/A</v>
      </c>
    </row>
    <row r="391">
      <c r="A391" s="4">
        <v>5.9907102E7</v>
      </c>
      <c r="B391" s="9">
        <v>1.0</v>
      </c>
      <c r="C391" s="9">
        <v>2.0</v>
      </c>
      <c r="D391" s="2" t="s">
        <v>824</v>
      </c>
      <c r="E391" s="2" t="s">
        <v>794</v>
      </c>
      <c r="F391" s="2" t="s">
        <v>825</v>
      </c>
      <c r="G391" s="9">
        <v>8.0</v>
      </c>
      <c r="H391" s="9">
        <v>3.38</v>
      </c>
      <c r="I391" s="9">
        <v>7.0</v>
      </c>
      <c r="J391" s="1" t="s">
        <v>826</v>
      </c>
      <c r="K391" s="1" t="s">
        <v>1034</v>
      </c>
      <c r="L391" s="1" t="str">
        <f t="shared" si="1"/>
        <v>NIGHT-ICE-PILLOWQueen</v>
      </c>
      <c r="M391" s="1" t="s">
        <v>827</v>
      </c>
      <c r="N391" s="6">
        <v>299.99</v>
      </c>
      <c r="O391" s="6">
        <v>299.99</v>
      </c>
      <c r="P391" s="1" t="s">
        <v>663</v>
      </c>
      <c r="Q391" s="7"/>
      <c r="R391" s="7"/>
      <c r="S391" s="1" t="s">
        <v>31</v>
      </c>
      <c r="T391" s="1" t="s">
        <v>470</v>
      </c>
      <c r="U391" s="7"/>
      <c r="V391" s="7"/>
      <c r="W391" s="7"/>
      <c r="X391" s="7"/>
      <c r="Y391" s="7"/>
      <c r="Z391" s="7"/>
      <c r="AA391" s="8" t="str">
        <f>IFERROR(VLOOKUP(A391,Sheet3!B:H,6,false),VLOOKUP(J391,Sheet2!A:C,2,false))</f>
        <v>https://bedgear.com/cdn/shop/files/01-NIGHT_ICE-1.0-ProductShot-Main_0432e2a4-3a2f-40bb-b3f0-48674c79b69d.jpg</v>
      </c>
      <c r="AB391" s="8" t="str">
        <f>IFERROR(VLOOKUP(A391,Sheet3!B:H,7,false),VLOOKUP(J391,Sheet2!A:C,3,false))</f>
        <v>https://bedgear.com/products/night-ice-performance-pillow</v>
      </c>
      <c r="AC391" s="8" t="str">
        <f t="shared" si="2"/>
        <v>https://rtg-275.myshopify.com/products/NIGHT-ICE-PILLOW</v>
      </c>
      <c r="AD391" s="11" t="str">
        <f>vlookup(L391,'Python sheet'!$E$2:$F$373,2,0)</f>
        <v>#N/A</v>
      </c>
    </row>
    <row r="392">
      <c r="A392" s="4">
        <v>5.9907114E7</v>
      </c>
      <c r="B392" s="9">
        <v>3.0</v>
      </c>
      <c r="C392" s="9">
        <v>4.33</v>
      </c>
      <c r="D392" s="2" t="s">
        <v>824</v>
      </c>
      <c r="E392" s="2" t="s">
        <v>794</v>
      </c>
      <c r="F392" s="2" t="s">
        <v>825</v>
      </c>
      <c r="G392" s="9">
        <v>8.0</v>
      </c>
      <c r="H392" s="9">
        <v>3.38</v>
      </c>
      <c r="I392" s="9">
        <v>5.0</v>
      </c>
      <c r="J392" s="1" t="s">
        <v>826</v>
      </c>
      <c r="K392" s="1" t="s">
        <v>1034</v>
      </c>
      <c r="L392" s="1" t="str">
        <f t="shared" si="1"/>
        <v>NIGHT-ICE-PILLOWQueen</v>
      </c>
      <c r="M392" s="1" t="s">
        <v>828</v>
      </c>
      <c r="N392" s="6">
        <v>299.99</v>
      </c>
      <c r="O392" s="6">
        <v>299.99</v>
      </c>
      <c r="P392" s="1" t="s">
        <v>663</v>
      </c>
      <c r="Q392" s="7"/>
      <c r="R392" s="7"/>
      <c r="S392" s="1" t="s">
        <v>31</v>
      </c>
      <c r="T392" s="1" t="s">
        <v>470</v>
      </c>
      <c r="U392" s="7"/>
      <c r="V392" s="7"/>
      <c r="W392" s="7"/>
      <c r="X392" s="7"/>
      <c r="Y392" s="7"/>
      <c r="Z392" s="7"/>
      <c r="AA392" s="8" t="str">
        <f>IFERROR(VLOOKUP(A392,Sheet3!B:H,6,false),VLOOKUP(J392,Sheet2!A:C,2,false))</f>
        <v>https://bedgear.com/cdn/shop/files/01-NIGHT_ICE-1.0-ProductShot-Main_0432e2a4-3a2f-40bb-b3f0-48674c79b69d.jpg</v>
      </c>
      <c r="AB392" s="8" t="str">
        <f>IFERROR(VLOOKUP(A392,Sheet3!B:H,7,false),VLOOKUP(J392,Sheet2!A:C,3,false))</f>
        <v>https://bedgear.com/products/night-ice-performance-pillow</v>
      </c>
      <c r="AC392" s="8" t="str">
        <f t="shared" si="2"/>
        <v>https://rtg-275.myshopify.com/products/NIGHT-ICE-PILLOW</v>
      </c>
      <c r="AD392" s="11" t="str">
        <f>vlookup(L392,'Python sheet'!$E$2:$F$373,2,0)</f>
        <v>#N/A</v>
      </c>
    </row>
    <row r="393">
      <c r="A393" s="4">
        <v>5.9907126E7</v>
      </c>
      <c r="B393" s="5"/>
      <c r="C393" s="5"/>
      <c r="D393" s="5"/>
      <c r="E393" s="5"/>
      <c r="F393" s="5"/>
      <c r="G393" s="5"/>
      <c r="H393" s="5"/>
      <c r="I393" s="5"/>
      <c r="J393" s="1" t="s">
        <v>826</v>
      </c>
      <c r="K393" s="1" t="s">
        <v>1034</v>
      </c>
      <c r="L393" s="1" t="str">
        <f t="shared" si="1"/>
        <v>NIGHT-ICE-PILLOWQueen</v>
      </c>
      <c r="M393" s="1" t="s">
        <v>829</v>
      </c>
      <c r="N393" s="6">
        <v>299.99</v>
      </c>
      <c r="O393" s="6">
        <v>299.99</v>
      </c>
      <c r="P393" s="1" t="s">
        <v>663</v>
      </c>
      <c r="Q393" s="7"/>
      <c r="R393" s="7"/>
      <c r="S393" s="1" t="s">
        <v>31</v>
      </c>
      <c r="T393" s="1" t="s">
        <v>470</v>
      </c>
      <c r="U393" s="7"/>
      <c r="V393" s="7"/>
      <c r="W393" s="7"/>
      <c r="X393" s="7"/>
      <c r="Y393" s="7"/>
      <c r="Z393" s="7"/>
      <c r="AA393" s="8" t="str">
        <f>IFERROR(VLOOKUP(A393,Sheet3!B:H,6,false),VLOOKUP(J393,Sheet2!A:C,2,false))</f>
        <v>https://bedgear.com/cdn/shop/files/01-NIGHT_ICE-1.0-ProductShot-Main_0432e2a4-3a2f-40bb-b3f0-48674c79b69d.jpg</v>
      </c>
      <c r="AB393" s="8" t="str">
        <f>IFERROR(VLOOKUP(A393,Sheet3!B:H,7,false),VLOOKUP(J393,Sheet2!A:C,3,false))</f>
        <v>https://bedgear.com/products/night-ice-performance-pillow</v>
      </c>
      <c r="AC393" s="8" t="str">
        <f t="shared" si="2"/>
        <v>https://rtg-275.myshopify.com/products/NIGHT-ICE-PILLOW</v>
      </c>
      <c r="AD393" s="11" t="str">
        <f>vlookup(L393,'Python sheet'!$E$2:$F$373,2,0)</f>
        <v>#N/A</v>
      </c>
    </row>
    <row r="394">
      <c r="A394" s="4">
        <v>5.9907138E7</v>
      </c>
      <c r="B394" s="9">
        <v>1.0</v>
      </c>
      <c r="C394" s="9">
        <v>5.0</v>
      </c>
      <c r="D394" s="2" t="s">
        <v>824</v>
      </c>
      <c r="E394" s="2" t="s">
        <v>794</v>
      </c>
      <c r="F394" s="2" t="s">
        <v>825</v>
      </c>
      <c r="G394" s="9">
        <v>8.0</v>
      </c>
      <c r="H394" s="9">
        <v>3.38</v>
      </c>
      <c r="I394" s="9">
        <v>7.0</v>
      </c>
      <c r="J394" s="1" t="s">
        <v>826</v>
      </c>
      <c r="K394" s="1" t="s">
        <v>1034</v>
      </c>
      <c r="L394" s="1" t="str">
        <f t="shared" si="1"/>
        <v>NIGHT-ICE-PILLOWQueen</v>
      </c>
      <c r="M394" s="1" t="s">
        <v>830</v>
      </c>
      <c r="N394" s="6">
        <v>299.99</v>
      </c>
      <c r="O394" s="6">
        <v>299.99</v>
      </c>
      <c r="P394" s="1" t="s">
        <v>663</v>
      </c>
      <c r="Q394" s="7"/>
      <c r="R394" s="7"/>
      <c r="S394" s="1" t="s">
        <v>31</v>
      </c>
      <c r="T394" s="1" t="s">
        <v>470</v>
      </c>
      <c r="U394" s="7"/>
      <c r="V394" s="7"/>
      <c r="W394" s="7"/>
      <c r="X394" s="7"/>
      <c r="Y394" s="7"/>
      <c r="Z394" s="7"/>
      <c r="AA394" s="8" t="str">
        <f>IFERROR(VLOOKUP(A394,Sheet3!B:H,6,false),VLOOKUP(J394,Sheet2!A:C,2,false))</f>
        <v>https://bedgear.com/cdn/shop/files/01-NIGHT_ICE-1.0-ProductShot-Main_0432e2a4-3a2f-40bb-b3f0-48674c79b69d.jpg</v>
      </c>
      <c r="AB394" s="8" t="str">
        <f>IFERROR(VLOOKUP(A394,Sheet3!B:H,7,false),VLOOKUP(J394,Sheet2!A:C,3,false))</f>
        <v>https://bedgear.com/products/night-ice-performance-pillow</v>
      </c>
      <c r="AC394" s="8" t="str">
        <f t="shared" si="2"/>
        <v>https://rtg-275.myshopify.com/products/NIGHT-ICE-PILLOW</v>
      </c>
      <c r="AD394" s="11" t="str">
        <f>vlookup(L394,'Python sheet'!$E$2:$F$373,2,0)</f>
        <v>#N/A</v>
      </c>
    </row>
    <row r="395">
      <c r="A395" s="4">
        <v>5.990714E7</v>
      </c>
      <c r="B395" s="9">
        <v>1.0</v>
      </c>
      <c r="C395" s="9">
        <v>5.0</v>
      </c>
      <c r="D395" s="2" t="s">
        <v>824</v>
      </c>
      <c r="E395" s="2" t="s">
        <v>794</v>
      </c>
      <c r="F395" s="2" t="s">
        <v>825</v>
      </c>
      <c r="G395" s="9">
        <v>8.0</v>
      </c>
      <c r="H395" s="9">
        <v>3.38</v>
      </c>
      <c r="I395" s="9">
        <v>7.0</v>
      </c>
      <c r="J395" s="1" t="s">
        <v>826</v>
      </c>
      <c r="K395" s="1" t="s">
        <v>1034</v>
      </c>
      <c r="L395" s="1" t="str">
        <f t="shared" si="1"/>
        <v>NIGHT-ICE-PILLOWKing</v>
      </c>
      <c r="M395" s="1" t="s">
        <v>831</v>
      </c>
      <c r="N395" s="6">
        <v>349.99</v>
      </c>
      <c r="O395" s="6">
        <v>349.99</v>
      </c>
      <c r="P395" s="1" t="s">
        <v>663</v>
      </c>
      <c r="Q395" s="7"/>
      <c r="R395" s="7"/>
      <c r="S395" s="1" t="s">
        <v>31</v>
      </c>
      <c r="T395" s="1" t="s">
        <v>568</v>
      </c>
      <c r="U395" s="7"/>
      <c r="V395" s="7"/>
      <c r="W395" s="7"/>
      <c r="X395" s="7"/>
      <c r="Y395" s="7"/>
      <c r="Z395" s="7"/>
      <c r="AA395" s="8" t="str">
        <f>IFERROR(VLOOKUP(A395,Sheet3!B:H,6,false),VLOOKUP(J395,Sheet2!A:C,2,false))</f>
        <v>https://bedgear.com/cdn/shop/files/01-NIGHT_ICE-1.0-ProductShot-Main_0432e2a4-3a2f-40bb-b3f0-48674c79b69d.jpg</v>
      </c>
      <c r="AB395" s="8" t="str">
        <f>IFERROR(VLOOKUP(A395,Sheet3!B:H,7,false),VLOOKUP(J395,Sheet2!A:C,3,false))</f>
        <v>https://bedgear.com/products/night-ice-performance-pillow</v>
      </c>
      <c r="AC395" s="8" t="str">
        <f t="shared" si="2"/>
        <v>https://rtg-275.myshopify.com/products/NIGHT-ICE-PILLOW</v>
      </c>
      <c r="AD395" s="11" t="str">
        <f>vlookup(L395,'Python sheet'!$E$2:$F$373,2,0)</f>
        <v>#N/A</v>
      </c>
    </row>
    <row r="396">
      <c r="A396" s="4">
        <v>5.9907152E7</v>
      </c>
      <c r="B396" s="9">
        <v>2.0</v>
      </c>
      <c r="C396" s="9">
        <v>1.0</v>
      </c>
      <c r="D396" s="2" t="s">
        <v>824</v>
      </c>
      <c r="E396" s="2" t="s">
        <v>794</v>
      </c>
      <c r="F396" s="2" t="s">
        <v>825</v>
      </c>
      <c r="G396" s="9">
        <v>8.0</v>
      </c>
      <c r="H396" s="9">
        <v>3.38</v>
      </c>
      <c r="I396" s="9">
        <v>6.0</v>
      </c>
      <c r="J396" s="1" t="s">
        <v>826</v>
      </c>
      <c r="K396" s="1" t="s">
        <v>1034</v>
      </c>
      <c r="L396" s="1" t="str">
        <f t="shared" si="1"/>
        <v>NIGHT-ICE-PILLOWKing</v>
      </c>
      <c r="M396" s="1" t="s">
        <v>832</v>
      </c>
      <c r="N396" s="6">
        <v>349.99</v>
      </c>
      <c r="O396" s="6">
        <v>349.99</v>
      </c>
      <c r="P396" s="1" t="s">
        <v>663</v>
      </c>
      <c r="Q396" s="7"/>
      <c r="R396" s="7"/>
      <c r="S396" s="1" t="s">
        <v>31</v>
      </c>
      <c r="T396" s="1" t="s">
        <v>568</v>
      </c>
      <c r="U396" s="7"/>
      <c r="V396" s="7"/>
      <c r="W396" s="7"/>
      <c r="X396" s="7"/>
      <c r="Y396" s="7"/>
      <c r="Z396" s="7"/>
      <c r="AA396" s="8" t="str">
        <f>IFERROR(VLOOKUP(A396,Sheet3!B:H,6,false),VLOOKUP(J396,Sheet2!A:C,2,false))</f>
        <v>https://bedgear.com/cdn/shop/files/01-NIGHT_ICE-1.0-ProductShot-Main_0432e2a4-3a2f-40bb-b3f0-48674c79b69d.jpg</v>
      </c>
      <c r="AB396" s="8" t="str">
        <f>IFERROR(VLOOKUP(A396,Sheet3!B:H,7,false),VLOOKUP(J396,Sheet2!A:C,3,false))</f>
        <v>https://bedgear.com/products/night-ice-performance-pillow</v>
      </c>
      <c r="AC396" s="8" t="str">
        <f t="shared" si="2"/>
        <v>https://rtg-275.myshopify.com/products/NIGHT-ICE-PILLOW</v>
      </c>
      <c r="AD396" s="11" t="str">
        <f>vlookup(L396,'Python sheet'!$E$2:$F$373,2,0)</f>
        <v>#N/A</v>
      </c>
    </row>
    <row r="397">
      <c r="A397" s="4">
        <v>5.9907164E7</v>
      </c>
      <c r="B397" s="5"/>
      <c r="C397" s="5"/>
      <c r="D397" s="5"/>
      <c r="E397" s="5"/>
      <c r="F397" s="5"/>
      <c r="G397" s="5"/>
      <c r="H397" s="5"/>
      <c r="I397" s="5"/>
      <c r="J397" s="1" t="s">
        <v>826</v>
      </c>
      <c r="K397" s="1" t="s">
        <v>1034</v>
      </c>
      <c r="L397" s="1" t="str">
        <f t="shared" si="1"/>
        <v>NIGHT-ICE-PILLOWKing</v>
      </c>
      <c r="M397" s="1" t="s">
        <v>833</v>
      </c>
      <c r="N397" s="6">
        <v>349.99</v>
      </c>
      <c r="O397" s="6">
        <v>349.99</v>
      </c>
      <c r="P397" s="1" t="s">
        <v>663</v>
      </c>
      <c r="Q397" s="7"/>
      <c r="R397" s="7"/>
      <c r="S397" s="1" t="s">
        <v>31</v>
      </c>
      <c r="T397" s="1" t="s">
        <v>568</v>
      </c>
      <c r="U397" s="7"/>
      <c r="V397" s="7"/>
      <c r="W397" s="7"/>
      <c r="X397" s="7"/>
      <c r="Y397" s="7"/>
      <c r="Z397" s="7"/>
      <c r="AA397" s="8" t="str">
        <f>IFERROR(VLOOKUP(A397,Sheet3!B:H,6,false),VLOOKUP(J397,Sheet2!A:C,2,false))</f>
        <v>https://bedgear.com/cdn/shop/files/01-NIGHT_ICE-1.0-ProductShot-Main_0432e2a4-3a2f-40bb-b3f0-48674c79b69d.jpg</v>
      </c>
      <c r="AB397" s="8" t="str">
        <f>IFERROR(VLOOKUP(A397,Sheet3!B:H,7,false),VLOOKUP(J397,Sheet2!A:C,3,false))</f>
        <v>https://bedgear.com/products/night-ice-performance-pillow</v>
      </c>
      <c r="AC397" s="8" t="str">
        <f t="shared" si="2"/>
        <v>https://rtg-275.myshopify.com/products/NIGHT-ICE-PILLOW</v>
      </c>
      <c r="AD397" s="11" t="str">
        <f>vlookup(L397,'Python sheet'!$E$2:$F$373,2,0)</f>
        <v>#N/A</v>
      </c>
    </row>
    <row r="398">
      <c r="A398" s="4">
        <v>5.9907176E7</v>
      </c>
      <c r="B398" s="5"/>
      <c r="C398" s="5"/>
      <c r="D398" s="5"/>
      <c r="E398" s="5"/>
      <c r="F398" s="5"/>
      <c r="G398" s="5"/>
      <c r="H398" s="5"/>
      <c r="I398" s="5"/>
      <c r="J398" s="1" t="s">
        <v>826</v>
      </c>
      <c r="K398" s="1" t="s">
        <v>1034</v>
      </c>
      <c r="L398" s="1" t="str">
        <f t="shared" si="1"/>
        <v>NIGHT-ICE-PILLOWKing</v>
      </c>
      <c r="M398" s="1" t="s">
        <v>834</v>
      </c>
      <c r="N398" s="6">
        <v>349.99</v>
      </c>
      <c r="O398" s="6">
        <v>349.99</v>
      </c>
      <c r="P398" s="1" t="s">
        <v>663</v>
      </c>
      <c r="Q398" s="7"/>
      <c r="R398" s="7"/>
      <c r="S398" s="1" t="s">
        <v>31</v>
      </c>
      <c r="T398" s="1" t="s">
        <v>568</v>
      </c>
      <c r="U398" s="7"/>
      <c r="V398" s="7"/>
      <c r="W398" s="7"/>
      <c r="X398" s="7"/>
      <c r="Y398" s="7"/>
      <c r="Z398" s="7"/>
      <c r="AA398" s="8" t="str">
        <f>IFERROR(VLOOKUP(A398,Sheet3!B:H,6,false),VLOOKUP(J398,Sheet2!A:C,2,false))</f>
        <v>https://bedgear.com/cdn/shop/files/01-NIGHT_ICE-1.0-ProductShot-Main_0432e2a4-3a2f-40bb-b3f0-48674c79b69d.jpg</v>
      </c>
      <c r="AB398" s="8" t="str">
        <f>IFERROR(VLOOKUP(A398,Sheet3!B:H,7,false),VLOOKUP(J398,Sheet2!A:C,3,false))</f>
        <v>https://bedgear.com/products/night-ice-performance-pillow</v>
      </c>
      <c r="AC398" s="8" t="str">
        <f t="shared" si="2"/>
        <v>https://rtg-275.myshopify.com/products/NIGHT-ICE-PILLOW</v>
      </c>
      <c r="AD398" s="11" t="str">
        <f>vlookup(L398,'Python sheet'!$E$2:$F$373,2,0)</f>
        <v>#N/A</v>
      </c>
    </row>
    <row r="399">
      <c r="A399" s="4">
        <v>5.9911036E7</v>
      </c>
      <c r="B399" s="9">
        <v>65.0</v>
      </c>
      <c r="C399" s="9">
        <v>4.31</v>
      </c>
      <c r="D399" s="2" t="s">
        <v>835</v>
      </c>
      <c r="E399" s="2" t="s">
        <v>836</v>
      </c>
      <c r="F399" s="2" t="s">
        <v>837</v>
      </c>
      <c r="G399" s="9">
        <v>139.0</v>
      </c>
      <c r="H399" s="9">
        <v>4.06</v>
      </c>
      <c r="I399" s="9">
        <v>74.0</v>
      </c>
      <c r="J399" s="1" t="s">
        <v>838</v>
      </c>
      <c r="K399" s="1" t="s">
        <v>1035</v>
      </c>
      <c r="L399" s="1" t="str">
        <f t="shared" si="1"/>
        <v>DRI-TEC-SHEETSFull</v>
      </c>
      <c r="M399" s="1" t="s">
        <v>839</v>
      </c>
      <c r="N399" s="6">
        <v>229.99</v>
      </c>
      <c r="O399" s="6">
        <v>229.99</v>
      </c>
      <c r="P399" s="1" t="s">
        <v>663</v>
      </c>
      <c r="Q399" s="7"/>
      <c r="R399" s="1" t="s">
        <v>840</v>
      </c>
      <c r="S399" s="7"/>
      <c r="T399" s="1" t="s">
        <v>373</v>
      </c>
      <c r="U399" s="7"/>
      <c r="V399" s="7"/>
      <c r="W399" s="7"/>
      <c r="X399" s="7"/>
      <c r="Y399" s="7"/>
      <c r="Z399" s="7"/>
      <c r="AA399" s="8" t="str">
        <f>IFERROR(VLOOKUP(A399,Sheet3!B:H,6,false),VLOOKUP(J399,Sheet2!A:C,2,false))</f>
        <v>https://bedgear.com/cdn/shop/files/01-Grey-ProductShot-Stack_de9d1597-1c50-403a-a9af-2923ed02cd42.jpg</v>
      </c>
      <c r="AB399" s="8" t="str">
        <f>IFERROR(VLOOKUP(A399,Sheet3!B:H,7,false),VLOOKUP(J399,Sheet2!A:C,3,false))</f>
        <v>https://bedgear.com/products/dri-tec-sheet-set</v>
      </c>
      <c r="AC399" s="8" t="str">
        <f t="shared" si="2"/>
        <v>https://rtg-275.myshopify.com/products/DRI-TEC-SHEETS</v>
      </c>
      <c r="AD399" s="11" t="str">
        <f>vlookup(L399,'Python sheet'!$E$2:$F$373,2,0)</f>
        <v>#N/A</v>
      </c>
    </row>
    <row r="400">
      <c r="A400" s="4">
        <v>5.9911048E7</v>
      </c>
      <c r="B400" s="9">
        <v>12.0</v>
      </c>
      <c r="C400" s="9">
        <v>4.25</v>
      </c>
      <c r="D400" s="2" t="s">
        <v>835</v>
      </c>
      <c r="E400" s="2" t="s">
        <v>836</v>
      </c>
      <c r="F400" s="2" t="s">
        <v>837</v>
      </c>
      <c r="G400" s="9">
        <v>139.0</v>
      </c>
      <c r="H400" s="9">
        <v>4.06</v>
      </c>
      <c r="I400" s="9">
        <v>127.0</v>
      </c>
      <c r="J400" s="1" t="s">
        <v>838</v>
      </c>
      <c r="K400" s="1" t="s">
        <v>1035</v>
      </c>
      <c r="L400" s="1" t="str">
        <f t="shared" si="1"/>
        <v>DRI-TEC-SHEETSQueen</v>
      </c>
      <c r="M400" s="1" t="s">
        <v>841</v>
      </c>
      <c r="N400" s="6">
        <v>229.99</v>
      </c>
      <c r="O400" s="6">
        <v>229.99</v>
      </c>
      <c r="P400" s="1" t="s">
        <v>663</v>
      </c>
      <c r="Q400" s="7"/>
      <c r="R400" s="1" t="s">
        <v>842</v>
      </c>
      <c r="S400" s="7"/>
      <c r="T400" s="1" t="s">
        <v>470</v>
      </c>
      <c r="U400" s="7"/>
      <c r="V400" s="7"/>
      <c r="W400" s="7"/>
      <c r="X400" s="7"/>
      <c r="Y400" s="7"/>
      <c r="Z400" s="7"/>
      <c r="AA400" s="8" t="str">
        <f>IFERROR(VLOOKUP(A400,Sheet3!B:H,6,false),VLOOKUP(J400,Sheet2!A:C,2,false))</f>
        <v>https://bedgear.com/cdn/shop/files/01-Grey-ProductShot-Stack_de9d1597-1c50-403a-a9af-2923ed02cd42.jpg</v>
      </c>
      <c r="AB400" s="8" t="str">
        <f>IFERROR(VLOOKUP(A400,Sheet3!B:H,7,false),VLOOKUP(J400,Sheet2!A:C,3,false))</f>
        <v>https://bedgear.com/products/dri-tec-sheet-set</v>
      </c>
      <c r="AC400" s="8" t="str">
        <f t="shared" si="2"/>
        <v>https://rtg-275.myshopify.com/products/DRI-TEC-SHEETS</v>
      </c>
      <c r="AD400" s="11" t="str">
        <f>vlookup(L400,'Python sheet'!$E$2:$F$373,2,0)</f>
        <v>#N/A</v>
      </c>
    </row>
    <row r="401">
      <c r="A401" s="4">
        <v>5.9911101E7</v>
      </c>
      <c r="B401" s="5"/>
      <c r="C401" s="5"/>
      <c r="D401" s="5"/>
      <c r="E401" s="5"/>
      <c r="F401" s="5"/>
      <c r="G401" s="5"/>
      <c r="H401" s="5"/>
      <c r="I401" s="5"/>
      <c r="J401" s="1" t="s">
        <v>838</v>
      </c>
      <c r="K401" s="1" t="s">
        <v>1035</v>
      </c>
      <c r="L401" s="1" t="str">
        <f t="shared" si="1"/>
        <v>DRI-TEC-SHEETSTwin,Twin XL</v>
      </c>
      <c r="M401" s="1" t="s">
        <v>843</v>
      </c>
      <c r="N401" s="6">
        <v>199.99</v>
      </c>
      <c r="O401" s="6">
        <v>199.99</v>
      </c>
      <c r="P401" s="1" t="s">
        <v>663</v>
      </c>
      <c r="Q401" s="7"/>
      <c r="R401" s="1" t="s">
        <v>844</v>
      </c>
      <c r="S401" s="7"/>
      <c r="T401" s="1" t="s">
        <v>845</v>
      </c>
      <c r="U401" s="7"/>
      <c r="V401" s="7"/>
      <c r="W401" s="7"/>
      <c r="X401" s="7"/>
      <c r="Y401" s="7"/>
      <c r="Z401" s="7"/>
      <c r="AA401" s="8" t="str">
        <f>IFERROR(VLOOKUP(A401,Sheet3!B:H,6,false),VLOOKUP(J401,Sheet2!A:C,2,false))</f>
        <v>https://bedgear.com/cdn/shop/files/01-Grey-ProductShot-Stack_de9d1597-1c50-403a-a9af-2923ed02cd42.jpg</v>
      </c>
      <c r="AB401" s="8" t="str">
        <f>IFERROR(VLOOKUP(A401,Sheet3!B:H,7,false),VLOOKUP(J401,Sheet2!A:C,3,false))</f>
        <v>https://bedgear.com/products/dri-tec-sheet-set</v>
      </c>
      <c r="AC401" s="8" t="str">
        <f t="shared" si="2"/>
        <v>https://rtg-275.myshopify.com/products/DRI-TEC-SHEETS</v>
      </c>
      <c r="AD401" s="11" t="str">
        <f>vlookup(L401,'Python sheet'!$E$2:$F$373,2,0)</f>
        <v>#N/A</v>
      </c>
    </row>
    <row r="402">
      <c r="A402" s="4">
        <v>5.9911113E7</v>
      </c>
      <c r="B402" s="9">
        <v>9.0</v>
      </c>
      <c r="C402" s="9">
        <v>3.89</v>
      </c>
      <c r="D402" s="2" t="s">
        <v>835</v>
      </c>
      <c r="E402" s="2" t="s">
        <v>836</v>
      </c>
      <c r="F402" s="2" t="s">
        <v>837</v>
      </c>
      <c r="G402" s="9">
        <v>139.0</v>
      </c>
      <c r="H402" s="9">
        <v>4.06</v>
      </c>
      <c r="I402" s="9">
        <v>130.0</v>
      </c>
      <c r="J402" s="1" t="s">
        <v>838</v>
      </c>
      <c r="K402" s="1" t="s">
        <v>1035</v>
      </c>
      <c r="L402" s="1" t="str">
        <f t="shared" si="1"/>
        <v>DRI-TEC-SHEETSCalifornia King,King</v>
      </c>
      <c r="M402" s="1" t="s">
        <v>846</v>
      </c>
      <c r="N402" s="6">
        <v>279.99</v>
      </c>
      <c r="O402" s="6">
        <v>279.99</v>
      </c>
      <c r="P402" s="1" t="s">
        <v>663</v>
      </c>
      <c r="Q402" s="7"/>
      <c r="R402" s="1" t="s">
        <v>847</v>
      </c>
      <c r="S402" s="7"/>
      <c r="T402" s="1" t="s">
        <v>848</v>
      </c>
      <c r="U402" s="7"/>
      <c r="V402" s="7"/>
      <c r="W402" s="7"/>
      <c r="X402" s="7"/>
      <c r="Y402" s="7"/>
      <c r="Z402" s="7"/>
      <c r="AA402" s="8" t="str">
        <f>IFERROR(VLOOKUP(A402,Sheet3!B:H,6,false),VLOOKUP(J402,Sheet2!A:C,2,false))</f>
        <v>https://bedgear.com/cdn/shop/files/01-Grey-ProductShot-Stack_de9d1597-1c50-403a-a9af-2923ed02cd42.jpg</v>
      </c>
      <c r="AB402" s="8" t="str">
        <f>IFERROR(VLOOKUP(A402,Sheet3!B:H,7,false),VLOOKUP(J402,Sheet2!A:C,3,false))</f>
        <v>https://bedgear.com/products/dri-tec-sheet-set</v>
      </c>
      <c r="AC402" s="8" t="str">
        <f t="shared" si="2"/>
        <v>https://rtg-275.myshopify.com/products/DRI-TEC-SHEETS</v>
      </c>
      <c r="AD402" s="11" t="str">
        <f>vlookup(L402,'Python sheet'!$E$2:$F$373,2,0)</f>
        <v>#N/A</v>
      </c>
    </row>
    <row r="403">
      <c r="A403" s="4">
        <v>5.9911125E7</v>
      </c>
      <c r="B403" s="9">
        <v>14.0</v>
      </c>
      <c r="C403" s="9">
        <v>3.36</v>
      </c>
      <c r="D403" s="2" t="s">
        <v>835</v>
      </c>
      <c r="E403" s="2" t="s">
        <v>836</v>
      </c>
      <c r="F403" s="2" t="s">
        <v>837</v>
      </c>
      <c r="G403" s="9">
        <v>139.0</v>
      </c>
      <c r="H403" s="9">
        <v>4.06</v>
      </c>
      <c r="I403" s="9">
        <v>125.0</v>
      </c>
      <c r="J403" s="1" t="s">
        <v>838</v>
      </c>
      <c r="K403" s="1" t="s">
        <v>1035</v>
      </c>
      <c r="L403" s="1" t="str">
        <f t="shared" si="1"/>
        <v>DRI-TEC-SHEETSSplit California King,Split King</v>
      </c>
      <c r="M403" s="1" t="s">
        <v>849</v>
      </c>
      <c r="N403" s="6">
        <v>279.99</v>
      </c>
      <c r="O403" s="6">
        <v>279.99</v>
      </c>
      <c r="P403" s="1" t="s">
        <v>663</v>
      </c>
      <c r="Q403" s="7"/>
      <c r="R403" s="1" t="s">
        <v>850</v>
      </c>
      <c r="S403" s="7"/>
      <c r="T403" s="1" t="s">
        <v>851</v>
      </c>
      <c r="U403" s="7"/>
      <c r="V403" s="7"/>
      <c r="W403" s="7"/>
      <c r="X403" s="7"/>
      <c r="Y403" s="7"/>
      <c r="Z403" s="7"/>
      <c r="AA403" s="8" t="str">
        <f>IFERROR(VLOOKUP(A403,Sheet3!B:H,6,false),VLOOKUP(J403,Sheet2!A:C,2,false))</f>
        <v>https://bedgear.com/cdn/shop/files/01-Grey-ProductShot-Stack_de9d1597-1c50-403a-a9af-2923ed02cd42.jpg</v>
      </c>
      <c r="AB403" s="8" t="str">
        <f>IFERROR(VLOOKUP(A403,Sheet3!B:H,7,false),VLOOKUP(J403,Sheet2!A:C,3,false))</f>
        <v>https://bedgear.com/products/dri-tec-sheet-set</v>
      </c>
      <c r="AC403" s="8" t="str">
        <f t="shared" si="2"/>
        <v>https://rtg-275.myshopify.com/products/DRI-TEC-SHEETS</v>
      </c>
      <c r="AD403" s="11" t="str">
        <f>vlookup(L403,'Python sheet'!$E$2:$F$373,2,0)</f>
        <v>#N/A</v>
      </c>
    </row>
    <row r="404">
      <c r="A404" s="4">
        <v>5.9912103E7</v>
      </c>
      <c r="B404" s="9">
        <v>3.0</v>
      </c>
      <c r="C404" s="9">
        <v>2.33</v>
      </c>
      <c r="D404" s="2" t="s">
        <v>835</v>
      </c>
      <c r="E404" s="2" t="s">
        <v>836</v>
      </c>
      <c r="F404" s="2" t="s">
        <v>837</v>
      </c>
      <c r="G404" s="9">
        <v>139.0</v>
      </c>
      <c r="H404" s="9">
        <v>4.06</v>
      </c>
      <c r="I404" s="9">
        <v>136.0</v>
      </c>
      <c r="J404" s="1" t="s">
        <v>838</v>
      </c>
      <c r="K404" s="1" t="s">
        <v>1035</v>
      </c>
      <c r="L404" s="1" t="str">
        <f t="shared" si="1"/>
        <v>DRI-TEC-SHEETSTwin,Twin XL</v>
      </c>
      <c r="M404" s="1" t="s">
        <v>843</v>
      </c>
      <c r="N404" s="6">
        <v>199.99</v>
      </c>
      <c r="O404" s="6">
        <v>199.99</v>
      </c>
      <c r="P404" s="1" t="s">
        <v>663</v>
      </c>
      <c r="Q404" s="7"/>
      <c r="R404" s="1" t="s">
        <v>852</v>
      </c>
      <c r="S404" s="7"/>
      <c r="T404" s="1" t="s">
        <v>845</v>
      </c>
      <c r="U404" s="7"/>
      <c r="V404" s="7"/>
      <c r="W404" s="7"/>
      <c r="X404" s="7"/>
      <c r="Y404" s="7"/>
      <c r="Z404" s="7"/>
      <c r="AA404" s="8" t="str">
        <f>IFERROR(VLOOKUP(A404,Sheet3!B:H,6,false),VLOOKUP(J404,Sheet2!A:C,2,false))</f>
        <v>https://bedgear.com/cdn/shop/files/01-Grey-ProductShot-Stack_de9d1597-1c50-403a-a9af-2923ed02cd42.jpg</v>
      </c>
      <c r="AB404" s="8" t="str">
        <f>IFERROR(VLOOKUP(A404,Sheet3!B:H,7,false),VLOOKUP(J404,Sheet2!A:C,3,false))</f>
        <v>https://bedgear.com/products/dri-tec-sheet-set</v>
      </c>
      <c r="AC404" s="8" t="str">
        <f t="shared" si="2"/>
        <v>https://rtg-275.myshopify.com/products/DRI-TEC-SHEETS</v>
      </c>
      <c r="AD404" s="11" t="str">
        <f>vlookup(L404,'Python sheet'!$E$2:$F$373,2,0)</f>
        <v>#N/A</v>
      </c>
    </row>
    <row r="405">
      <c r="A405" s="4">
        <v>5.9912115E7</v>
      </c>
      <c r="B405" s="5"/>
      <c r="C405" s="5"/>
      <c r="D405" s="5"/>
      <c r="E405" s="5"/>
      <c r="F405" s="5"/>
      <c r="G405" s="5"/>
      <c r="H405" s="5"/>
      <c r="I405" s="5"/>
      <c r="J405" s="1" t="s">
        <v>838</v>
      </c>
      <c r="K405" s="1" t="s">
        <v>1035</v>
      </c>
      <c r="L405" s="1" t="str">
        <f t="shared" si="1"/>
        <v>DRI-TEC-SHEETSFull</v>
      </c>
      <c r="M405" s="1" t="s">
        <v>839</v>
      </c>
      <c r="N405" s="6">
        <v>229.99</v>
      </c>
      <c r="O405" s="6">
        <v>229.99</v>
      </c>
      <c r="P405" s="1" t="s">
        <v>663</v>
      </c>
      <c r="Q405" s="7"/>
      <c r="R405" s="1" t="s">
        <v>853</v>
      </c>
      <c r="S405" s="7"/>
      <c r="T405" s="1" t="s">
        <v>373</v>
      </c>
      <c r="U405" s="7"/>
      <c r="V405" s="7"/>
      <c r="W405" s="7"/>
      <c r="X405" s="7"/>
      <c r="Y405" s="7"/>
      <c r="Z405" s="7"/>
      <c r="AA405" s="8" t="str">
        <f>IFERROR(VLOOKUP(A405,Sheet3!B:H,6,false),VLOOKUP(J405,Sheet2!A:C,2,false))</f>
        <v>https://bedgear.com/cdn/shop/files/01-Grey-ProductShot-Stack_de9d1597-1c50-403a-a9af-2923ed02cd42.jpg</v>
      </c>
      <c r="AB405" s="8" t="str">
        <f>IFERROR(VLOOKUP(A405,Sheet3!B:H,7,false),VLOOKUP(J405,Sheet2!A:C,3,false))</f>
        <v>https://bedgear.com/products/dri-tec-sheet-set</v>
      </c>
      <c r="AC405" s="8" t="str">
        <f t="shared" si="2"/>
        <v>https://rtg-275.myshopify.com/products/DRI-TEC-SHEETS</v>
      </c>
      <c r="AD405" s="11" t="str">
        <f>vlookup(L405,'Python sheet'!$E$2:$F$373,2,0)</f>
        <v>#N/A</v>
      </c>
    </row>
    <row r="406">
      <c r="A406" s="4">
        <v>5.9912139E7</v>
      </c>
      <c r="B406" s="9">
        <v>1.0</v>
      </c>
      <c r="C406" s="9">
        <v>1.0</v>
      </c>
      <c r="D406" s="2" t="s">
        <v>835</v>
      </c>
      <c r="E406" s="2" t="s">
        <v>836</v>
      </c>
      <c r="F406" s="2" t="s">
        <v>837</v>
      </c>
      <c r="G406" s="9">
        <v>139.0</v>
      </c>
      <c r="H406" s="9">
        <v>4.06</v>
      </c>
      <c r="I406" s="9">
        <v>138.0</v>
      </c>
      <c r="J406" s="1" t="s">
        <v>838</v>
      </c>
      <c r="K406" s="1" t="s">
        <v>1035</v>
      </c>
      <c r="L406" s="1" t="str">
        <f t="shared" si="1"/>
        <v>DRI-TEC-SHEETSQueen</v>
      </c>
      <c r="M406" s="1" t="s">
        <v>841</v>
      </c>
      <c r="N406" s="6">
        <v>229.99</v>
      </c>
      <c r="O406" s="6">
        <v>229.99</v>
      </c>
      <c r="P406" s="1" t="s">
        <v>663</v>
      </c>
      <c r="Q406" s="7"/>
      <c r="R406" s="1" t="s">
        <v>853</v>
      </c>
      <c r="S406" s="7"/>
      <c r="T406" s="1" t="s">
        <v>470</v>
      </c>
      <c r="U406" s="7"/>
      <c r="V406" s="7"/>
      <c r="W406" s="7"/>
      <c r="X406" s="7"/>
      <c r="Y406" s="7"/>
      <c r="Z406" s="7"/>
      <c r="AA406" s="8" t="str">
        <f>IFERROR(VLOOKUP(A406,Sheet3!B:H,6,false),VLOOKUP(J406,Sheet2!A:C,2,false))</f>
        <v>https://bedgear.com/cdn/shop/files/01-Grey-ProductShot-Stack_de9d1597-1c50-403a-a9af-2923ed02cd42.jpg</v>
      </c>
      <c r="AB406" s="8" t="str">
        <f>IFERROR(VLOOKUP(A406,Sheet3!B:H,7,false),VLOOKUP(J406,Sheet2!A:C,3,false))</f>
        <v>https://bedgear.com/products/dri-tec-sheet-set</v>
      </c>
      <c r="AC406" s="8" t="str">
        <f t="shared" si="2"/>
        <v>https://rtg-275.myshopify.com/products/DRI-TEC-SHEETS</v>
      </c>
      <c r="AD406" s="11" t="str">
        <f>vlookup(L406,'Python sheet'!$E$2:$F$373,2,0)</f>
        <v>#N/A</v>
      </c>
    </row>
    <row r="407">
      <c r="A407" s="4">
        <v>5.9912153E7</v>
      </c>
      <c r="B407" s="9">
        <v>2.0</v>
      </c>
      <c r="C407" s="9">
        <v>5.0</v>
      </c>
      <c r="D407" s="2" t="s">
        <v>835</v>
      </c>
      <c r="E407" s="2" t="s">
        <v>836</v>
      </c>
      <c r="F407" s="2" t="s">
        <v>837</v>
      </c>
      <c r="G407" s="9">
        <v>139.0</v>
      </c>
      <c r="H407" s="9">
        <v>4.06</v>
      </c>
      <c r="I407" s="9">
        <v>137.0</v>
      </c>
      <c r="J407" s="1" t="s">
        <v>838</v>
      </c>
      <c r="K407" s="1" t="s">
        <v>1035</v>
      </c>
      <c r="L407" s="1" t="str">
        <f t="shared" si="1"/>
        <v>DRI-TEC-SHEETSCalifornia King,King</v>
      </c>
      <c r="M407" s="1" t="s">
        <v>846</v>
      </c>
      <c r="N407" s="6">
        <v>249.99</v>
      </c>
      <c r="O407" s="6">
        <v>249.99</v>
      </c>
      <c r="P407" s="1" t="s">
        <v>663</v>
      </c>
      <c r="Q407" s="7"/>
      <c r="R407" s="1" t="s">
        <v>853</v>
      </c>
      <c r="S407" s="7"/>
      <c r="T407" s="1" t="s">
        <v>848</v>
      </c>
      <c r="U407" s="7"/>
      <c r="V407" s="7"/>
      <c r="W407" s="7"/>
      <c r="X407" s="7"/>
      <c r="Y407" s="7"/>
      <c r="Z407" s="7"/>
      <c r="AA407" s="8" t="str">
        <f>IFERROR(VLOOKUP(A407,Sheet3!B:H,6,false),VLOOKUP(J407,Sheet2!A:C,2,false))</f>
        <v>https://bedgear.com/cdn/shop/files/01-Grey-ProductShot-Stack_de9d1597-1c50-403a-a9af-2923ed02cd42.jpg</v>
      </c>
      <c r="AB407" s="8" t="str">
        <f>IFERROR(VLOOKUP(A407,Sheet3!B:H,7,false),VLOOKUP(J407,Sheet2!A:C,3,false))</f>
        <v>https://bedgear.com/products/dri-tec-sheet-set</v>
      </c>
      <c r="AC407" s="8" t="str">
        <f t="shared" si="2"/>
        <v>https://rtg-275.myshopify.com/products/DRI-TEC-SHEETS</v>
      </c>
      <c r="AD407" s="11" t="str">
        <f>vlookup(L407,'Python sheet'!$E$2:$F$373,2,0)</f>
        <v>#N/A</v>
      </c>
    </row>
    <row r="408">
      <c r="A408" s="4">
        <v>5.9912165E7</v>
      </c>
      <c r="B408" s="9">
        <v>1.0</v>
      </c>
      <c r="C408" s="9">
        <v>5.0</v>
      </c>
      <c r="D408" s="2" t="s">
        <v>835</v>
      </c>
      <c r="E408" s="2" t="s">
        <v>836</v>
      </c>
      <c r="F408" s="2" t="s">
        <v>837</v>
      </c>
      <c r="G408" s="9">
        <v>139.0</v>
      </c>
      <c r="H408" s="9">
        <v>4.06</v>
      </c>
      <c r="I408" s="9">
        <v>138.0</v>
      </c>
      <c r="J408" s="1" t="s">
        <v>838</v>
      </c>
      <c r="K408" s="1" t="s">
        <v>1035</v>
      </c>
      <c r="L408" s="1" t="str">
        <f t="shared" si="1"/>
        <v>DRI-TEC-SHEETSSplit California King,Split King</v>
      </c>
      <c r="M408" s="1" t="s">
        <v>849</v>
      </c>
      <c r="N408" s="6">
        <v>279.99</v>
      </c>
      <c r="O408" s="6">
        <v>279.99</v>
      </c>
      <c r="P408" s="1" t="s">
        <v>663</v>
      </c>
      <c r="Q408" s="7"/>
      <c r="R408" s="1" t="s">
        <v>853</v>
      </c>
      <c r="S408" s="7"/>
      <c r="T408" s="1" t="s">
        <v>851</v>
      </c>
      <c r="U408" s="7"/>
      <c r="V408" s="7"/>
      <c r="W408" s="7"/>
      <c r="X408" s="7"/>
      <c r="Y408" s="7"/>
      <c r="Z408" s="7"/>
      <c r="AA408" s="8" t="str">
        <f>IFERROR(VLOOKUP(A408,Sheet3!B:H,6,false),VLOOKUP(J408,Sheet2!A:C,2,false))</f>
        <v>https://bedgear.com/cdn/shop/files/01-Grey-ProductShot-Stack_de9d1597-1c50-403a-a9af-2923ed02cd42.jpg</v>
      </c>
      <c r="AB408" s="8" t="str">
        <f>IFERROR(VLOOKUP(A408,Sheet3!B:H,7,false),VLOOKUP(J408,Sheet2!A:C,3,false))</f>
        <v>https://bedgear.com/products/dri-tec-sheet-set</v>
      </c>
      <c r="AC408" s="8" t="str">
        <f t="shared" si="2"/>
        <v>https://rtg-275.myshopify.com/products/DRI-TEC-SHEETS</v>
      </c>
      <c r="AD408" s="11" t="str">
        <f>vlookup(L408,'Python sheet'!$E$2:$F$373,2,0)</f>
        <v>#N/A</v>
      </c>
    </row>
    <row r="409">
      <c r="A409" s="4">
        <v>5.9913028E7</v>
      </c>
      <c r="B409" s="9">
        <v>2.0</v>
      </c>
      <c r="C409" s="9">
        <v>4.0</v>
      </c>
      <c r="D409" s="2" t="s">
        <v>835</v>
      </c>
      <c r="E409" s="2" t="s">
        <v>836</v>
      </c>
      <c r="F409" s="2" t="s">
        <v>837</v>
      </c>
      <c r="G409" s="9">
        <v>139.0</v>
      </c>
      <c r="H409" s="9">
        <v>4.06</v>
      </c>
      <c r="I409" s="9">
        <v>137.0</v>
      </c>
      <c r="J409" s="1" t="s">
        <v>838</v>
      </c>
      <c r="K409" s="1" t="s">
        <v>1035</v>
      </c>
      <c r="L409" s="1" t="str">
        <f t="shared" si="1"/>
        <v>DRI-TEC-SHEETSFull</v>
      </c>
      <c r="M409" s="1" t="s">
        <v>839</v>
      </c>
      <c r="N409" s="6">
        <v>229.99</v>
      </c>
      <c r="O409" s="6">
        <v>229.99</v>
      </c>
      <c r="P409" s="1" t="s">
        <v>663</v>
      </c>
      <c r="Q409" s="7"/>
      <c r="R409" s="1" t="s">
        <v>854</v>
      </c>
      <c r="S409" s="7"/>
      <c r="T409" s="1" t="s">
        <v>373</v>
      </c>
      <c r="U409" s="7"/>
      <c r="V409" s="7"/>
      <c r="W409" s="7"/>
      <c r="X409" s="7"/>
      <c r="Y409" s="7"/>
      <c r="Z409" s="7"/>
      <c r="AA409" s="8" t="str">
        <f>IFERROR(VLOOKUP(A409,Sheet3!B:H,6,false),VLOOKUP(J409,Sheet2!A:C,2,false))</f>
        <v>https://bedgear.com/cdn/shop/files/01-Grey-ProductShot-Stack_de9d1597-1c50-403a-a9af-2923ed02cd42.jpg</v>
      </c>
      <c r="AB409" s="8" t="str">
        <f>IFERROR(VLOOKUP(A409,Sheet3!B:H,7,false),VLOOKUP(J409,Sheet2!A:C,3,false))</f>
        <v>https://bedgear.com/products/dri-tec-sheet-set</v>
      </c>
      <c r="AC409" s="8" t="str">
        <f t="shared" si="2"/>
        <v>https://rtg-275.myshopify.com/products/DRI-TEC-SHEETS</v>
      </c>
      <c r="AD409" s="11" t="str">
        <f>vlookup(L409,'Python sheet'!$E$2:$F$373,2,0)</f>
        <v>#N/A</v>
      </c>
    </row>
    <row r="410">
      <c r="A410" s="4">
        <v>5.991303E7</v>
      </c>
      <c r="B410" s="9">
        <v>19.0</v>
      </c>
      <c r="C410" s="9">
        <v>3.95</v>
      </c>
      <c r="D410" s="2" t="s">
        <v>835</v>
      </c>
      <c r="E410" s="2" t="s">
        <v>836</v>
      </c>
      <c r="F410" s="2" t="s">
        <v>837</v>
      </c>
      <c r="G410" s="9">
        <v>139.0</v>
      </c>
      <c r="H410" s="9">
        <v>4.06</v>
      </c>
      <c r="I410" s="9">
        <v>120.0</v>
      </c>
      <c r="J410" s="1" t="s">
        <v>838</v>
      </c>
      <c r="K410" s="1" t="s">
        <v>1035</v>
      </c>
      <c r="L410" s="1" t="str">
        <f t="shared" si="1"/>
        <v>DRI-TEC-SHEETSQueen</v>
      </c>
      <c r="M410" s="1" t="s">
        <v>841</v>
      </c>
      <c r="N410" s="6">
        <v>229.99</v>
      </c>
      <c r="O410" s="6">
        <v>229.99</v>
      </c>
      <c r="P410" s="1" t="s">
        <v>663</v>
      </c>
      <c r="Q410" s="7"/>
      <c r="R410" s="1" t="s">
        <v>855</v>
      </c>
      <c r="S410" s="7"/>
      <c r="T410" s="1" t="s">
        <v>470</v>
      </c>
      <c r="U410" s="7"/>
      <c r="V410" s="7"/>
      <c r="W410" s="7"/>
      <c r="X410" s="7"/>
      <c r="Y410" s="7"/>
      <c r="Z410" s="7"/>
      <c r="AA410" s="8" t="str">
        <f>IFERROR(VLOOKUP(A410,Sheet3!B:H,6,false),VLOOKUP(J410,Sheet2!A:C,2,false))</f>
        <v>https://bedgear.com/cdn/shop/files/01-Grey-ProductShot-Stack_de9d1597-1c50-403a-a9af-2923ed02cd42.jpg</v>
      </c>
      <c r="AB410" s="8" t="str">
        <f>IFERROR(VLOOKUP(A410,Sheet3!B:H,7,false),VLOOKUP(J410,Sheet2!A:C,3,false))</f>
        <v>https://bedgear.com/products/dri-tec-sheet-set</v>
      </c>
      <c r="AC410" s="8" t="str">
        <f t="shared" si="2"/>
        <v>https://rtg-275.myshopify.com/products/DRI-TEC-SHEETS</v>
      </c>
      <c r="AD410" s="11" t="str">
        <f>vlookup(L410,'Python sheet'!$E$2:$F$373,2,0)</f>
        <v>#N/A</v>
      </c>
    </row>
    <row r="411">
      <c r="A411" s="4">
        <v>5.991308E7</v>
      </c>
      <c r="B411" s="5"/>
      <c r="C411" s="5"/>
      <c r="D411" s="2" t="s">
        <v>856</v>
      </c>
      <c r="E411" s="2" t="s">
        <v>836</v>
      </c>
      <c r="F411" s="2" t="s">
        <v>857</v>
      </c>
      <c r="G411" s="9">
        <v>82.0</v>
      </c>
      <c r="H411" s="9">
        <v>4.3</v>
      </c>
      <c r="I411" s="5"/>
      <c r="J411" s="1" t="s">
        <v>858</v>
      </c>
      <c r="K411" s="1" t="s">
        <v>1036</v>
      </c>
      <c r="L411" s="1" t="str">
        <f t="shared" si="1"/>
        <v>BG-BASIC-SHEETSTwin</v>
      </c>
      <c r="M411" s="1" t="s">
        <v>859</v>
      </c>
      <c r="N411" s="6">
        <v>59.99</v>
      </c>
      <c r="O411" s="6">
        <v>59.99</v>
      </c>
      <c r="P411" s="1" t="s">
        <v>663</v>
      </c>
      <c r="Q411" s="7"/>
      <c r="R411" s="1" t="s">
        <v>860</v>
      </c>
      <c r="S411" s="7"/>
      <c r="T411" s="1" t="s">
        <v>242</v>
      </c>
      <c r="U411" s="7"/>
      <c r="V411" s="7"/>
      <c r="W411" s="7"/>
      <c r="X411" s="7"/>
      <c r="Y411" s="7"/>
      <c r="Z411" s="7"/>
      <c r="AA411" s="8" t="str">
        <f>IFERROR(VLOOKUP(A411,Sheet3!B:H,6,false),VLOOKUP(J411,Sheet2!A:C,2,false))</f>
        <v>https://bedgear.com/cdn/shop/files/Medium_Beige-01-ProductShot-Stack_e8704345-f3db-4f47-af72-515431ff0e9a.jpg</v>
      </c>
      <c r="AB411" s="8" t="str">
        <f>IFERROR(VLOOKUP(A411,Sheet3!B:H,7,false),VLOOKUP(J411,Sheet2!A:C,3,false))</f>
        <v>https://bedgear.com/products/basic-sheet-set</v>
      </c>
      <c r="AC411" s="8" t="str">
        <f t="shared" si="2"/>
        <v>https://rtg-275.myshopify.com/products/BG-BASIC-SHEETS</v>
      </c>
      <c r="AD411" s="11" t="str">
        <f>vlookup(L411,'Python sheet'!$E$2:$F$373,2,0)</f>
        <v>#N/A</v>
      </c>
    </row>
    <row r="412">
      <c r="A412" s="4">
        <v>5.9913092E7</v>
      </c>
      <c r="B412" s="9">
        <v>36.0</v>
      </c>
      <c r="C412" s="9">
        <v>4.42</v>
      </c>
      <c r="D412" s="2" t="s">
        <v>856</v>
      </c>
      <c r="E412" s="2" t="s">
        <v>836</v>
      </c>
      <c r="F412" s="2" t="s">
        <v>857</v>
      </c>
      <c r="G412" s="9">
        <v>82.0</v>
      </c>
      <c r="H412" s="9">
        <v>4.3</v>
      </c>
      <c r="I412" s="9">
        <v>46.0</v>
      </c>
      <c r="J412" s="1" t="s">
        <v>858</v>
      </c>
      <c r="K412" s="1" t="s">
        <v>1036</v>
      </c>
      <c r="L412" s="1" t="str">
        <f t="shared" si="1"/>
        <v>BG-BASIC-SHEETSTwin XL</v>
      </c>
      <c r="M412" s="1" t="s">
        <v>861</v>
      </c>
      <c r="N412" s="6">
        <v>64.99</v>
      </c>
      <c r="O412" s="6">
        <v>64.99</v>
      </c>
      <c r="P412" s="1" t="s">
        <v>663</v>
      </c>
      <c r="Q412" s="7"/>
      <c r="R412" s="1" t="s">
        <v>862</v>
      </c>
      <c r="S412" s="7"/>
      <c r="T412" s="1" t="s">
        <v>32</v>
      </c>
      <c r="U412" s="7"/>
      <c r="V412" s="7"/>
      <c r="W412" s="7"/>
      <c r="X412" s="7"/>
      <c r="Y412" s="7"/>
      <c r="Z412" s="7"/>
      <c r="AA412" s="8" t="str">
        <f>IFERROR(VLOOKUP(A412,Sheet3!B:H,6,false),VLOOKUP(J412,Sheet2!A:C,2,false))</f>
        <v>https://bedgear.com/cdn/shop/files/Medium_Beige-01-ProductShot-Stack_e8704345-f3db-4f47-af72-515431ff0e9a.jpg</v>
      </c>
      <c r="AB412" s="8" t="str">
        <f>IFERROR(VLOOKUP(A412,Sheet3!B:H,7,false),VLOOKUP(J412,Sheet2!A:C,3,false))</f>
        <v>https://bedgear.com/products/basic-sheet-set</v>
      </c>
      <c r="AC412" s="8" t="str">
        <f t="shared" si="2"/>
        <v>https://rtg-275.myshopify.com/products/BG-BASIC-SHEETS</v>
      </c>
      <c r="AD412" s="11" t="str">
        <f>vlookup(L412,'Python sheet'!$E$2:$F$373,2,0)</f>
        <v>#N/A</v>
      </c>
    </row>
    <row r="413">
      <c r="A413" s="4">
        <v>5.9913105E7</v>
      </c>
      <c r="B413" s="9">
        <v>3.0</v>
      </c>
      <c r="C413" s="9">
        <v>5.0</v>
      </c>
      <c r="D413" s="2" t="s">
        <v>835</v>
      </c>
      <c r="E413" s="2" t="s">
        <v>836</v>
      </c>
      <c r="F413" s="2" t="s">
        <v>837</v>
      </c>
      <c r="G413" s="9">
        <v>139.0</v>
      </c>
      <c r="H413" s="9">
        <v>4.06</v>
      </c>
      <c r="I413" s="9">
        <v>136.0</v>
      </c>
      <c r="J413" s="1" t="s">
        <v>838</v>
      </c>
      <c r="K413" s="1" t="s">
        <v>1035</v>
      </c>
      <c r="L413" s="1" t="str">
        <f t="shared" si="1"/>
        <v>DRI-TEC-SHEETSTwin,Twin XL</v>
      </c>
      <c r="M413" s="1" t="s">
        <v>863</v>
      </c>
      <c r="N413" s="6">
        <v>199.99</v>
      </c>
      <c r="O413" s="6">
        <v>199.99</v>
      </c>
      <c r="P413" s="1" t="s">
        <v>663</v>
      </c>
      <c r="Q413" s="7"/>
      <c r="R413" s="1" t="s">
        <v>864</v>
      </c>
      <c r="S413" s="7"/>
      <c r="T413" s="1" t="s">
        <v>845</v>
      </c>
      <c r="U413" s="7"/>
      <c r="V413" s="7"/>
      <c r="W413" s="7"/>
      <c r="X413" s="7"/>
      <c r="Y413" s="7"/>
      <c r="Z413" s="7"/>
      <c r="AA413" s="8" t="str">
        <f>IFERROR(VLOOKUP(A413,Sheet3!B:H,6,false),VLOOKUP(J413,Sheet2!A:C,2,false))</f>
        <v>https://bedgear.com/cdn/shop/files/01-Grey-ProductShot-Stack_de9d1597-1c50-403a-a9af-2923ed02cd42.jpg</v>
      </c>
      <c r="AB413" s="8" t="str">
        <f>IFERROR(VLOOKUP(A413,Sheet3!B:H,7,false),VLOOKUP(J413,Sheet2!A:C,3,false))</f>
        <v>https://bedgear.com/products/dri-tec-sheet-set</v>
      </c>
      <c r="AC413" s="8" t="str">
        <f t="shared" si="2"/>
        <v>https://rtg-275.myshopify.com/products/DRI-TEC-SHEETS</v>
      </c>
      <c r="AD413" s="11" t="str">
        <f>vlookup(L413,'Python sheet'!$E$2:$F$373,2,0)</f>
        <v>#N/A</v>
      </c>
    </row>
    <row r="414">
      <c r="A414" s="4">
        <v>5.9913117E7</v>
      </c>
      <c r="B414" s="9">
        <v>3.0</v>
      </c>
      <c r="C414" s="9">
        <v>2.67</v>
      </c>
      <c r="D414" s="2" t="s">
        <v>835</v>
      </c>
      <c r="E414" s="2" t="s">
        <v>836</v>
      </c>
      <c r="F414" s="2" t="s">
        <v>837</v>
      </c>
      <c r="G414" s="9">
        <v>139.0</v>
      </c>
      <c r="H414" s="9">
        <v>4.06</v>
      </c>
      <c r="I414" s="9">
        <v>136.0</v>
      </c>
      <c r="J414" s="1" t="s">
        <v>838</v>
      </c>
      <c r="K414" s="1" t="s">
        <v>1035</v>
      </c>
      <c r="L414" s="1" t="str">
        <f t="shared" si="1"/>
        <v>DRI-TEC-SHEETSCalifornia King,King</v>
      </c>
      <c r="M414" s="1" t="s">
        <v>865</v>
      </c>
      <c r="N414" s="6">
        <v>279.99</v>
      </c>
      <c r="O414" s="6">
        <v>279.99</v>
      </c>
      <c r="P414" s="1" t="s">
        <v>663</v>
      </c>
      <c r="Q414" s="7"/>
      <c r="R414" s="1" t="s">
        <v>866</v>
      </c>
      <c r="S414" s="7"/>
      <c r="T414" s="1" t="s">
        <v>848</v>
      </c>
      <c r="U414" s="7"/>
      <c r="V414" s="7"/>
      <c r="W414" s="7"/>
      <c r="X414" s="7"/>
      <c r="Y414" s="7"/>
      <c r="Z414" s="7"/>
      <c r="AA414" s="8" t="str">
        <f>IFERROR(VLOOKUP(A414,Sheet3!B:H,6,false),VLOOKUP(J414,Sheet2!A:C,2,false))</f>
        <v>https://bedgear.com/cdn/shop/files/01-Grey-ProductShot-Stack_de9d1597-1c50-403a-a9af-2923ed02cd42.jpg</v>
      </c>
      <c r="AB414" s="8" t="str">
        <f>IFERROR(VLOOKUP(A414,Sheet3!B:H,7,false),VLOOKUP(J414,Sheet2!A:C,3,false))</f>
        <v>https://bedgear.com/products/dri-tec-sheet-set</v>
      </c>
      <c r="AC414" s="8" t="str">
        <f t="shared" si="2"/>
        <v>https://rtg-275.myshopify.com/products/DRI-TEC-SHEETS</v>
      </c>
      <c r="AD414" s="11" t="str">
        <f>vlookup(L414,'Python sheet'!$E$2:$F$373,2,0)</f>
        <v>#N/A</v>
      </c>
    </row>
    <row r="415">
      <c r="A415" s="4">
        <v>5.9913129E7</v>
      </c>
      <c r="B415" s="9">
        <v>1.0</v>
      </c>
      <c r="C415" s="9">
        <v>5.0</v>
      </c>
      <c r="D415" s="2" t="s">
        <v>835</v>
      </c>
      <c r="E415" s="2" t="s">
        <v>836</v>
      </c>
      <c r="F415" s="2" t="s">
        <v>837</v>
      </c>
      <c r="G415" s="9">
        <v>139.0</v>
      </c>
      <c r="H415" s="9">
        <v>4.06</v>
      </c>
      <c r="I415" s="9">
        <v>138.0</v>
      </c>
      <c r="J415" s="1" t="s">
        <v>838</v>
      </c>
      <c r="K415" s="1" t="s">
        <v>1035</v>
      </c>
      <c r="L415" s="1" t="str">
        <f t="shared" si="1"/>
        <v>DRI-TEC-SHEETSSplit California King,Split King</v>
      </c>
      <c r="M415" s="1" t="s">
        <v>867</v>
      </c>
      <c r="N415" s="6">
        <v>279.99</v>
      </c>
      <c r="O415" s="6">
        <v>279.99</v>
      </c>
      <c r="P415" s="1" t="s">
        <v>663</v>
      </c>
      <c r="Q415" s="7"/>
      <c r="R415" s="1" t="s">
        <v>868</v>
      </c>
      <c r="S415" s="7"/>
      <c r="T415" s="1" t="s">
        <v>851</v>
      </c>
      <c r="U415" s="7"/>
      <c r="V415" s="7"/>
      <c r="W415" s="7"/>
      <c r="X415" s="7"/>
      <c r="Y415" s="7"/>
      <c r="Z415" s="7"/>
      <c r="AA415" s="8" t="str">
        <f>IFERROR(VLOOKUP(A415,Sheet3!B:H,6,false),VLOOKUP(J415,Sheet2!A:C,2,false))</f>
        <v>https://bedgear.com/cdn/shop/files/01-Grey-ProductShot-Stack_de9d1597-1c50-403a-a9af-2923ed02cd42.jpg</v>
      </c>
      <c r="AB415" s="8" t="str">
        <f>IFERROR(VLOOKUP(A415,Sheet3!B:H,7,false),VLOOKUP(J415,Sheet2!A:C,3,false))</f>
        <v>https://bedgear.com/products/dri-tec-sheet-set</v>
      </c>
      <c r="AC415" s="8" t="str">
        <f t="shared" si="2"/>
        <v>https://rtg-275.myshopify.com/products/DRI-TEC-SHEETS</v>
      </c>
      <c r="AD415" s="11" t="str">
        <f>vlookup(L415,'Python sheet'!$E$2:$F$373,2,0)</f>
        <v>#N/A</v>
      </c>
    </row>
    <row r="416">
      <c r="A416" s="4">
        <v>5.9913206E7</v>
      </c>
      <c r="B416" s="9">
        <v>74.0</v>
      </c>
      <c r="C416" s="9">
        <v>4.58</v>
      </c>
      <c r="D416" s="2" t="s">
        <v>869</v>
      </c>
      <c r="E416" s="2" t="s">
        <v>836</v>
      </c>
      <c r="F416" s="2" t="s">
        <v>870</v>
      </c>
      <c r="G416" s="9">
        <v>160.0</v>
      </c>
      <c r="H416" s="9">
        <v>4.51</v>
      </c>
      <c r="I416" s="9">
        <v>86.0</v>
      </c>
      <c r="J416" s="1" t="s">
        <v>871</v>
      </c>
      <c r="K416" s="1" t="s">
        <v>1037</v>
      </c>
      <c r="L416" s="1" t="str">
        <f t="shared" si="1"/>
        <v>HYPER-COTTON-SHEETSTwin</v>
      </c>
      <c r="M416" s="1" t="s">
        <v>872</v>
      </c>
      <c r="N416" s="6">
        <v>149.99</v>
      </c>
      <c r="O416" s="6">
        <v>149.99</v>
      </c>
      <c r="P416" s="1" t="s">
        <v>663</v>
      </c>
      <c r="Q416" s="7"/>
      <c r="R416" s="1" t="s">
        <v>873</v>
      </c>
      <c r="S416" s="7"/>
      <c r="T416" s="1" t="s">
        <v>242</v>
      </c>
      <c r="U416" s="7"/>
      <c r="V416" s="7"/>
      <c r="W416" s="7"/>
      <c r="X416" s="7"/>
      <c r="Y416" s="7"/>
      <c r="Z416" s="7"/>
      <c r="AA416" s="8" t="str">
        <f>IFERROR(VLOOKUP(A416,Sheet3!B:H,6,false),VLOOKUP(J416,Sheet2!A:C,2,false))</f>
        <v>https://bedgear.com/cdn/shop/files/01-Deep_Teal-ProductShot-Stack_f961bca3-7fcb-42f6-81f6-67472a9025f5.jpg</v>
      </c>
      <c r="AB416" s="8" t="str">
        <f>IFERROR(VLOOKUP(A416,Sheet3!B:H,7,false),VLOOKUP(J416,Sheet2!A:C,3,false))</f>
        <v>https://bedgear.com/products/hyper-cotton-sheet-set</v>
      </c>
      <c r="AC416" s="8" t="str">
        <f t="shared" si="2"/>
        <v>https://rtg-275.myshopify.com/products/HYPER-COTTON-SHEETS</v>
      </c>
      <c r="AD416" s="11" t="str">
        <f>vlookup(L416,'Python sheet'!$E$2:$F$373,2,0)</f>
        <v>#N/A</v>
      </c>
    </row>
    <row r="417">
      <c r="A417" s="4">
        <v>5.9913218E7</v>
      </c>
      <c r="B417" s="9">
        <v>2.0</v>
      </c>
      <c r="C417" s="9">
        <v>4.5</v>
      </c>
      <c r="D417" s="2" t="s">
        <v>869</v>
      </c>
      <c r="E417" s="2" t="s">
        <v>836</v>
      </c>
      <c r="F417" s="2" t="s">
        <v>870</v>
      </c>
      <c r="G417" s="9">
        <v>160.0</v>
      </c>
      <c r="H417" s="9">
        <v>4.51</v>
      </c>
      <c r="I417" s="9">
        <v>158.0</v>
      </c>
      <c r="J417" s="1" t="s">
        <v>871</v>
      </c>
      <c r="K417" s="1" t="s">
        <v>1037</v>
      </c>
      <c r="L417" s="1" t="str">
        <f t="shared" si="1"/>
        <v>HYPER-COTTON-SHEETSTwin XL</v>
      </c>
      <c r="M417" s="1" t="s">
        <v>874</v>
      </c>
      <c r="N417" s="6">
        <v>159.99</v>
      </c>
      <c r="O417" s="6">
        <v>159.99</v>
      </c>
      <c r="P417" s="1" t="s">
        <v>663</v>
      </c>
      <c r="Q417" s="7"/>
      <c r="R417" s="1" t="s">
        <v>873</v>
      </c>
      <c r="S417" s="7"/>
      <c r="T417" s="1" t="s">
        <v>32</v>
      </c>
      <c r="U417" s="7"/>
      <c r="V417" s="7"/>
      <c r="W417" s="7"/>
      <c r="X417" s="7"/>
      <c r="Y417" s="7"/>
      <c r="Z417" s="7"/>
      <c r="AA417" s="8" t="str">
        <f>IFERROR(VLOOKUP(A417,Sheet3!B:H,6,false),VLOOKUP(J417,Sheet2!A:C,2,false))</f>
        <v>https://bedgear.com/cdn/shop/files/01-Deep_Teal-ProductShot-Stack_f961bca3-7fcb-42f6-81f6-67472a9025f5.jpg</v>
      </c>
      <c r="AB417" s="8" t="str">
        <f>IFERROR(VLOOKUP(A417,Sheet3!B:H,7,false),VLOOKUP(J417,Sheet2!A:C,3,false))</f>
        <v>https://bedgear.com/products/hyper-cotton-sheet-set</v>
      </c>
      <c r="AC417" s="8" t="str">
        <f t="shared" si="2"/>
        <v>https://rtg-275.myshopify.com/products/HYPER-COTTON-SHEETS</v>
      </c>
      <c r="AD417" s="11" t="str">
        <f>vlookup(L417,'Python sheet'!$E$2:$F$373,2,0)</f>
        <v>#N/A</v>
      </c>
    </row>
    <row r="418">
      <c r="A418" s="4">
        <v>5.991322E7</v>
      </c>
      <c r="B418" s="9">
        <v>4.0</v>
      </c>
      <c r="C418" s="9">
        <v>4.5</v>
      </c>
      <c r="D418" s="2" t="s">
        <v>869</v>
      </c>
      <c r="E418" s="2" t="s">
        <v>836</v>
      </c>
      <c r="F418" s="2" t="s">
        <v>870</v>
      </c>
      <c r="G418" s="9">
        <v>160.0</v>
      </c>
      <c r="H418" s="9">
        <v>4.51</v>
      </c>
      <c r="I418" s="9">
        <v>156.0</v>
      </c>
      <c r="J418" s="1" t="s">
        <v>871</v>
      </c>
      <c r="K418" s="1" t="s">
        <v>1037</v>
      </c>
      <c r="L418" s="1" t="str">
        <f t="shared" si="1"/>
        <v>HYPER-COTTON-SHEETSFull</v>
      </c>
      <c r="M418" s="1" t="s">
        <v>875</v>
      </c>
      <c r="N418" s="6">
        <v>179.99</v>
      </c>
      <c r="O418" s="6">
        <v>179.99</v>
      </c>
      <c r="P418" s="1" t="s">
        <v>663</v>
      </c>
      <c r="Q418" s="7"/>
      <c r="R418" s="1" t="s">
        <v>873</v>
      </c>
      <c r="S418" s="7"/>
      <c r="T418" s="1" t="s">
        <v>373</v>
      </c>
      <c r="U418" s="7"/>
      <c r="V418" s="7"/>
      <c r="W418" s="7"/>
      <c r="X418" s="7"/>
      <c r="Y418" s="7"/>
      <c r="Z418" s="7"/>
      <c r="AA418" s="8" t="str">
        <f>IFERROR(VLOOKUP(A418,Sheet3!B:H,6,false),VLOOKUP(J418,Sheet2!A:C,2,false))</f>
        <v>https://bedgear.com/cdn/shop/files/01-Deep_Teal-ProductShot-Stack_f961bca3-7fcb-42f6-81f6-67472a9025f5.jpg</v>
      </c>
      <c r="AB418" s="8" t="str">
        <f>IFERROR(VLOOKUP(A418,Sheet3!B:H,7,false),VLOOKUP(J418,Sheet2!A:C,3,false))</f>
        <v>https://bedgear.com/products/hyper-cotton-sheet-set</v>
      </c>
      <c r="AC418" s="8" t="str">
        <f t="shared" si="2"/>
        <v>https://rtg-275.myshopify.com/products/HYPER-COTTON-SHEETS</v>
      </c>
      <c r="AD418" s="11" t="str">
        <f>vlookup(L418,'Python sheet'!$E$2:$F$373,2,0)</f>
        <v>#N/A</v>
      </c>
    </row>
    <row r="419">
      <c r="A419" s="4">
        <v>5.9913232E7</v>
      </c>
      <c r="B419" s="9">
        <v>10.0</v>
      </c>
      <c r="C419" s="9">
        <v>4.5</v>
      </c>
      <c r="D419" s="2" t="s">
        <v>869</v>
      </c>
      <c r="E419" s="2" t="s">
        <v>836</v>
      </c>
      <c r="F419" s="2" t="s">
        <v>870</v>
      </c>
      <c r="G419" s="9">
        <v>160.0</v>
      </c>
      <c r="H419" s="9">
        <v>4.51</v>
      </c>
      <c r="I419" s="9">
        <v>150.0</v>
      </c>
      <c r="J419" s="1" t="s">
        <v>871</v>
      </c>
      <c r="K419" s="1" t="s">
        <v>1037</v>
      </c>
      <c r="L419" s="1" t="str">
        <f t="shared" si="1"/>
        <v>HYPER-COTTON-SHEETSQueen</v>
      </c>
      <c r="M419" s="1" t="s">
        <v>876</v>
      </c>
      <c r="N419" s="6">
        <v>199.99</v>
      </c>
      <c r="O419" s="6">
        <v>199.99</v>
      </c>
      <c r="P419" s="1" t="s">
        <v>663</v>
      </c>
      <c r="Q419" s="7"/>
      <c r="R419" s="1" t="s">
        <v>873</v>
      </c>
      <c r="S419" s="7"/>
      <c r="T419" s="1" t="s">
        <v>470</v>
      </c>
      <c r="U419" s="7"/>
      <c r="V419" s="7"/>
      <c r="W419" s="7"/>
      <c r="X419" s="7"/>
      <c r="Y419" s="7"/>
      <c r="Z419" s="7"/>
      <c r="AA419" s="8" t="str">
        <f>IFERROR(VLOOKUP(A419,Sheet3!B:H,6,false),VLOOKUP(J419,Sheet2!A:C,2,false))</f>
        <v>https://bedgear.com/cdn/shop/files/01-Deep_Teal-ProductShot-Stack_f961bca3-7fcb-42f6-81f6-67472a9025f5.jpg</v>
      </c>
      <c r="AB419" s="8" t="str">
        <f>IFERROR(VLOOKUP(A419,Sheet3!B:H,7,false),VLOOKUP(J419,Sheet2!A:C,3,false))</f>
        <v>https://bedgear.com/products/hyper-cotton-sheet-set</v>
      </c>
      <c r="AC419" s="8" t="str">
        <f t="shared" si="2"/>
        <v>https://rtg-275.myshopify.com/products/HYPER-COTTON-SHEETS</v>
      </c>
      <c r="AD419" s="11" t="str">
        <f>vlookup(L419,'Python sheet'!$E$2:$F$373,2,0)</f>
        <v>#N/A</v>
      </c>
    </row>
    <row r="420">
      <c r="A420" s="4">
        <v>5.9913244E7</v>
      </c>
      <c r="B420" s="9">
        <v>3.0</v>
      </c>
      <c r="C420" s="9">
        <v>5.0</v>
      </c>
      <c r="D420" s="2" t="s">
        <v>869</v>
      </c>
      <c r="E420" s="2" t="s">
        <v>836</v>
      </c>
      <c r="F420" s="2" t="s">
        <v>870</v>
      </c>
      <c r="G420" s="9">
        <v>160.0</v>
      </c>
      <c r="H420" s="9">
        <v>4.51</v>
      </c>
      <c r="I420" s="9">
        <v>157.0</v>
      </c>
      <c r="J420" s="1" t="s">
        <v>871</v>
      </c>
      <c r="K420" s="1" t="s">
        <v>1037</v>
      </c>
      <c r="L420" s="1" t="str">
        <f t="shared" si="1"/>
        <v>HYPER-COTTON-SHEETSKing</v>
      </c>
      <c r="M420" s="1" t="s">
        <v>877</v>
      </c>
      <c r="N420" s="6">
        <v>229.99</v>
      </c>
      <c r="O420" s="6">
        <v>229.99</v>
      </c>
      <c r="P420" s="1" t="s">
        <v>663</v>
      </c>
      <c r="Q420" s="7"/>
      <c r="R420" s="1" t="s">
        <v>873</v>
      </c>
      <c r="S420" s="7"/>
      <c r="T420" s="1" t="s">
        <v>568</v>
      </c>
      <c r="U420" s="7"/>
      <c r="V420" s="7"/>
      <c r="W420" s="7"/>
      <c r="X420" s="7"/>
      <c r="Y420" s="7"/>
      <c r="Z420" s="7"/>
      <c r="AA420" s="8" t="str">
        <f>IFERROR(VLOOKUP(A420,Sheet3!B:H,6,false),VLOOKUP(J420,Sheet2!A:C,2,false))</f>
        <v>https://bedgear.com/cdn/shop/files/01-Deep_Teal-ProductShot-Stack_f961bca3-7fcb-42f6-81f6-67472a9025f5.jpg</v>
      </c>
      <c r="AB420" s="8" t="str">
        <f>IFERROR(VLOOKUP(A420,Sheet3!B:H,7,false),VLOOKUP(J420,Sheet2!A:C,3,false))</f>
        <v>https://bedgear.com/products/hyper-cotton-sheet-set</v>
      </c>
      <c r="AC420" s="8" t="str">
        <f t="shared" si="2"/>
        <v>https://rtg-275.myshopify.com/products/HYPER-COTTON-SHEETS</v>
      </c>
      <c r="AD420" s="11" t="str">
        <f>vlookup(L420,'Python sheet'!$E$2:$F$373,2,0)</f>
        <v>#N/A</v>
      </c>
    </row>
    <row r="421">
      <c r="A421" s="4">
        <v>5.9913256E7</v>
      </c>
      <c r="B421" s="5"/>
      <c r="C421" s="5"/>
      <c r="D421" s="5"/>
      <c r="E421" s="5"/>
      <c r="F421" s="5"/>
      <c r="G421" s="5"/>
      <c r="H421" s="5"/>
      <c r="I421" s="5"/>
      <c r="J421" s="1" t="s">
        <v>871</v>
      </c>
      <c r="K421" s="1" t="s">
        <v>1037</v>
      </c>
      <c r="L421" s="1" t="str">
        <f t="shared" si="1"/>
        <v>HYPER-COTTON-SHEETSCalifornia King</v>
      </c>
      <c r="M421" s="1" t="s">
        <v>878</v>
      </c>
      <c r="N421" s="6">
        <v>229.99</v>
      </c>
      <c r="O421" s="6">
        <v>229.99</v>
      </c>
      <c r="P421" s="1" t="s">
        <v>663</v>
      </c>
      <c r="Q421" s="7"/>
      <c r="R421" s="1" t="s">
        <v>873</v>
      </c>
      <c r="S421" s="7"/>
      <c r="T421" s="1" t="s">
        <v>670</v>
      </c>
      <c r="U421" s="7"/>
      <c r="V421" s="7"/>
      <c r="W421" s="7"/>
      <c r="X421" s="7"/>
      <c r="Y421" s="7"/>
      <c r="Z421" s="7"/>
      <c r="AA421" s="8" t="str">
        <f>IFERROR(VLOOKUP(A421,Sheet3!B:H,6,false),VLOOKUP(J421,Sheet2!A:C,2,false))</f>
        <v>https://bedgear.com/cdn/shop/files/01-Deep_Teal-ProductShot-Stack_f961bca3-7fcb-42f6-81f6-67472a9025f5.jpg</v>
      </c>
      <c r="AB421" s="8" t="str">
        <f>IFERROR(VLOOKUP(A421,Sheet3!B:H,7,false),VLOOKUP(J421,Sheet2!A:C,3,false))</f>
        <v>https://bedgear.com/products/hyper-cotton-sheet-set</v>
      </c>
      <c r="AC421" s="8" t="str">
        <f t="shared" si="2"/>
        <v>https://rtg-275.myshopify.com/products/HYPER-COTTON-SHEETS</v>
      </c>
      <c r="AD421" s="11" t="str">
        <f>vlookup(L421,'Python sheet'!$E$2:$F$373,2,0)</f>
        <v>#N/A</v>
      </c>
    </row>
    <row r="422">
      <c r="A422" s="4">
        <v>5.9913268E7</v>
      </c>
      <c r="B422" s="9">
        <v>6.0</v>
      </c>
      <c r="C422" s="9">
        <v>4.83</v>
      </c>
      <c r="D422" s="2" t="s">
        <v>869</v>
      </c>
      <c r="E422" s="2" t="s">
        <v>836</v>
      </c>
      <c r="F422" s="2" t="s">
        <v>870</v>
      </c>
      <c r="G422" s="9">
        <v>160.0</v>
      </c>
      <c r="H422" s="9">
        <v>4.51</v>
      </c>
      <c r="I422" s="9">
        <v>154.0</v>
      </c>
      <c r="J422" s="1" t="s">
        <v>871</v>
      </c>
      <c r="K422" s="1" t="s">
        <v>1037</v>
      </c>
      <c r="L422" s="1" t="str">
        <f t="shared" si="1"/>
        <v>HYPER-COTTON-SHEETSSplit King</v>
      </c>
      <c r="M422" s="1" t="s">
        <v>879</v>
      </c>
      <c r="N422" s="6">
        <v>249.99</v>
      </c>
      <c r="O422" s="6">
        <v>249.99</v>
      </c>
      <c r="P422" s="1" t="s">
        <v>663</v>
      </c>
      <c r="Q422" s="7"/>
      <c r="R422" s="1" t="s">
        <v>873</v>
      </c>
      <c r="S422" s="7"/>
      <c r="T422" s="1" t="s">
        <v>692</v>
      </c>
      <c r="U422" s="7"/>
      <c r="V422" s="7"/>
      <c r="W422" s="7"/>
      <c r="X422" s="7"/>
      <c r="Y422" s="7"/>
      <c r="Z422" s="7"/>
      <c r="AA422" s="8" t="str">
        <f>IFERROR(VLOOKUP(A422,Sheet3!B:H,6,false),VLOOKUP(J422,Sheet2!A:C,2,false))</f>
        <v>https://bedgear.com/cdn/shop/files/01-Deep_Teal-ProductShot-Stack_f961bca3-7fcb-42f6-81f6-67472a9025f5.jpg</v>
      </c>
      <c r="AB422" s="8" t="str">
        <f>IFERROR(VLOOKUP(A422,Sheet3!B:H,7,false),VLOOKUP(J422,Sheet2!A:C,3,false))</f>
        <v>https://bedgear.com/products/hyper-cotton-sheet-set</v>
      </c>
      <c r="AC422" s="8" t="str">
        <f t="shared" si="2"/>
        <v>https://rtg-275.myshopify.com/products/HYPER-COTTON-SHEETS</v>
      </c>
      <c r="AD422" s="11" t="str">
        <f>vlookup(L422,'Python sheet'!$E$2:$F$373,2,0)</f>
        <v>#N/A</v>
      </c>
    </row>
    <row r="423">
      <c r="A423" s="4">
        <v>5.991327E7</v>
      </c>
      <c r="B423" s="5"/>
      <c r="C423" s="5"/>
      <c r="D423" s="5"/>
      <c r="E423" s="5"/>
      <c r="F423" s="5"/>
      <c r="G423" s="5"/>
      <c r="H423" s="5"/>
      <c r="I423" s="5"/>
      <c r="J423" s="1" t="s">
        <v>871</v>
      </c>
      <c r="K423" s="1" t="s">
        <v>1037</v>
      </c>
      <c r="L423" s="1" t="str">
        <f t="shared" si="1"/>
        <v>HYPER-COTTON-SHEETSSplit California King</v>
      </c>
      <c r="M423" s="1" t="s">
        <v>880</v>
      </c>
      <c r="N423" s="6">
        <v>249.99</v>
      </c>
      <c r="O423" s="6">
        <v>249.99</v>
      </c>
      <c r="P423" s="1" t="s">
        <v>663</v>
      </c>
      <c r="Q423" s="7"/>
      <c r="R423" s="1" t="s">
        <v>873</v>
      </c>
      <c r="S423" s="7"/>
      <c r="T423" s="1" t="s">
        <v>710</v>
      </c>
      <c r="U423" s="7"/>
      <c r="V423" s="7"/>
      <c r="W423" s="7"/>
      <c r="X423" s="7"/>
      <c r="Y423" s="7"/>
      <c r="Z423" s="7"/>
      <c r="AA423" s="8" t="str">
        <f>IFERROR(VLOOKUP(A423,Sheet3!B:H,6,false),VLOOKUP(J423,Sheet2!A:C,2,false))</f>
        <v>https://bedgear.com/cdn/shop/files/01-Deep_Teal-ProductShot-Stack_f961bca3-7fcb-42f6-81f6-67472a9025f5.jpg</v>
      </c>
      <c r="AB423" s="8" t="str">
        <f>IFERROR(VLOOKUP(A423,Sheet3!B:H,7,false),VLOOKUP(J423,Sheet2!A:C,3,false))</f>
        <v>https://bedgear.com/products/hyper-cotton-sheet-set</v>
      </c>
      <c r="AC423" s="8" t="str">
        <f t="shared" si="2"/>
        <v>https://rtg-275.myshopify.com/products/HYPER-COTTON-SHEETS</v>
      </c>
      <c r="AD423" s="11" t="str">
        <f>vlookup(L423,'Python sheet'!$E$2:$F$373,2,0)</f>
        <v>#N/A</v>
      </c>
    </row>
    <row r="424">
      <c r="A424" s="4">
        <v>5.9913307E7</v>
      </c>
      <c r="B424" s="5"/>
      <c r="C424" s="5"/>
      <c r="D424" s="5"/>
      <c r="E424" s="5"/>
      <c r="F424" s="5"/>
      <c r="G424" s="5"/>
      <c r="H424" s="5"/>
      <c r="I424" s="5"/>
      <c r="J424" s="1" t="s">
        <v>871</v>
      </c>
      <c r="K424" s="1" t="s">
        <v>1037</v>
      </c>
      <c r="L424" s="1" t="str">
        <f t="shared" si="1"/>
        <v>HYPER-COTTON-SHEETSTwin</v>
      </c>
      <c r="M424" s="1" t="s">
        <v>872</v>
      </c>
      <c r="N424" s="6">
        <v>149.99</v>
      </c>
      <c r="O424" s="6">
        <v>149.99</v>
      </c>
      <c r="P424" s="1" t="s">
        <v>663</v>
      </c>
      <c r="Q424" s="7"/>
      <c r="R424" s="1" t="s">
        <v>881</v>
      </c>
      <c r="S424" s="7"/>
      <c r="T424" s="1" t="s">
        <v>242</v>
      </c>
      <c r="U424" s="7"/>
      <c r="V424" s="7"/>
      <c r="W424" s="7"/>
      <c r="X424" s="7"/>
      <c r="Y424" s="7"/>
      <c r="Z424" s="7"/>
      <c r="AA424" s="8" t="str">
        <f>IFERROR(VLOOKUP(A424,Sheet3!B:H,6,false),VLOOKUP(J424,Sheet2!A:C,2,false))</f>
        <v>https://bedgear.com/cdn/shop/files/01-Deep_Teal-ProductShot-Stack_f961bca3-7fcb-42f6-81f6-67472a9025f5.jpg</v>
      </c>
      <c r="AB424" s="8" t="str">
        <f>IFERROR(VLOOKUP(A424,Sheet3!B:H,7,false),VLOOKUP(J424,Sheet2!A:C,3,false))</f>
        <v>https://bedgear.com/products/hyper-cotton-sheet-set</v>
      </c>
      <c r="AC424" s="8" t="str">
        <f t="shared" si="2"/>
        <v>https://rtg-275.myshopify.com/products/HYPER-COTTON-SHEETS</v>
      </c>
      <c r="AD424" s="11" t="str">
        <f>vlookup(L424,'Python sheet'!$E$2:$F$373,2,0)</f>
        <v>#N/A</v>
      </c>
    </row>
    <row r="425">
      <c r="A425" s="4">
        <v>5.9913319E7</v>
      </c>
      <c r="B425" s="5"/>
      <c r="C425" s="5"/>
      <c r="D425" s="5"/>
      <c r="E425" s="5"/>
      <c r="F425" s="5"/>
      <c r="G425" s="5"/>
      <c r="H425" s="5"/>
      <c r="I425" s="5"/>
      <c r="J425" s="1" t="s">
        <v>871</v>
      </c>
      <c r="K425" s="1" t="s">
        <v>1037</v>
      </c>
      <c r="L425" s="1" t="str">
        <f t="shared" si="1"/>
        <v>HYPER-COTTON-SHEETSTwin XL</v>
      </c>
      <c r="M425" s="1" t="s">
        <v>874</v>
      </c>
      <c r="N425" s="6">
        <v>159.99</v>
      </c>
      <c r="O425" s="6">
        <v>159.99</v>
      </c>
      <c r="P425" s="1" t="s">
        <v>663</v>
      </c>
      <c r="Q425" s="7"/>
      <c r="R425" s="1" t="s">
        <v>881</v>
      </c>
      <c r="S425" s="7"/>
      <c r="T425" s="1" t="s">
        <v>32</v>
      </c>
      <c r="U425" s="7"/>
      <c r="V425" s="7"/>
      <c r="W425" s="7"/>
      <c r="X425" s="7"/>
      <c r="Y425" s="7"/>
      <c r="Z425" s="7"/>
      <c r="AA425" s="8" t="str">
        <f>IFERROR(VLOOKUP(A425,Sheet3!B:H,6,false),VLOOKUP(J425,Sheet2!A:C,2,false))</f>
        <v>https://bedgear.com/cdn/shop/files/01-Deep_Teal-ProductShot-Stack_f961bca3-7fcb-42f6-81f6-67472a9025f5.jpg</v>
      </c>
      <c r="AB425" s="8" t="str">
        <f>IFERROR(VLOOKUP(A425,Sheet3!B:H,7,false),VLOOKUP(J425,Sheet2!A:C,3,false))</f>
        <v>https://bedgear.com/products/hyper-cotton-sheet-set</v>
      </c>
      <c r="AC425" s="8" t="str">
        <f t="shared" si="2"/>
        <v>https://rtg-275.myshopify.com/products/HYPER-COTTON-SHEETS</v>
      </c>
      <c r="AD425" s="11" t="str">
        <f>vlookup(L425,'Python sheet'!$E$2:$F$373,2,0)</f>
        <v>#N/A</v>
      </c>
    </row>
    <row r="426">
      <c r="A426" s="4">
        <v>5.9913321E7</v>
      </c>
      <c r="B426" s="9">
        <v>1.0</v>
      </c>
      <c r="C426" s="9">
        <v>5.0</v>
      </c>
      <c r="D426" s="2" t="s">
        <v>869</v>
      </c>
      <c r="E426" s="2" t="s">
        <v>836</v>
      </c>
      <c r="F426" s="2" t="s">
        <v>870</v>
      </c>
      <c r="G426" s="9">
        <v>160.0</v>
      </c>
      <c r="H426" s="9">
        <v>4.51</v>
      </c>
      <c r="I426" s="9">
        <v>159.0</v>
      </c>
      <c r="J426" s="1" t="s">
        <v>871</v>
      </c>
      <c r="K426" s="1" t="s">
        <v>1037</v>
      </c>
      <c r="L426" s="1" t="str">
        <f t="shared" si="1"/>
        <v>HYPER-COTTON-SHEETSFull</v>
      </c>
      <c r="M426" s="1" t="s">
        <v>875</v>
      </c>
      <c r="N426" s="6">
        <v>179.99</v>
      </c>
      <c r="O426" s="6">
        <v>179.99</v>
      </c>
      <c r="P426" s="1" t="s">
        <v>663</v>
      </c>
      <c r="Q426" s="7"/>
      <c r="R426" s="1" t="s">
        <v>881</v>
      </c>
      <c r="S426" s="7"/>
      <c r="T426" s="1" t="s">
        <v>373</v>
      </c>
      <c r="U426" s="7"/>
      <c r="V426" s="7"/>
      <c r="W426" s="7"/>
      <c r="X426" s="7"/>
      <c r="Y426" s="7"/>
      <c r="Z426" s="7"/>
      <c r="AA426" s="8" t="str">
        <f>IFERROR(VLOOKUP(A426,Sheet3!B:H,6,false),VLOOKUP(J426,Sheet2!A:C,2,false))</f>
        <v>https://bedgear.com/cdn/shop/files/01-Deep_Teal-ProductShot-Stack_f961bca3-7fcb-42f6-81f6-67472a9025f5.jpg</v>
      </c>
      <c r="AB426" s="8" t="str">
        <f>IFERROR(VLOOKUP(A426,Sheet3!B:H,7,false),VLOOKUP(J426,Sheet2!A:C,3,false))</f>
        <v>https://bedgear.com/products/hyper-cotton-sheet-set</v>
      </c>
      <c r="AC426" s="8" t="str">
        <f t="shared" si="2"/>
        <v>https://rtg-275.myshopify.com/products/HYPER-COTTON-SHEETS</v>
      </c>
      <c r="AD426" s="11" t="str">
        <f>vlookup(L426,'Python sheet'!$E$2:$F$373,2,0)</f>
        <v>#N/A</v>
      </c>
    </row>
    <row r="427">
      <c r="A427" s="4">
        <v>5.9913333E7</v>
      </c>
      <c r="B427" s="9">
        <v>16.0</v>
      </c>
      <c r="C427" s="9">
        <v>4.38</v>
      </c>
      <c r="D427" s="2" t="s">
        <v>869</v>
      </c>
      <c r="E427" s="2" t="s">
        <v>836</v>
      </c>
      <c r="F427" s="2" t="s">
        <v>870</v>
      </c>
      <c r="G427" s="9">
        <v>160.0</v>
      </c>
      <c r="H427" s="9">
        <v>4.51</v>
      </c>
      <c r="I427" s="9">
        <v>144.0</v>
      </c>
      <c r="J427" s="1" t="s">
        <v>871</v>
      </c>
      <c r="K427" s="1" t="s">
        <v>1037</v>
      </c>
      <c r="L427" s="1" t="str">
        <f t="shared" si="1"/>
        <v>HYPER-COTTON-SHEETSQueen</v>
      </c>
      <c r="M427" s="1" t="s">
        <v>876</v>
      </c>
      <c r="N427" s="6">
        <v>199.99</v>
      </c>
      <c r="O427" s="6">
        <v>199.99</v>
      </c>
      <c r="P427" s="1" t="s">
        <v>663</v>
      </c>
      <c r="Q427" s="7"/>
      <c r="R427" s="1" t="s">
        <v>881</v>
      </c>
      <c r="S427" s="7"/>
      <c r="T427" s="1" t="s">
        <v>470</v>
      </c>
      <c r="U427" s="7"/>
      <c r="V427" s="7"/>
      <c r="W427" s="7"/>
      <c r="X427" s="7"/>
      <c r="Y427" s="7"/>
      <c r="Z427" s="7"/>
      <c r="AA427" s="8" t="str">
        <f>IFERROR(VLOOKUP(A427,Sheet3!B:H,6,false),VLOOKUP(J427,Sheet2!A:C,2,false))</f>
        <v>https://bedgear.com/cdn/shop/files/01-Deep_Teal-ProductShot-Stack_f961bca3-7fcb-42f6-81f6-67472a9025f5.jpg</v>
      </c>
      <c r="AB427" s="8" t="str">
        <f>IFERROR(VLOOKUP(A427,Sheet3!B:H,7,false),VLOOKUP(J427,Sheet2!A:C,3,false))</f>
        <v>https://bedgear.com/products/hyper-cotton-sheet-set</v>
      </c>
      <c r="AC427" s="8" t="str">
        <f t="shared" si="2"/>
        <v>https://rtg-275.myshopify.com/products/HYPER-COTTON-SHEETS</v>
      </c>
      <c r="AD427" s="11" t="str">
        <f>vlookup(L427,'Python sheet'!$E$2:$F$373,2,0)</f>
        <v>#N/A</v>
      </c>
    </row>
    <row r="428">
      <c r="A428" s="4">
        <v>5.9913345E7</v>
      </c>
      <c r="B428" s="9">
        <v>8.0</v>
      </c>
      <c r="C428" s="9">
        <v>4.88</v>
      </c>
      <c r="D428" s="2" t="s">
        <v>869</v>
      </c>
      <c r="E428" s="2" t="s">
        <v>836</v>
      </c>
      <c r="F428" s="2" t="s">
        <v>870</v>
      </c>
      <c r="G428" s="9">
        <v>160.0</v>
      </c>
      <c r="H428" s="9">
        <v>4.51</v>
      </c>
      <c r="I428" s="9">
        <v>152.0</v>
      </c>
      <c r="J428" s="1" t="s">
        <v>871</v>
      </c>
      <c r="K428" s="1" t="s">
        <v>1037</v>
      </c>
      <c r="L428" s="1" t="str">
        <f t="shared" si="1"/>
        <v>HYPER-COTTON-SHEETSKing</v>
      </c>
      <c r="M428" s="1" t="s">
        <v>877</v>
      </c>
      <c r="N428" s="6">
        <v>229.99</v>
      </c>
      <c r="O428" s="6">
        <v>229.99</v>
      </c>
      <c r="P428" s="1" t="s">
        <v>663</v>
      </c>
      <c r="Q428" s="7"/>
      <c r="R428" s="1" t="s">
        <v>881</v>
      </c>
      <c r="S428" s="7"/>
      <c r="T428" s="1" t="s">
        <v>568</v>
      </c>
      <c r="U428" s="7"/>
      <c r="V428" s="7"/>
      <c r="W428" s="7"/>
      <c r="X428" s="7"/>
      <c r="Y428" s="7"/>
      <c r="Z428" s="7"/>
      <c r="AA428" s="8" t="str">
        <f>IFERROR(VLOOKUP(A428,Sheet3!B:H,6,false),VLOOKUP(J428,Sheet2!A:C,2,false))</f>
        <v>https://bedgear.com/cdn/shop/files/01-Deep_Teal-ProductShot-Stack_f961bca3-7fcb-42f6-81f6-67472a9025f5.jpg</v>
      </c>
      <c r="AB428" s="8" t="str">
        <f>IFERROR(VLOOKUP(A428,Sheet3!B:H,7,false),VLOOKUP(J428,Sheet2!A:C,3,false))</f>
        <v>https://bedgear.com/products/hyper-cotton-sheet-set</v>
      </c>
      <c r="AC428" s="8" t="str">
        <f t="shared" si="2"/>
        <v>https://rtg-275.myshopify.com/products/HYPER-COTTON-SHEETS</v>
      </c>
      <c r="AD428" s="11" t="str">
        <f>vlookup(L428,'Python sheet'!$E$2:$F$373,2,0)</f>
        <v>#N/A</v>
      </c>
    </row>
    <row r="429">
      <c r="A429" s="4">
        <v>5.9913357E7</v>
      </c>
      <c r="B429" s="5"/>
      <c r="C429" s="5"/>
      <c r="D429" s="5"/>
      <c r="E429" s="5"/>
      <c r="F429" s="5"/>
      <c r="G429" s="5"/>
      <c r="H429" s="5"/>
      <c r="I429" s="5"/>
      <c r="J429" s="1" t="s">
        <v>871</v>
      </c>
      <c r="K429" s="1" t="s">
        <v>1037</v>
      </c>
      <c r="L429" s="1" t="str">
        <f t="shared" si="1"/>
        <v>HYPER-COTTON-SHEETSCalifornia King</v>
      </c>
      <c r="M429" s="1" t="s">
        <v>878</v>
      </c>
      <c r="N429" s="6">
        <v>229.99</v>
      </c>
      <c r="O429" s="6">
        <v>229.99</v>
      </c>
      <c r="P429" s="1" t="s">
        <v>663</v>
      </c>
      <c r="Q429" s="7"/>
      <c r="R429" s="1" t="s">
        <v>881</v>
      </c>
      <c r="S429" s="7"/>
      <c r="T429" s="1" t="s">
        <v>670</v>
      </c>
      <c r="U429" s="7"/>
      <c r="V429" s="7"/>
      <c r="W429" s="7"/>
      <c r="X429" s="7"/>
      <c r="Y429" s="7"/>
      <c r="Z429" s="7"/>
      <c r="AA429" s="8" t="str">
        <f>IFERROR(VLOOKUP(A429,Sheet3!B:H,6,false),VLOOKUP(J429,Sheet2!A:C,2,false))</f>
        <v>https://bedgear.com/cdn/shop/files/01-Deep_Teal-ProductShot-Stack_f961bca3-7fcb-42f6-81f6-67472a9025f5.jpg</v>
      </c>
      <c r="AB429" s="8" t="str">
        <f>IFERROR(VLOOKUP(A429,Sheet3!B:H,7,false),VLOOKUP(J429,Sheet2!A:C,3,false))</f>
        <v>https://bedgear.com/products/hyper-cotton-sheet-set</v>
      </c>
      <c r="AC429" s="8" t="str">
        <f t="shared" si="2"/>
        <v>https://rtg-275.myshopify.com/products/HYPER-COTTON-SHEETS</v>
      </c>
      <c r="AD429" s="11" t="str">
        <f>vlookup(L429,'Python sheet'!$E$2:$F$373,2,0)</f>
        <v>#N/A</v>
      </c>
    </row>
    <row r="430">
      <c r="A430" s="4">
        <v>5.9913369E7</v>
      </c>
      <c r="B430" s="9">
        <v>3.0</v>
      </c>
      <c r="C430" s="9">
        <v>4.0</v>
      </c>
      <c r="D430" s="2" t="s">
        <v>869</v>
      </c>
      <c r="E430" s="2" t="s">
        <v>836</v>
      </c>
      <c r="F430" s="2" t="s">
        <v>870</v>
      </c>
      <c r="G430" s="9">
        <v>160.0</v>
      </c>
      <c r="H430" s="9">
        <v>4.51</v>
      </c>
      <c r="I430" s="9">
        <v>157.0</v>
      </c>
      <c r="J430" s="1" t="s">
        <v>871</v>
      </c>
      <c r="K430" s="1" t="s">
        <v>1037</v>
      </c>
      <c r="L430" s="1" t="str">
        <f t="shared" si="1"/>
        <v>HYPER-COTTON-SHEETSSplit King</v>
      </c>
      <c r="M430" s="1" t="s">
        <v>879</v>
      </c>
      <c r="N430" s="6">
        <v>249.99</v>
      </c>
      <c r="O430" s="6">
        <v>249.99</v>
      </c>
      <c r="P430" s="1" t="s">
        <v>663</v>
      </c>
      <c r="Q430" s="7"/>
      <c r="R430" s="1" t="s">
        <v>881</v>
      </c>
      <c r="S430" s="7"/>
      <c r="T430" s="1" t="s">
        <v>692</v>
      </c>
      <c r="U430" s="7"/>
      <c r="V430" s="7"/>
      <c r="W430" s="7"/>
      <c r="X430" s="7"/>
      <c r="Y430" s="7"/>
      <c r="Z430" s="7"/>
      <c r="AA430" s="8" t="str">
        <f>IFERROR(VLOOKUP(A430,Sheet3!B:H,6,false),VLOOKUP(J430,Sheet2!A:C,2,false))</f>
        <v>https://bedgear.com/cdn/shop/files/01-Deep_Teal-ProductShot-Stack_f961bca3-7fcb-42f6-81f6-67472a9025f5.jpg</v>
      </c>
      <c r="AB430" s="8" t="str">
        <f>IFERROR(VLOOKUP(A430,Sheet3!B:H,7,false),VLOOKUP(J430,Sheet2!A:C,3,false))</f>
        <v>https://bedgear.com/products/hyper-cotton-sheet-set</v>
      </c>
      <c r="AC430" s="8" t="str">
        <f t="shared" si="2"/>
        <v>https://rtg-275.myshopify.com/products/HYPER-COTTON-SHEETS</v>
      </c>
      <c r="AD430" s="11" t="str">
        <f>vlookup(L430,'Python sheet'!$E$2:$F$373,2,0)</f>
        <v>#N/A</v>
      </c>
    </row>
    <row r="431">
      <c r="A431" s="4">
        <v>5.9913371E7</v>
      </c>
      <c r="B431" s="5"/>
      <c r="C431" s="5"/>
      <c r="D431" s="5"/>
      <c r="E431" s="5"/>
      <c r="F431" s="5"/>
      <c r="G431" s="5"/>
      <c r="H431" s="5"/>
      <c r="I431" s="5"/>
      <c r="J431" s="1" t="s">
        <v>871</v>
      </c>
      <c r="K431" s="1" t="s">
        <v>1037</v>
      </c>
      <c r="L431" s="1" t="str">
        <f t="shared" si="1"/>
        <v>HYPER-COTTON-SHEETSSplit California King</v>
      </c>
      <c r="M431" s="1" t="s">
        <v>880</v>
      </c>
      <c r="N431" s="6">
        <v>249.99</v>
      </c>
      <c r="O431" s="6">
        <v>249.99</v>
      </c>
      <c r="P431" s="1" t="s">
        <v>663</v>
      </c>
      <c r="Q431" s="7"/>
      <c r="R431" s="1" t="s">
        <v>881</v>
      </c>
      <c r="S431" s="7"/>
      <c r="T431" s="1" t="s">
        <v>710</v>
      </c>
      <c r="U431" s="7"/>
      <c r="V431" s="7"/>
      <c r="W431" s="7"/>
      <c r="X431" s="7"/>
      <c r="Y431" s="7"/>
      <c r="Z431" s="7"/>
      <c r="AA431" s="8" t="str">
        <f>IFERROR(VLOOKUP(A431,Sheet3!B:H,6,false),VLOOKUP(J431,Sheet2!A:C,2,false))</f>
        <v>https://bedgear.com/cdn/shop/files/01-Deep_Teal-ProductShot-Stack_f961bca3-7fcb-42f6-81f6-67472a9025f5.jpg</v>
      </c>
      <c r="AB431" s="8" t="str">
        <f>IFERROR(VLOOKUP(A431,Sheet3!B:H,7,false),VLOOKUP(J431,Sheet2!A:C,3,false))</f>
        <v>https://bedgear.com/products/hyper-cotton-sheet-set</v>
      </c>
      <c r="AC431" s="8" t="str">
        <f t="shared" si="2"/>
        <v>https://rtg-275.myshopify.com/products/HYPER-COTTON-SHEETS</v>
      </c>
      <c r="AD431" s="11" t="str">
        <f>vlookup(L431,'Python sheet'!$E$2:$F$373,2,0)</f>
        <v>#N/A</v>
      </c>
    </row>
    <row r="432">
      <c r="A432" s="4">
        <v>5.9913408E7</v>
      </c>
      <c r="B432" s="5"/>
      <c r="C432" s="5"/>
      <c r="D432" s="5"/>
      <c r="E432" s="5"/>
      <c r="F432" s="5"/>
      <c r="G432" s="5"/>
      <c r="H432" s="5"/>
      <c r="I432" s="5"/>
      <c r="J432" s="1" t="s">
        <v>871</v>
      </c>
      <c r="K432" s="1" t="s">
        <v>1037</v>
      </c>
      <c r="L432" s="1" t="str">
        <f t="shared" si="1"/>
        <v>HYPER-COTTON-SHEETSTwin</v>
      </c>
      <c r="M432" s="1" t="s">
        <v>872</v>
      </c>
      <c r="N432" s="6">
        <v>149.99</v>
      </c>
      <c r="O432" s="6">
        <v>149.99</v>
      </c>
      <c r="P432" s="1" t="s">
        <v>663</v>
      </c>
      <c r="Q432" s="7"/>
      <c r="R432" s="1" t="s">
        <v>881</v>
      </c>
      <c r="S432" s="7"/>
      <c r="T432" s="1" t="s">
        <v>242</v>
      </c>
      <c r="U432" s="7"/>
      <c r="V432" s="7"/>
      <c r="W432" s="7"/>
      <c r="X432" s="7"/>
      <c r="Y432" s="7"/>
      <c r="Z432" s="7"/>
      <c r="AA432" s="8" t="str">
        <f>IFERROR(VLOOKUP(A432,Sheet3!B:H,6,false),VLOOKUP(J432,Sheet2!A:C,2,false))</f>
        <v>https://bedgear.com/cdn/shop/files/01-Deep_Teal-ProductShot-Stack_f961bca3-7fcb-42f6-81f6-67472a9025f5.jpg</v>
      </c>
      <c r="AB432" s="8" t="str">
        <f>IFERROR(VLOOKUP(A432,Sheet3!B:H,7,false),VLOOKUP(J432,Sheet2!A:C,3,false))</f>
        <v>https://bedgear.com/products/hyper-cotton-sheet-set</v>
      </c>
      <c r="AC432" s="8" t="str">
        <f t="shared" si="2"/>
        <v>https://rtg-275.myshopify.com/products/HYPER-COTTON-SHEETS</v>
      </c>
      <c r="AD432" s="11" t="str">
        <f>vlookup(L432,'Python sheet'!$E$2:$F$373,2,0)</f>
        <v>#N/A</v>
      </c>
    </row>
    <row r="433">
      <c r="A433" s="4">
        <v>5.991341E7</v>
      </c>
      <c r="B433" s="9">
        <v>1.0</v>
      </c>
      <c r="C433" s="9">
        <v>1.0</v>
      </c>
      <c r="D433" s="2" t="s">
        <v>869</v>
      </c>
      <c r="E433" s="2" t="s">
        <v>836</v>
      </c>
      <c r="F433" s="2" t="s">
        <v>870</v>
      </c>
      <c r="G433" s="9">
        <v>160.0</v>
      </c>
      <c r="H433" s="9">
        <v>4.51</v>
      </c>
      <c r="I433" s="9">
        <v>159.0</v>
      </c>
      <c r="J433" s="1" t="s">
        <v>871</v>
      </c>
      <c r="K433" s="1" t="s">
        <v>1037</v>
      </c>
      <c r="L433" s="1" t="str">
        <f t="shared" si="1"/>
        <v>HYPER-COTTON-SHEETSTwin XL</v>
      </c>
      <c r="M433" s="1" t="s">
        <v>874</v>
      </c>
      <c r="N433" s="6">
        <v>159.99</v>
      </c>
      <c r="O433" s="6">
        <v>159.99</v>
      </c>
      <c r="P433" s="1" t="s">
        <v>663</v>
      </c>
      <c r="Q433" s="7"/>
      <c r="R433" s="1" t="s">
        <v>873</v>
      </c>
      <c r="S433" s="7"/>
      <c r="T433" s="1" t="s">
        <v>32</v>
      </c>
      <c r="U433" s="7"/>
      <c r="V433" s="7"/>
      <c r="W433" s="7"/>
      <c r="X433" s="7"/>
      <c r="Y433" s="7"/>
      <c r="Z433" s="7"/>
      <c r="AA433" s="8" t="str">
        <f>IFERROR(VLOOKUP(A433,Sheet3!B:H,6,false),VLOOKUP(J433,Sheet2!A:C,2,false))</f>
        <v>https://bedgear.com/cdn/shop/files/01-Deep_Teal-ProductShot-Stack_f961bca3-7fcb-42f6-81f6-67472a9025f5.jpg</v>
      </c>
      <c r="AB433" s="8" t="str">
        <f>IFERROR(VLOOKUP(A433,Sheet3!B:H,7,false),VLOOKUP(J433,Sheet2!A:C,3,false))</f>
        <v>https://bedgear.com/products/hyper-cotton-sheet-set</v>
      </c>
      <c r="AC433" s="8" t="str">
        <f t="shared" si="2"/>
        <v>https://rtg-275.myshopify.com/products/HYPER-COTTON-SHEETS</v>
      </c>
      <c r="AD433" s="11" t="str">
        <f>vlookup(L433,'Python sheet'!$E$2:$F$373,2,0)</f>
        <v>#N/A</v>
      </c>
    </row>
    <row r="434">
      <c r="A434" s="4">
        <v>5.9913422E7</v>
      </c>
      <c r="B434" s="9">
        <v>1.0</v>
      </c>
      <c r="C434" s="9">
        <v>5.0</v>
      </c>
      <c r="D434" s="2" t="s">
        <v>869</v>
      </c>
      <c r="E434" s="2" t="s">
        <v>836</v>
      </c>
      <c r="F434" s="2" t="s">
        <v>870</v>
      </c>
      <c r="G434" s="9">
        <v>160.0</v>
      </c>
      <c r="H434" s="9">
        <v>4.51</v>
      </c>
      <c r="I434" s="9">
        <v>159.0</v>
      </c>
      <c r="J434" s="1" t="s">
        <v>871</v>
      </c>
      <c r="K434" s="1" t="s">
        <v>1037</v>
      </c>
      <c r="L434" s="1" t="str">
        <f t="shared" si="1"/>
        <v>HYPER-COTTON-SHEETSFull</v>
      </c>
      <c r="M434" s="1" t="s">
        <v>875</v>
      </c>
      <c r="N434" s="6">
        <v>179.99</v>
      </c>
      <c r="O434" s="6">
        <v>179.99</v>
      </c>
      <c r="P434" s="1" t="s">
        <v>663</v>
      </c>
      <c r="Q434" s="7"/>
      <c r="R434" s="1" t="s">
        <v>881</v>
      </c>
      <c r="S434" s="7"/>
      <c r="T434" s="1" t="s">
        <v>373</v>
      </c>
      <c r="U434" s="7"/>
      <c r="V434" s="7"/>
      <c r="W434" s="7"/>
      <c r="X434" s="7"/>
      <c r="Y434" s="7"/>
      <c r="Z434" s="7"/>
      <c r="AA434" s="8" t="str">
        <f>IFERROR(VLOOKUP(A434,Sheet3!B:H,6,false),VLOOKUP(J434,Sheet2!A:C,2,false))</f>
        <v>https://bedgear.com/cdn/shop/files/01-Deep_Teal-ProductShot-Stack_f961bca3-7fcb-42f6-81f6-67472a9025f5.jpg</v>
      </c>
      <c r="AB434" s="8" t="str">
        <f>IFERROR(VLOOKUP(A434,Sheet3!B:H,7,false),VLOOKUP(J434,Sheet2!A:C,3,false))</f>
        <v>https://bedgear.com/products/hyper-cotton-sheet-set</v>
      </c>
      <c r="AC434" s="8" t="str">
        <f t="shared" si="2"/>
        <v>https://rtg-275.myshopify.com/products/HYPER-COTTON-SHEETS</v>
      </c>
      <c r="AD434" s="11" t="str">
        <f>vlookup(L434,'Python sheet'!$E$2:$F$373,2,0)</f>
        <v>#N/A</v>
      </c>
    </row>
    <row r="435">
      <c r="A435" s="4">
        <v>5.9913434E7</v>
      </c>
      <c r="B435" s="9">
        <v>17.0</v>
      </c>
      <c r="C435" s="9">
        <v>4.24</v>
      </c>
      <c r="D435" s="2" t="s">
        <v>869</v>
      </c>
      <c r="E435" s="2" t="s">
        <v>836</v>
      </c>
      <c r="F435" s="2" t="s">
        <v>870</v>
      </c>
      <c r="G435" s="9">
        <v>160.0</v>
      </c>
      <c r="H435" s="9">
        <v>4.51</v>
      </c>
      <c r="I435" s="9">
        <v>143.0</v>
      </c>
      <c r="J435" s="1" t="s">
        <v>871</v>
      </c>
      <c r="K435" s="1" t="s">
        <v>1037</v>
      </c>
      <c r="L435" s="1" t="str">
        <f t="shared" si="1"/>
        <v>HYPER-COTTON-SHEETSQueen</v>
      </c>
      <c r="M435" s="1" t="s">
        <v>876</v>
      </c>
      <c r="N435" s="6">
        <v>199.99</v>
      </c>
      <c r="O435" s="6">
        <v>199.99</v>
      </c>
      <c r="P435" s="1" t="s">
        <v>663</v>
      </c>
      <c r="Q435" s="7"/>
      <c r="R435" s="1" t="s">
        <v>881</v>
      </c>
      <c r="S435" s="7"/>
      <c r="T435" s="1" t="s">
        <v>470</v>
      </c>
      <c r="U435" s="7"/>
      <c r="V435" s="7"/>
      <c r="W435" s="7"/>
      <c r="X435" s="7"/>
      <c r="Y435" s="7"/>
      <c r="Z435" s="7"/>
      <c r="AA435" s="8" t="str">
        <f>IFERROR(VLOOKUP(A435,Sheet3!B:H,6,false),VLOOKUP(J435,Sheet2!A:C,2,false))</f>
        <v>https://bedgear.com/cdn/shop/files/01-Deep_Teal-ProductShot-Stack_f961bca3-7fcb-42f6-81f6-67472a9025f5.jpg</v>
      </c>
      <c r="AB435" s="8" t="str">
        <f>IFERROR(VLOOKUP(A435,Sheet3!B:H,7,false),VLOOKUP(J435,Sheet2!A:C,3,false))</f>
        <v>https://bedgear.com/products/hyper-cotton-sheet-set</v>
      </c>
      <c r="AC435" s="8" t="str">
        <f t="shared" si="2"/>
        <v>https://rtg-275.myshopify.com/products/HYPER-COTTON-SHEETS</v>
      </c>
      <c r="AD435" s="11" t="str">
        <f>vlookup(L435,'Python sheet'!$E$2:$F$373,2,0)</f>
        <v>#N/A</v>
      </c>
    </row>
    <row r="436">
      <c r="A436" s="4">
        <v>5.9913446E7</v>
      </c>
      <c r="B436" s="9">
        <v>3.0</v>
      </c>
      <c r="C436" s="9">
        <v>4.33</v>
      </c>
      <c r="D436" s="2" t="s">
        <v>869</v>
      </c>
      <c r="E436" s="2" t="s">
        <v>836</v>
      </c>
      <c r="F436" s="2" t="s">
        <v>870</v>
      </c>
      <c r="G436" s="9">
        <v>160.0</v>
      </c>
      <c r="H436" s="9">
        <v>4.51</v>
      </c>
      <c r="I436" s="9">
        <v>157.0</v>
      </c>
      <c r="J436" s="1" t="s">
        <v>871</v>
      </c>
      <c r="K436" s="1" t="s">
        <v>1037</v>
      </c>
      <c r="L436" s="1" t="str">
        <f t="shared" si="1"/>
        <v>HYPER-COTTON-SHEETSKing</v>
      </c>
      <c r="M436" s="1" t="s">
        <v>877</v>
      </c>
      <c r="N436" s="6">
        <v>229.99</v>
      </c>
      <c r="O436" s="6">
        <v>229.99</v>
      </c>
      <c r="P436" s="1" t="s">
        <v>663</v>
      </c>
      <c r="Q436" s="7"/>
      <c r="R436" s="1" t="s">
        <v>881</v>
      </c>
      <c r="S436" s="7"/>
      <c r="T436" s="1" t="s">
        <v>568</v>
      </c>
      <c r="U436" s="7"/>
      <c r="V436" s="7"/>
      <c r="W436" s="7"/>
      <c r="X436" s="7"/>
      <c r="Y436" s="7"/>
      <c r="Z436" s="7"/>
      <c r="AA436" s="8" t="str">
        <f>IFERROR(VLOOKUP(A436,Sheet3!B:H,6,false),VLOOKUP(J436,Sheet2!A:C,2,false))</f>
        <v>https://bedgear.com/cdn/shop/files/01-Deep_Teal-ProductShot-Stack_f961bca3-7fcb-42f6-81f6-67472a9025f5.jpg</v>
      </c>
      <c r="AB436" s="8" t="str">
        <f>IFERROR(VLOOKUP(A436,Sheet3!B:H,7,false),VLOOKUP(J436,Sheet2!A:C,3,false))</f>
        <v>https://bedgear.com/products/hyper-cotton-sheet-set</v>
      </c>
      <c r="AC436" s="8" t="str">
        <f t="shared" si="2"/>
        <v>https://rtg-275.myshopify.com/products/HYPER-COTTON-SHEETS</v>
      </c>
      <c r="AD436" s="11" t="str">
        <f>vlookup(L436,'Python sheet'!$E$2:$F$373,2,0)</f>
        <v>#N/A</v>
      </c>
    </row>
    <row r="437">
      <c r="A437" s="4">
        <v>5.9913458E7</v>
      </c>
      <c r="B437" s="5"/>
      <c r="C437" s="5"/>
      <c r="D437" s="5"/>
      <c r="E437" s="5"/>
      <c r="F437" s="5"/>
      <c r="G437" s="5"/>
      <c r="H437" s="5"/>
      <c r="I437" s="5"/>
      <c r="J437" s="1" t="s">
        <v>871</v>
      </c>
      <c r="K437" s="1" t="s">
        <v>1037</v>
      </c>
      <c r="L437" s="1" t="str">
        <f t="shared" si="1"/>
        <v>HYPER-COTTON-SHEETSCalifornia King</v>
      </c>
      <c r="M437" s="1" t="s">
        <v>878</v>
      </c>
      <c r="N437" s="6">
        <v>229.99</v>
      </c>
      <c r="O437" s="6">
        <v>229.99</v>
      </c>
      <c r="P437" s="1" t="s">
        <v>663</v>
      </c>
      <c r="Q437" s="7"/>
      <c r="R437" s="1" t="s">
        <v>881</v>
      </c>
      <c r="S437" s="7"/>
      <c r="T437" s="1" t="s">
        <v>670</v>
      </c>
      <c r="U437" s="7"/>
      <c r="V437" s="7"/>
      <c r="W437" s="7"/>
      <c r="X437" s="7"/>
      <c r="Y437" s="7"/>
      <c r="Z437" s="7"/>
      <c r="AA437" s="8" t="str">
        <f>IFERROR(VLOOKUP(A437,Sheet3!B:H,6,false),VLOOKUP(J437,Sheet2!A:C,2,false))</f>
        <v>https://bedgear.com/cdn/shop/files/01-Deep_Teal-ProductShot-Stack_f961bca3-7fcb-42f6-81f6-67472a9025f5.jpg</v>
      </c>
      <c r="AB437" s="8" t="str">
        <f>IFERROR(VLOOKUP(A437,Sheet3!B:H,7,false),VLOOKUP(J437,Sheet2!A:C,3,false))</f>
        <v>https://bedgear.com/products/hyper-cotton-sheet-set</v>
      </c>
      <c r="AC437" s="8" t="str">
        <f t="shared" si="2"/>
        <v>https://rtg-275.myshopify.com/products/HYPER-COTTON-SHEETS</v>
      </c>
      <c r="AD437" s="11" t="str">
        <f>vlookup(L437,'Python sheet'!$E$2:$F$373,2,0)</f>
        <v>#N/A</v>
      </c>
    </row>
    <row r="438">
      <c r="A438" s="4">
        <v>5.991346E7</v>
      </c>
      <c r="B438" s="9">
        <v>10.0</v>
      </c>
      <c r="C438" s="9">
        <v>4.4</v>
      </c>
      <c r="D438" s="2" t="s">
        <v>869</v>
      </c>
      <c r="E438" s="2" t="s">
        <v>836</v>
      </c>
      <c r="F438" s="2" t="s">
        <v>870</v>
      </c>
      <c r="G438" s="9">
        <v>160.0</v>
      </c>
      <c r="H438" s="9">
        <v>4.51</v>
      </c>
      <c r="I438" s="9">
        <v>150.0</v>
      </c>
      <c r="J438" s="1" t="s">
        <v>871</v>
      </c>
      <c r="K438" s="1" t="s">
        <v>1037</v>
      </c>
      <c r="L438" s="1" t="str">
        <f t="shared" si="1"/>
        <v>HYPER-COTTON-SHEETSSplit California King</v>
      </c>
      <c r="M438" s="1" t="s">
        <v>879</v>
      </c>
      <c r="N438" s="6">
        <v>249.99</v>
      </c>
      <c r="O438" s="6">
        <v>249.99</v>
      </c>
      <c r="P438" s="1" t="s">
        <v>663</v>
      </c>
      <c r="Q438" s="7"/>
      <c r="R438" s="1" t="s">
        <v>881</v>
      </c>
      <c r="S438" s="7"/>
      <c r="T438" s="1" t="s">
        <v>710</v>
      </c>
      <c r="U438" s="7"/>
      <c r="V438" s="7"/>
      <c r="W438" s="7"/>
      <c r="X438" s="7"/>
      <c r="Y438" s="7"/>
      <c r="Z438" s="7"/>
      <c r="AA438" s="8" t="str">
        <f>IFERROR(VLOOKUP(A438,Sheet3!B:H,6,false),VLOOKUP(J438,Sheet2!A:C,2,false))</f>
        <v>https://bedgear.com/cdn/shop/files/01-Deep_Teal-ProductShot-Stack_f961bca3-7fcb-42f6-81f6-67472a9025f5.jpg</v>
      </c>
      <c r="AB438" s="8" t="str">
        <f>IFERROR(VLOOKUP(A438,Sheet3!B:H,7,false),VLOOKUP(J438,Sheet2!A:C,3,false))</f>
        <v>https://bedgear.com/products/hyper-cotton-sheet-set</v>
      </c>
      <c r="AC438" s="8" t="str">
        <f t="shared" si="2"/>
        <v>https://rtg-275.myshopify.com/products/HYPER-COTTON-SHEETS</v>
      </c>
      <c r="AD438" s="11" t="str">
        <f>vlookup(L438,'Python sheet'!$E$2:$F$373,2,0)</f>
        <v>#N/A</v>
      </c>
    </row>
    <row r="439">
      <c r="A439" s="4">
        <v>5.9913472E7</v>
      </c>
      <c r="B439" s="9">
        <v>1.0</v>
      </c>
      <c r="C439" s="9">
        <v>5.0</v>
      </c>
      <c r="D439" s="2" t="s">
        <v>869</v>
      </c>
      <c r="E439" s="2" t="s">
        <v>836</v>
      </c>
      <c r="F439" s="2" t="s">
        <v>870</v>
      </c>
      <c r="G439" s="9">
        <v>160.0</v>
      </c>
      <c r="H439" s="9">
        <v>4.51</v>
      </c>
      <c r="I439" s="9">
        <v>159.0</v>
      </c>
      <c r="J439" s="1" t="s">
        <v>871</v>
      </c>
      <c r="K439" s="1" t="s">
        <v>1037</v>
      </c>
      <c r="L439" s="1" t="str">
        <f t="shared" si="1"/>
        <v>HYPER-COTTON-SHEETSSplit California King</v>
      </c>
      <c r="M439" s="1" t="s">
        <v>880</v>
      </c>
      <c r="N439" s="6">
        <v>249.99</v>
      </c>
      <c r="O439" s="6">
        <v>249.99</v>
      </c>
      <c r="P439" s="1" t="s">
        <v>663</v>
      </c>
      <c r="Q439" s="7"/>
      <c r="R439" s="1" t="s">
        <v>881</v>
      </c>
      <c r="S439" s="7"/>
      <c r="T439" s="1" t="s">
        <v>710</v>
      </c>
      <c r="U439" s="7"/>
      <c r="V439" s="7"/>
      <c r="W439" s="7"/>
      <c r="X439" s="7"/>
      <c r="Y439" s="7"/>
      <c r="Z439" s="7"/>
      <c r="AA439" s="8" t="str">
        <f>IFERROR(VLOOKUP(A439,Sheet3!B:H,6,false),VLOOKUP(J439,Sheet2!A:C,2,false))</f>
        <v>https://bedgear.com/cdn/shop/files/01-Deep_Teal-ProductShot-Stack_f961bca3-7fcb-42f6-81f6-67472a9025f5.jpg</v>
      </c>
      <c r="AB439" s="8" t="str">
        <f>IFERROR(VLOOKUP(A439,Sheet3!B:H,7,false),VLOOKUP(J439,Sheet2!A:C,3,false))</f>
        <v>https://bedgear.com/products/hyper-cotton-sheet-set</v>
      </c>
      <c r="AC439" s="8" t="str">
        <f t="shared" si="2"/>
        <v>https://rtg-275.myshopify.com/products/HYPER-COTTON-SHEETS</v>
      </c>
      <c r="AD439" s="11" t="str">
        <f>vlookup(L439,'Python sheet'!$E$2:$F$373,2,0)</f>
        <v>#N/A</v>
      </c>
    </row>
    <row r="440">
      <c r="A440" s="4">
        <v>5.9913597E7</v>
      </c>
      <c r="B440" s="9">
        <v>162.0</v>
      </c>
      <c r="C440" s="9">
        <v>4.48</v>
      </c>
      <c r="D440" s="2" t="s">
        <v>882</v>
      </c>
      <c r="E440" s="2" t="s">
        <v>836</v>
      </c>
      <c r="F440" s="2" t="s">
        <v>883</v>
      </c>
      <c r="G440" s="9">
        <v>215.0</v>
      </c>
      <c r="H440" s="9">
        <v>4.35</v>
      </c>
      <c r="I440" s="9">
        <v>53.0</v>
      </c>
      <c r="J440" s="1" t="s">
        <v>884</v>
      </c>
      <c r="K440" s="1" t="s">
        <v>1038</v>
      </c>
      <c r="L440" s="1" t="str">
        <f t="shared" si="1"/>
        <v>VER-TEX-SHEETSQueen</v>
      </c>
      <c r="M440" s="1" t="s">
        <v>885</v>
      </c>
      <c r="N440" s="6">
        <v>299.99</v>
      </c>
      <c r="O440" s="6">
        <v>299.99</v>
      </c>
      <c r="P440" s="1" t="s">
        <v>663</v>
      </c>
      <c r="Q440" s="7"/>
      <c r="R440" s="1" t="s">
        <v>886</v>
      </c>
      <c r="S440" s="7"/>
      <c r="T440" s="1" t="s">
        <v>470</v>
      </c>
      <c r="U440" s="7"/>
      <c r="V440" s="7"/>
      <c r="W440" s="7"/>
      <c r="X440" s="7"/>
      <c r="Y440" s="7"/>
      <c r="Z440" s="7"/>
      <c r="AA440" s="8" t="str">
        <f>IFERROR(VLOOKUP(A440,Sheet3!B:H,6,false),VLOOKUP(J440,Sheet2!A:C,2,false))</f>
        <v>https://bedgear.com/cdn/shop/files/01-MistyBlue-ProductShot-Stack_1af20743-1dcb-43b8-bd89-409acf86c5b2.jpg</v>
      </c>
      <c r="AB440" s="8" t="str">
        <f>IFERROR(VLOOKUP(A440,Sheet3!B:H,7,false),VLOOKUP(J440,Sheet2!A:C,3,false))</f>
        <v>https://bedgear.com/products/ver-tex-sheet-set</v>
      </c>
      <c r="AC440" s="8" t="str">
        <f t="shared" si="2"/>
        <v>https://rtg-275.myshopify.com/products/VER-TEX-SHEETS</v>
      </c>
      <c r="AD440" s="11" t="str">
        <f>vlookup(L440,'Python sheet'!$E$2:$F$373,2,0)</f>
        <v>#N/A</v>
      </c>
    </row>
    <row r="441">
      <c r="A441" s="4">
        <v>5.9913662E7</v>
      </c>
      <c r="B441" s="9">
        <v>4.0</v>
      </c>
      <c r="C441" s="9">
        <v>2.5</v>
      </c>
      <c r="D441" s="2" t="s">
        <v>882</v>
      </c>
      <c r="E441" s="2" t="s">
        <v>836</v>
      </c>
      <c r="F441" s="2" t="s">
        <v>883</v>
      </c>
      <c r="G441" s="9">
        <v>215.0</v>
      </c>
      <c r="H441" s="9">
        <v>4.35</v>
      </c>
      <c r="I441" s="9">
        <v>211.0</v>
      </c>
      <c r="J441" s="1" t="s">
        <v>884</v>
      </c>
      <c r="K441" s="1" t="s">
        <v>1038</v>
      </c>
      <c r="L441" s="1" t="str">
        <f t="shared" si="1"/>
        <v>VER-TEX-SHEETSCalifornia King,King</v>
      </c>
      <c r="M441" s="1" t="s">
        <v>887</v>
      </c>
      <c r="N441" s="6">
        <v>329.99</v>
      </c>
      <c r="O441" s="6">
        <v>329.99</v>
      </c>
      <c r="P441" s="1" t="s">
        <v>663</v>
      </c>
      <c r="Q441" s="7"/>
      <c r="R441" s="1" t="s">
        <v>886</v>
      </c>
      <c r="S441" s="7"/>
      <c r="T441" s="1" t="s">
        <v>848</v>
      </c>
      <c r="U441" s="7"/>
      <c r="V441" s="7"/>
      <c r="W441" s="7"/>
      <c r="X441" s="7"/>
      <c r="Y441" s="7"/>
      <c r="Z441" s="7"/>
      <c r="AA441" s="8" t="str">
        <f>IFERROR(VLOOKUP(A441,Sheet3!B:H,6,false),VLOOKUP(J441,Sheet2!A:C,2,false))</f>
        <v>https://bedgear.com/cdn/shop/files/01-MistyBlue-ProductShot-Stack_1af20743-1dcb-43b8-bd89-409acf86c5b2.jpg</v>
      </c>
      <c r="AB441" s="8" t="str">
        <f>IFERROR(VLOOKUP(A441,Sheet3!B:H,7,false),VLOOKUP(J441,Sheet2!A:C,3,false))</f>
        <v>https://bedgear.com/products/ver-tex-sheet-set</v>
      </c>
      <c r="AC441" s="8" t="str">
        <f t="shared" si="2"/>
        <v>https://rtg-275.myshopify.com/products/VER-TEX-SHEETS</v>
      </c>
      <c r="AD441" s="11" t="str">
        <f>vlookup(L441,'Python sheet'!$E$2:$F$373,2,0)</f>
        <v>#N/A</v>
      </c>
    </row>
    <row r="442">
      <c r="A442" s="4">
        <v>5.9913674E7</v>
      </c>
      <c r="B442" s="9">
        <v>3.0</v>
      </c>
      <c r="C442" s="9">
        <v>4.0</v>
      </c>
      <c r="D442" s="2" t="s">
        <v>882</v>
      </c>
      <c r="E442" s="2" t="s">
        <v>836</v>
      </c>
      <c r="F442" s="2" t="s">
        <v>883</v>
      </c>
      <c r="G442" s="9">
        <v>215.0</v>
      </c>
      <c r="H442" s="9">
        <v>4.35</v>
      </c>
      <c r="I442" s="9">
        <v>212.0</v>
      </c>
      <c r="J442" s="1" t="s">
        <v>884</v>
      </c>
      <c r="K442" s="1" t="s">
        <v>1038</v>
      </c>
      <c r="L442" s="1" t="str">
        <f t="shared" si="1"/>
        <v>VER-TEX-SHEETSSplit California King,Split King</v>
      </c>
      <c r="M442" s="1" t="s">
        <v>888</v>
      </c>
      <c r="N442" s="6">
        <v>349.99</v>
      </c>
      <c r="O442" s="6">
        <v>349.99</v>
      </c>
      <c r="P442" s="1" t="s">
        <v>663</v>
      </c>
      <c r="Q442" s="7"/>
      <c r="R442" s="1" t="s">
        <v>886</v>
      </c>
      <c r="S442" s="7"/>
      <c r="T442" s="1" t="s">
        <v>851</v>
      </c>
      <c r="U442" s="7"/>
      <c r="V442" s="7"/>
      <c r="W442" s="7"/>
      <c r="X442" s="7"/>
      <c r="Y442" s="7"/>
      <c r="Z442" s="7"/>
      <c r="AA442" s="8" t="str">
        <f>IFERROR(VLOOKUP(A442,Sheet3!B:H,6,false),VLOOKUP(J442,Sheet2!A:C,2,false))</f>
        <v>https://bedgear.com/cdn/shop/files/01-MistyBlue-ProductShot-Stack_1af20743-1dcb-43b8-bd89-409acf86c5b2.jpg</v>
      </c>
      <c r="AB442" s="8" t="str">
        <f>IFERROR(VLOOKUP(A442,Sheet3!B:H,7,false),VLOOKUP(J442,Sheet2!A:C,3,false))</f>
        <v>https://bedgear.com/products/ver-tex-sheet-set</v>
      </c>
      <c r="AC442" s="8" t="str">
        <f t="shared" si="2"/>
        <v>https://rtg-275.myshopify.com/products/VER-TEX-SHEETS</v>
      </c>
      <c r="AD442" s="11" t="str">
        <f>vlookup(L442,'Python sheet'!$E$2:$F$373,2,0)</f>
        <v>#N/A</v>
      </c>
    </row>
    <row r="443">
      <c r="A443" s="4">
        <v>5.9913686E7</v>
      </c>
      <c r="B443" s="9">
        <v>8.0</v>
      </c>
      <c r="C443" s="9">
        <v>4.13</v>
      </c>
      <c r="D443" s="2" t="s">
        <v>882</v>
      </c>
      <c r="E443" s="2" t="s">
        <v>836</v>
      </c>
      <c r="F443" s="2" t="s">
        <v>883</v>
      </c>
      <c r="G443" s="9">
        <v>215.0</v>
      </c>
      <c r="H443" s="9">
        <v>4.35</v>
      </c>
      <c r="I443" s="9">
        <v>207.0</v>
      </c>
      <c r="J443" s="1" t="s">
        <v>884</v>
      </c>
      <c r="K443" s="1" t="s">
        <v>1038</v>
      </c>
      <c r="L443" s="1" t="str">
        <f t="shared" si="1"/>
        <v>VER-TEX-SHEETSQueen</v>
      </c>
      <c r="M443" s="1" t="s">
        <v>885</v>
      </c>
      <c r="N443" s="6">
        <v>299.99</v>
      </c>
      <c r="O443" s="6">
        <v>299.99</v>
      </c>
      <c r="P443" s="1" t="s">
        <v>663</v>
      </c>
      <c r="Q443" s="7"/>
      <c r="R443" s="1" t="s">
        <v>886</v>
      </c>
      <c r="S443" s="7"/>
      <c r="T443" s="1" t="s">
        <v>470</v>
      </c>
      <c r="U443" s="7"/>
      <c r="V443" s="7"/>
      <c r="W443" s="7"/>
      <c r="X443" s="7"/>
      <c r="Y443" s="7"/>
      <c r="Z443" s="7"/>
      <c r="AA443" s="8" t="str">
        <f>IFERROR(VLOOKUP(A443,Sheet3!B:H,6,false),VLOOKUP(J443,Sheet2!A:C,2,false))</f>
        <v>https://bedgear.com/cdn/shop/files/01-MistyBlue-ProductShot-Stack_1af20743-1dcb-43b8-bd89-409acf86c5b2.jpg</v>
      </c>
      <c r="AB443" s="8" t="str">
        <f>IFERROR(VLOOKUP(A443,Sheet3!B:H,7,false),VLOOKUP(J443,Sheet2!A:C,3,false))</f>
        <v>https://bedgear.com/products/ver-tex-sheet-set</v>
      </c>
      <c r="AC443" s="8" t="str">
        <f t="shared" si="2"/>
        <v>https://rtg-275.myshopify.com/products/VER-TEX-SHEETS</v>
      </c>
      <c r="AD443" s="11" t="str">
        <f>vlookup(L443,'Python sheet'!$E$2:$F$373,2,0)</f>
        <v>#N/A</v>
      </c>
    </row>
    <row r="444">
      <c r="A444" s="4">
        <v>5.9913698E7</v>
      </c>
      <c r="B444" s="9">
        <v>5.0</v>
      </c>
      <c r="C444" s="9">
        <v>3.2</v>
      </c>
      <c r="D444" s="2" t="s">
        <v>882</v>
      </c>
      <c r="E444" s="2" t="s">
        <v>836</v>
      </c>
      <c r="F444" s="2" t="s">
        <v>883</v>
      </c>
      <c r="G444" s="9">
        <v>215.0</v>
      </c>
      <c r="H444" s="9">
        <v>4.35</v>
      </c>
      <c r="I444" s="9">
        <v>210.0</v>
      </c>
      <c r="J444" s="1" t="s">
        <v>884</v>
      </c>
      <c r="K444" s="1" t="s">
        <v>1038</v>
      </c>
      <c r="L444" s="1" t="str">
        <f t="shared" si="1"/>
        <v>VER-TEX-SHEETSCalifornia King,King</v>
      </c>
      <c r="M444" s="1" t="s">
        <v>887</v>
      </c>
      <c r="N444" s="6">
        <v>329.99</v>
      </c>
      <c r="O444" s="6">
        <v>329.99</v>
      </c>
      <c r="P444" s="1" t="s">
        <v>663</v>
      </c>
      <c r="Q444" s="7"/>
      <c r="R444" s="1" t="s">
        <v>886</v>
      </c>
      <c r="S444" s="7"/>
      <c r="T444" s="1" t="s">
        <v>848</v>
      </c>
      <c r="U444" s="7"/>
      <c r="V444" s="7"/>
      <c r="W444" s="7"/>
      <c r="X444" s="7"/>
      <c r="Y444" s="7"/>
      <c r="Z444" s="7"/>
      <c r="AA444" s="8" t="str">
        <f>IFERROR(VLOOKUP(A444,Sheet3!B:H,6,false),VLOOKUP(J444,Sheet2!A:C,2,false))</f>
        <v>https://bedgear.com/cdn/shop/files/01-MistyBlue-ProductShot-Stack_1af20743-1dcb-43b8-bd89-409acf86c5b2.jpg</v>
      </c>
      <c r="AB444" s="8" t="str">
        <f>IFERROR(VLOOKUP(A444,Sheet3!B:H,7,false),VLOOKUP(J444,Sheet2!A:C,3,false))</f>
        <v>https://bedgear.com/products/ver-tex-sheet-set</v>
      </c>
      <c r="AC444" s="8" t="str">
        <f t="shared" si="2"/>
        <v>https://rtg-275.myshopify.com/products/VER-TEX-SHEETS</v>
      </c>
      <c r="AD444" s="11" t="str">
        <f>vlookup(L444,'Python sheet'!$E$2:$F$373,2,0)</f>
        <v>#N/A</v>
      </c>
    </row>
    <row r="445">
      <c r="A445" s="4">
        <v>5.9913751E7</v>
      </c>
      <c r="B445" s="9">
        <v>2.0</v>
      </c>
      <c r="C445" s="9">
        <v>3.0</v>
      </c>
      <c r="D445" s="2" t="s">
        <v>882</v>
      </c>
      <c r="E445" s="2" t="s">
        <v>836</v>
      </c>
      <c r="F445" s="2" t="s">
        <v>883</v>
      </c>
      <c r="G445" s="9">
        <v>215.0</v>
      </c>
      <c r="H445" s="9">
        <v>4.35</v>
      </c>
      <c r="I445" s="9">
        <v>213.0</v>
      </c>
      <c r="J445" s="1" t="s">
        <v>884</v>
      </c>
      <c r="K445" s="1" t="s">
        <v>1038</v>
      </c>
      <c r="L445" s="1" t="str">
        <f t="shared" si="1"/>
        <v>VER-TEX-SHEETSSplit California King,Split King</v>
      </c>
      <c r="M445" s="1" t="s">
        <v>888</v>
      </c>
      <c r="N445" s="6">
        <v>349.99</v>
      </c>
      <c r="O445" s="6">
        <v>349.99</v>
      </c>
      <c r="P445" s="1" t="s">
        <v>663</v>
      </c>
      <c r="Q445" s="7"/>
      <c r="R445" s="1" t="s">
        <v>886</v>
      </c>
      <c r="S445" s="7"/>
      <c r="T445" s="1" t="s">
        <v>851</v>
      </c>
      <c r="U445" s="7"/>
      <c r="V445" s="7"/>
      <c r="W445" s="7"/>
      <c r="X445" s="7"/>
      <c r="Y445" s="7"/>
      <c r="Z445" s="7"/>
      <c r="AA445" s="8" t="str">
        <f>IFERROR(VLOOKUP(A445,Sheet3!B:H,6,false),VLOOKUP(J445,Sheet2!A:C,2,false))</f>
        <v>https://bedgear.com/cdn/shop/files/01-MistyBlue-ProductShot-Stack_1af20743-1dcb-43b8-bd89-409acf86c5b2.jpg</v>
      </c>
      <c r="AB445" s="8" t="str">
        <f>IFERROR(VLOOKUP(A445,Sheet3!B:H,7,false),VLOOKUP(J445,Sheet2!A:C,3,false))</f>
        <v>https://bedgear.com/products/ver-tex-sheet-set</v>
      </c>
      <c r="AC445" s="8" t="str">
        <f t="shared" si="2"/>
        <v>https://rtg-275.myshopify.com/products/VER-TEX-SHEETS</v>
      </c>
      <c r="AD445" s="11" t="str">
        <f>vlookup(L445,'Python sheet'!$E$2:$F$373,2,0)</f>
        <v>#N/A</v>
      </c>
    </row>
    <row r="446">
      <c r="A446" s="4">
        <v>5.9913763E7</v>
      </c>
      <c r="B446" s="9">
        <v>5.0</v>
      </c>
      <c r="C446" s="9">
        <v>5.0</v>
      </c>
      <c r="D446" s="2" t="s">
        <v>882</v>
      </c>
      <c r="E446" s="2" t="s">
        <v>836</v>
      </c>
      <c r="F446" s="2" t="s">
        <v>883</v>
      </c>
      <c r="G446" s="9">
        <v>215.0</v>
      </c>
      <c r="H446" s="9">
        <v>4.35</v>
      </c>
      <c r="I446" s="9">
        <v>210.0</v>
      </c>
      <c r="J446" s="1" t="s">
        <v>884</v>
      </c>
      <c r="K446" s="1" t="s">
        <v>1038</v>
      </c>
      <c r="L446" s="1" t="str">
        <f t="shared" si="1"/>
        <v>VER-TEX-SHEETSQueen</v>
      </c>
      <c r="M446" s="1" t="s">
        <v>885</v>
      </c>
      <c r="N446" s="6">
        <v>299.99</v>
      </c>
      <c r="O446" s="6">
        <v>299.99</v>
      </c>
      <c r="P446" s="1" t="s">
        <v>663</v>
      </c>
      <c r="Q446" s="7"/>
      <c r="R446" s="1" t="s">
        <v>886</v>
      </c>
      <c r="S446" s="7"/>
      <c r="T446" s="1" t="s">
        <v>470</v>
      </c>
      <c r="U446" s="7"/>
      <c r="V446" s="7"/>
      <c r="W446" s="7"/>
      <c r="X446" s="7"/>
      <c r="Y446" s="7"/>
      <c r="Z446" s="7"/>
      <c r="AA446" s="8" t="str">
        <f>IFERROR(VLOOKUP(A446,Sheet3!B:H,6,false),VLOOKUP(J446,Sheet2!A:C,2,false))</f>
        <v>https://bedgear.com/cdn/shop/files/01-MistyBlue-ProductShot-Stack_1af20743-1dcb-43b8-bd89-409acf86c5b2.jpg</v>
      </c>
      <c r="AB446" s="8" t="str">
        <f>IFERROR(VLOOKUP(A446,Sheet3!B:H,7,false),VLOOKUP(J446,Sheet2!A:C,3,false))</f>
        <v>https://bedgear.com/products/ver-tex-sheet-set</v>
      </c>
      <c r="AC446" s="8" t="str">
        <f t="shared" si="2"/>
        <v>https://rtg-275.myshopify.com/products/VER-TEX-SHEETS</v>
      </c>
      <c r="AD446" s="11" t="str">
        <f>vlookup(L446,'Python sheet'!$E$2:$F$373,2,0)</f>
        <v>#N/A</v>
      </c>
    </row>
    <row r="447">
      <c r="A447" s="4">
        <v>5.9913775E7</v>
      </c>
      <c r="B447" s="9">
        <v>4.0</v>
      </c>
      <c r="C447" s="9">
        <v>4.5</v>
      </c>
      <c r="D447" s="2" t="s">
        <v>882</v>
      </c>
      <c r="E447" s="2" t="s">
        <v>836</v>
      </c>
      <c r="F447" s="2" t="s">
        <v>883</v>
      </c>
      <c r="G447" s="9">
        <v>215.0</v>
      </c>
      <c r="H447" s="9">
        <v>4.35</v>
      </c>
      <c r="I447" s="9">
        <v>211.0</v>
      </c>
      <c r="J447" s="1" t="s">
        <v>884</v>
      </c>
      <c r="K447" s="1" t="s">
        <v>1038</v>
      </c>
      <c r="L447" s="1" t="str">
        <f t="shared" si="1"/>
        <v>VER-TEX-SHEETSCalifornia King,King</v>
      </c>
      <c r="M447" s="1" t="s">
        <v>887</v>
      </c>
      <c r="N447" s="6">
        <v>329.99</v>
      </c>
      <c r="O447" s="6">
        <v>329.99</v>
      </c>
      <c r="P447" s="1" t="s">
        <v>663</v>
      </c>
      <c r="Q447" s="7"/>
      <c r="R447" s="1" t="s">
        <v>886</v>
      </c>
      <c r="S447" s="7"/>
      <c r="T447" s="1" t="s">
        <v>848</v>
      </c>
      <c r="U447" s="7"/>
      <c r="V447" s="7"/>
      <c r="W447" s="7"/>
      <c r="X447" s="7"/>
      <c r="Y447" s="7"/>
      <c r="Z447" s="7"/>
      <c r="AA447" s="8" t="str">
        <f>IFERROR(VLOOKUP(A447,Sheet3!B:H,6,false),VLOOKUP(J447,Sheet2!A:C,2,false))</f>
        <v>https://bedgear.com/cdn/shop/files/01-MistyBlue-ProductShot-Stack_1af20743-1dcb-43b8-bd89-409acf86c5b2.jpg</v>
      </c>
      <c r="AB447" s="8" t="str">
        <f>IFERROR(VLOOKUP(A447,Sheet3!B:H,7,false),VLOOKUP(J447,Sheet2!A:C,3,false))</f>
        <v>https://bedgear.com/products/ver-tex-sheet-set</v>
      </c>
      <c r="AC447" s="8" t="str">
        <f t="shared" si="2"/>
        <v>https://rtg-275.myshopify.com/products/VER-TEX-SHEETS</v>
      </c>
      <c r="AD447" s="11" t="str">
        <f>vlookup(L447,'Python sheet'!$E$2:$F$373,2,0)</f>
        <v>#N/A</v>
      </c>
    </row>
    <row r="448">
      <c r="A448" s="4">
        <v>5.9913787E7</v>
      </c>
      <c r="B448" s="9">
        <v>4.0</v>
      </c>
      <c r="C448" s="9">
        <v>4.5</v>
      </c>
      <c r="D448" s="2" t="s">
        <v>882</v>
      </c>
      <c r="E448" s="2" t="s">
        <v>836</v>
      </c>
      <c r="F448" s="2" t="s">
        <v>883</v>
      </c>
      <c r="G448" s="9">
        <v>215.0</v>
      </c>
      <c r="H448" s="9">
        <v>4.35</v>
      </c>
      <c r="I448" s="9">
        <v>211.0</v>
      </c>
      <c r="J448" s="1" t="s">
        <v>884</v>
      </c>
      <c r="K448" s="1" t="s">
        <v>1038</v>
      </c>
      <c r="L448" s="1" t="str">
        <f t="shared" si="1"/>
        <v>VER-TEX-SHEETSSplit California King,Split King</v>
      </c>
      <c r="M448" s="1" t="s">
        <v>888</v>
      </c>
      <c r="N448" s="6">
        <v>349.99</v>
      </c>
      <c r="O448" s="6">
        <v>349.99</v>
      </c>
      <c r="P448" s="1" t="s">
        <v>663</v>
      </c>
      <c r="Q448" s="7"/>
      <c r="R448" s="1" t="s">
        <v>886</v>
      </c>
      <c r="S448" s="7"/>
      <c r="T448" s="1" t="s">
        <v>851</v>
      </c>
      <c r="U448" s="7"/>
      <c r="V448" s="7"/>
      <c r="W448" s="7"/>
      <c r="X448" s="7"/>
      <c r="Y448" s="7"/>
      <c r="Z448" s="7"/>
      <c r="AA448" s="8" t="str">
        <f>IFERROR(VLOOKUP(A448,Sheet3!B:H,6,false),VLOOKUP(J448,Sheet2!A:C,2,false))</f>
        <v>https://bedgear.com/cdn/shop/files/01-MistyBlue-ProductShot-Stack_1af20743-1dcb-43b8-bd89-409acf86c5b2.jpg</v>
      </c>
      <c r="AB448" s="8" t="str">
        <f>IFERROR(VLOOKUP(A448,Sheet3!B:H,7,false),VLOOKUP(J448,Sheet2!A:C,3,false))</f>
        <v>https://bedgear.com/products/ver-tex-sheet-set</v>
      </c>
      <c r="AC448" s="8" t="str">
        <f t="shared" si="2"/>
        <v>https://rtg-275.myshopify.com/products/VER-TEX-SHEETS</v>
      </c>
      <c r="AD448" s="11" t="str">
        <f>vlookup(L448,'Python sheet'!$E$2:$F$373,2,0)</f>
        <v>#N/A</v>
      </c>
    </row>
    <row r="449">
      <c r="A449" s="4">
        <v>5.9913799E7</v>
      </c>
      <c r="B449" s="9">
        <v>12.0</v>
      </c>
      <c r="C449" s="9">
        <v>4.0</v>
      </c>
      <c r="D449" s="2" t="s">
        <v>882</v>
      </c>
      <c r="E449" s="2" t="s">
        <v>836</v>
      </c>
      <c r="F449" s="2" t="s">
        <v>883</v>
      </c>
      <c r="G449" s="9">
        <v>215.0</v>
      </c>
      <c r="H449" s="9">
        <v>4.35</v>
      </c>
      <c r="I449" s="9">
        <v>203.0</v>
      </c>
      <c r="J449" s="1" t="s">
        <v>884</v>
      </c>
      <c r="K449" s="1" t="s">
        <v>1038</v>
      </c>
      <c r="L449" s="1" t="str">
        <f t="shared" si="1"/>
        <v>VER-TEX-SHEETSQueen</v>
      </c>
      <c r="M449" s="1" t="s">
        <v>885</v>
      </c>
      <c r="N449" s="6">
        <v>299.99</v>
      </c>
      <c r="O449" s="6">
        <v>299.99</v>
      </c>
      <c r="P449" s="1" t="s">
        <v>663</v>
      </c>
      <c r="Q449" s="7"/>
      <c r="R449" s="1" t="s">
        <v>886</v>
      </c>
      <c r="S449" s="7"/>
      <c r="T449" s="1" t="s">
        <v>470</v>
      </c>
      <c r="U449" s="7"/>
      <c r="V449" s="7"/>
      <c r="W449" s="7"/>
      <c r="X449" s="7"/>
      <c r="Y449" s="7"/>
      <c r="Z449" s="7"/>
      <c r="AA449" s="8" t="str">
        <f>IFERROR(VLOOKUP(A449,Sheet3!B:H,6,false),VLOOKUP(J449,Sheet2!A:C,2,false))</f>
        <v>https://bedgear.com/cdn/shop/files/01-MistyBlue-ProductShot-Stack_1af20743-1dcb-43b8-bd89-409acf86c5b2.jpg</v>
      </c>
      <c r="AB449" s="8" t="str">
        <f>IFERROR(VLOOKUP(A449,Sheet3!B:H,7,false),VLOOKUP(J449,Sheet2!A:C,3,false))</f>
        <v>https://bedgear.com/products/ver-tex-sheet-set</v>
      </c>
      <c r="AC449" s="8" t="str">
        <f t="shared" si="2"/>
        <v>https://rtg-275.myshopify.com/products/VER-TEX-SHEETS</v>
      </c>
      <c r="AD449" s="11" t="str">
        <f>vlookup(L449,'Python sheet'!$E$2:$F$373,2,0)</f>
        <v>#N/A</v>
      </c>
    </row>
    <row r="450">
      <c r="A450" s="4">
        <v>5.9913802E7</v>
      </c>
      <c r="B450" s="9">
        <v>3.0</v>
      </c>
      <c r="C450" s="9">
        <v>4.33</v>
      </c>
      <c r="D450" s="2" t="s">
        <v>882</v>
      </c>
      <c r="E450" s="2" t="s">
        <v>836</v>
      </c>
      <c r="F450" s="2" t="s">
        <v>883</v>
      </c>
      <c r="G450" s="9">
        <v>215.0</v>
      </c>
      <c r="H450" s="9">
        <v>4.35</v>
      </c>
      <c r="I450" s="9">
        <v>212.0</v>
      </c>
      <c r="J450" s="1" t="s">
        <v>884</v>
      </c>
      <c r="K450" s="1" t="s">
        <v>1038</v>
      </c>
      <c r="L450" s="1" t="str">
        <f t="shared" si="1"/>
        <v>VER-TEX-SHEETSCalifornia King,King</v>
      </c>
      <c r="M450" s="1" t="s">
        <v>887</v>
      </c>
      <c r="N450" s="6">
        <v>329.99</v>
      </c>
      <c r="O450" s="6">
        <v>329.99</v>
      </c>
      <c r="P450" s="1" t="s">
        <v>663</v>
      </c>
      <c r="Q450" s="7"/>
      <c r="R450" s="1" t="s">
        <v>886</v>
      </c>
      <c r="S450" s="7"/>
      <c r="T450" s="1" t="s">
        <v>848</v>
      </c>
      <c r="U450" s="7"/>
      <c r="V450" s="7"/>
      <c r="W450" s="7"/>
      <c r="X450" s="7"/>
      <c r="Y450" s="7"/>
      <c r="Z450" s="7"/>
      <c r="AA450" s="8" t="str">
        <f>IFERROR(VLOOKUP(A450,Sheet3!B:H,6,false),VLOOKUP(J450,Sheet2!A:C,2,false))</f>
        <v>https://bedgear.com/cdn/shop/files/01-MistyBlue-ProductShot-Stack_1af20743-1dcb-43b8-bd89-409acf86c5b2.jpg</v>
      </c>
      <c r="AB450" s="8" t="str">
        <f>IFERROR(VLOOKUP(A450,Sheet3!B:H,7,false),VLOOKUP(J450,Sheet2!A:C,3,false))</f>
        <v>https://bedgear.com/products/ver-tex-sheet-set</v>
      </c>
      <c r="AC450" s="8" t="str">
        <f t="shared" si="2"/>
        <v>https://rtg-275.myshopify.com/products/VER-TEX-SHEETS</v>
      </c>
      <c r="AD450" s="11" t="str">
        <f>vlookup(L450,'Python sheet'!$E$2:$F$373,2,0)</f>
        <v>#N/A</v>
      </c>
    </row>
    <row r="451">
      <c r="A451" s="4">
        <v>5.9913814E7</v>
      </c>
      <c r="B451" s="9">
        <v>3.0</v>
      </c>
      <c r="C451" s="9">
        <v>3.67</v>
      </c>
      <c r="D451" s="2" t="s">
        <v>882</v>
      </c>
      <c r="E451" s="2" t="s">
        <v>836</v>
      </c>
      <c r="F451" s="2" t="s">
        <v>883</v>
      </c>
      <c r="G451" s="9">
        <v>215.0</v>
      </c>
      <c r="H451" s="9">
        <v>4.35</v>
      </c>
      <c r="I451" s="9">
        <v>212.0</v>
      </c>
      <c r="J451" s="1" t="s">
        <v>884</v>
      </c>
      <c r="K451" s="1" t="s">
        <v>1038</v>
      </c>
      <c r="L451" s="1" t="str">
        <f t="shared" si="1"/>
        <v>VER-TEX-SHEETSSplit California King,Split King</v>
      </c>
      <c r="M451" s="1" t="s">
        <v>888</v>
      </c>
      <c r="N451" s="6">
        <v>349.99</v>
      </c>
      <c r="O451" s="6">
        <v>349.99</v>
      </c>
      <c r="P451" s="1" t="s">
        <v>663</v>
      </c>
      <c r="Q451" s="7"/>
      <c r="R451" s="1" t="s">
        <v>886</v>
      </c>
      <c r="S451" s="7"/>
      <c r="T451" s="1" t="s">
        <v>851</v>
      </c>
      <c r="U451" s="7"/>
      <c r="V451" s="7"/>
      <c r="W451" s="7"/>
      <c r="X451" s="7"/>
      <c r="Y451" s="7"/>
      <c r="Z451" s="7"/>
      <c r="AA451" s="8" t="str">
        <f>IFERROR(VLOOKUP(A451,Sheet3!B:H,6,false),VLOOKUP(J451,Sheet2!A:C,2,false))</f>
        <v>https://bedgear.com/cdn/shop/files/01-MistyBlue-ProductShot-Stack_1af20743-1dcb-43b8-bd89-409acf86c5b2.jpg</v>
      </c>
      <c r="AB451" s="8" t="str">
        <f>IFERROR(VLOOKUP(A451,Sheet3!B:H,7,false),VLOOKUP(J451,Sheet2!A:C,3,false))</f>
        <v>https://bedgear.com/products/ver-tex-sheet-set</v>
      </c>
      <c r="AC451" s="8" t="str">
        <f t="shared" si="2"/>
        <v>https://rtg-275.myshopify.com/products/VER-TEX-SHEETS</v>
      </c>
      <c r="AD451" s="11" t="str">
        <f>vlookup(L451,'Python sheet'!$E$2:$F$373,2,0)</f>
        <v>#N/A</v>
      </c>
    </row>
    <row r="452">
      <c r="A452" s="4">
        <v>5.9914018E7</v>
      </c>
      <c r="B452" s="9">
        <v>1.0</v>
      </c>
      <c r="C452" s="9">
        <v>5.0</v>
      </c>
      <c r="D452" s="2" t="s">
        <v>856</v>
      </c>
      <c r="E452" s="2" t="s">
        <v>836</v>
      </c>
      <c r="F452" s="2" t="s">
        <v>857</v>
      </c>
      <c r="G452" s="9">
        <v>82.0</v>
      </c>
      <c r="H452" s="9">
        <v>4.3</v>
      </c>
      <c r="I452" s="9">
        <v>81.0</v>
      </c>
      <c r="J452" s="1" t="s">
        <v>858</v>
      </c>
      <c r="K452" s="1" t="s">
        <v>1036</v>
      </c>
      <c r="L452" s="1" t="str">
        <f t="shared" si="1"/>
        <v>BG-BASIC-SHEETSFull</v>
      </c>
      <c r="M452" s="1" t="s">
        <v>889</v>
      </c>
      <c r="N452" s="6">
        <v>74.99</v>
      </c>
      <c r="O452" s="6">
        <v>74.99</v>
      </c>
      <c r="P452" s="1" t="s">
        <v>663</v>
      </c>
      <c r="Q452" s="7"/>
      <c r="R452" s="1" t="s">
        <v>890</v>
      </c>
      <c r="S452" s="7"/>
      <c r="T452" s="1" t="s">
        <v>373</v>
      </c>
      <c r="U452" s="7"/>
      <c r="V452" s="7"/>
      <c r="W452" s="7"/>
      <c r="X452" s="7"/>
      <c r="Y452" s="7"/>
      <c r="Z452" s="7"/>
      <c r="AA452" s="8" t="str">
        <f>IFERROR(VLOOKUP(A452,Sheet3!B:H,6,false),VLOOKUP(J452,Sheet2!A:C,2,false))</f>
        <v>https://bedgear.com/cdn/shop/files/Medium_Beige-01-ProductShot-Stack_e8704345-f3db-4f47-af72-515431ff0e9a.jpg</v>
      </c>
      <c r="AB452" s="8" t="str">
        <f>IFERROR(VLOOKUP(A452,Sheet3!B:H,7,false),VLOOKUP(J452,Sheet2!A:C,3,false))</f>
        <v>https://bedgear.com/products/basic-sheet-set</v>
      </c>
      <c r="AC452" s="8" t="str">
        <f t="shared" si="2"/>
        <v>https://rtg-275.myshopify.com/products/BG-BASIC-SHEETS</v>
      </c>
      <c r="AD452" s="11" t="str">
        <f>vlookup(L452,'Python sheet'!$E$2:$F$373,2,0)</f>
        <v>#N/A</v>
      </c>
    </row>
    <row r="453">
      <c r="A453" s="4">
        <v>5.991402E7</v>
      </c>
      <c r="B453" s="9">
        <v>4.0</v>
      </c>
      <c r="C453" s="9">
        <v>5.0</v>
      </c>
      <c r="D453" s="2" t="s">
        <v>856</v>
      </c>
      <c r="E453" s="2" t="s">
        <v>836</v>
      </c>
      <c r="F453" s="2" t="s">
        <v>857</v>
      </c>
      <c r="G453" s="9">
        <v>82.0</v>
      </c>
      <c r="H453" s="9">
        <v>4.3</v>
      </c>
      <c r="I453" s="9">
        <v>78.0</v>
      </c>
      <c r="J453" s="1" t="s">
        <v>858</v>
      </c>
      <c r="K453" s="1" t="s">
        <v>1036</v>
      </c>
      <c r="L453" s="1" t="str">
        <f t="shared" si="1"/>
        <v>BG-BASIC-SHEETSQueen</v>
      </c>
      <c r="M453" s="1" t="s">
        <v>891</v>
      </c>
      <c r="N453" s="6">
        <v>79.99</v>
      </c>
      <c r="O453" s="6">
        <v>79.99</v>
      </c>
      <c r="P453" s="1" t="s">
        <v>663</v>
      </c>
      <c r="Q453" s="7"/>
      <c r="R453" s="1" t="s">
        <v>892</v>
      </c>
      <c r="S453" s="7"/>
      <c r="T453" s="1" t="s">
        <v>470</v>
      </c>
      <c r="U453" s="7"/>
      <c r="V453" s="7"/>
      <c r="W453" s="7"/>
      <c r="X453" s="7"/>
      <c r="Y453" s="7"/>
      <c r="Z453" s="7"/>
      <c r="AA453" s="8" t="str">
        <f>IFERROR(VLOOKUP(A453,Sheet3!B:H,6,false),VLOOKUP(J453,Sheet2!A:C,2,false))</f>
        <v>https://bedgear.com/cdn/shop/files/Medium_Beige-01-ProductShot-Stack_e8704345-f3db-4f47-af72-515431ff0e9a.jpg</v>
      </c>
      <c r="AB453" s="8" t="str">
        <f>IFERROR(VLOOKUP(A453,Sheet3!B:H,7,false),VLOOKUP(J453,Sheet2!A:C,3,false))</f>
        <v>https://bedgear.com/products/basic-sheet-set</v>
      </c>
      <c r="AC453" s="8" t="str">
        <f t="shared" si="2"/>
        <v>https://rtg-275.myshopify.com/products/BG-BASIC-SHEETS</v>
      </c>
      <c r="AD453" s="11" t="str">
        <f>vlookup(L453,'Python sheet'!$E$2:$F$373,2,0)</f>
        <v>#N/A</v>
      </c>
    </row>
    <row r="454">
      <c r="A454" s="4">
        <v>5.9914032E7</v>
      </c>
      <c r="B454" s="9">
        <v>5.0</v>
      </c>
      <c r="C454" s="9">
        <v>3.8</v>
      </c>
      <c r="D454" s="2" t="s">
        <v>856</v>
      </c>
      <c r="E454" s="2" t="s">
        <v>836</v>
      </c>
      <c r="F454" s="2" t="s">
        <v>857</v>
      </c>
      <c r="G454" s="9">
        <v>82.0</v>
      </c>
      <c r="H454" s="9">
        <v>4.3</v>
      </c>
      <c r="I454" s="9">
        <v>77.0</v>
      </c>
      <c r="J454" s="1" t="s">
        <v>858</v>
      </c>
      <c r="K454" s="1" t="s">
        <v>1036</v>
      </c>
      <c r="L454" s="1" t="str">
        <f t="shared" si="1"/>
        <v>BG-BASIC-SHEETSKing</v>
      </c>
      <c r="M454" s="1" t="s">
        <v>893</v>
      </c>
      <c r="N454" s="6">
        <v>99.99</v>
      </c>
      <c r="O454" s="6">
        <v>99.99</v>
      </c>
      <c r="P454" s="1" t="s">
        <v>663</v>
      </c>
      <c r="Q454" s="7"/>
      <c r="R454" s="1" t="s">
        <v>894</v>
      </c>
      <c r="S454" s="7"/>
      <c r="T454" s="1" t="s">
        <v>568</v>
      </c>
      <c r="U454" s="7"/>
      <c r="V454" s="7"/>
      <c r="W454" s="7"/>
      <c r="X454" s="7"/>
      <c r="Y454" s="7"/>
      <c r="Z454" s="7"/>
      <c r="AA454" s="8" t="str">
        <f>IFERROR(VLOOKUP(A454,Sheet3!B:H,6,false),VLOOKUP(J454,Sheet2!A:C,2,false))</f>
        <v>https://bedgear.com/cdn/shop/files/Medium_Beige-01-ProductShot-Stack_e8704345-f3db-4f47-af72-515431ff0e9a.jpg</v>
      </c>
      <c r="AB454" s="8" t="str">
        <f>IFERROR(VLOOKUP(A454,Sheet3!B:H,7,false),VLOOKUP(J454,Sheet2!A:C,3,false))</f>
        <v>https://bedgear.com/products/basic-sheet-set</v>
      </c>
      <c r="AC454" s="8" t="str">
        <f t="shared" si="2"/>
        <v>https://rtg-275.myshopify.com/products/BG-BASIC-SHEETS</v>
      </c>
      <c r="AD454" s="11" t="str">
        <f>vlookup(L454,'Python sheet'!$E$2:$F$373,2,0)</f>
        <v>#N/A</v>
      </c>
    </row>
    <row r="455">
      <c r="A455" s="4">
        <v>5.9914044E7</v>
      </c>
      <c r="B455" s="5"/>
      <c r="C455" s="5"/>
      <c r="D455" s="5"/>
      <c r="E455" s="5"/>
      <c r="F455" s="5"/>
      <c r="G455" s="5"/>
      <c r="H455" s="5"/>
      <c r="I455" s="5"/>
      <c r="J455" s="1" t="s">
        <v>858</v>
      </c>
      <c r="K455" s="1" t="s">
        <v>1036</v>
      </c>
      <c r="L455" s="1" t="str">
        <f t="shared" si="1"/>
        <v>BG-BASIC-SHEETSCalifornia King</v>
      </c>
      <c r="M455" s="1" t="s">
        <v>895</v>
      </c>
      <c r="N455" s="6">
        <v>99.99</v>
      </c>
      <c r="O455" s="6">
        <v>99.99</v>
      </c>
      <c r="P455" s="1" t="s">
        <v>663</v>
      </c>
      <c r="Q455" s="7"/>
      <c r="R455" s="1" t="s">
        <v>896</v>
      </c>
      <c r="S455" s="7"/>
      <c r="T455" s="1" t="s">
        <v>670</v>
      </c>
      <c r="U455" s="7"/>
      <c r="V455" s="7"/>
      <c r="W455" s="7"/>
      <c r="X455" s="7"/>
      <c r="Y455" s="7"/>
      <c r="Z455" s="7"/>
      <c r="AA455" s="8" t="str">
        <f>IFERROR(VLOOKUP(A455,Sheet3!B:H,6,false),VLOOKUP(J455,Sheet2!A:C,2,false))</f>
        <v>https://bedgear.com/cdn/shop/files/Medium_Beige-01-ProductShot-Stack_e8704345-f3db-4f47-af72-515431ff0e9a.jpg</v>
      </c>
      <c r="AB455" s="8" t="str">
        <f>IFERROR(VLOOKUP(A455,Sheet3!B:H,7,false),VLOOKUP(J455,Sheet2!A:C,3,false))</f>
        <v>https://bedgear.com/products/basic-sheet-set</v>
      </c>
      <c r="AC455" s="8" t="str">
        <f t="shared" si="2"/>
        <v>https://rtg-275.myshopify.com/products/BG-BASIC-SHEETS</v>
      </c>
      <c r="AD455" s="11" t="str">
        <f>vlookup(L455,'Python sheet'!$E$2:$F$373,2,0)</f>
        <v>#N/A</v>
      </c>
    </row>
    <row r="456">
      <c r="A456" s="4">
        <v>5.9915022E7</v>
      </c>
      <c r="B456" s="5"/>
      <c r="C456" s="5"/>
      <c r="D456" s="5"/>
      <c r="E456" s="5"/>
      <c r="F456" s="5"/>
      <c r="G456" s="5"/>
      <c r="H456" s="5"/>
      <c r="I456" s="5"/>
      <c r="J456" s="1" t="s">
        <v>858</v>
      </c>
      <c r="K456" s="1" t="s">
        <v>1036</v>
      </c>
      <c r="L456" s="1" t="str">
        <f t="shared" si="1"/>
        <v>BG-BASIC-SHEETSTwin</v>
      </c>
      <c r="M456" s="1" t="s">
        <v>859</v>
      </c>
      <c r="N456" s="6">
        <v>59.99</v>
      </c>
      <c r="O456" s="6">
        <v>59.99</v>
      </c>
      <c r="P456" s="1" t="s">
        <v>663</v>
      </c>
      <c r="Q456" s="7"/>
      <c r="R456" s="1" t="s">
        <v>897</v>
      </c>
      <c r="S456" s="7"/>
      <c r="T456" s="1" t="s">
        <v>242</v>
      </c>
      <c r="U456" s="7"/>
      <c r="V456" s="7"/>
      <c r="W456" s="7"/>
      <c r="X456" s="7"/>
      <c r="Y456" s="7"/>
      <c r="Z456" s="7"/>
      <c r="AA456" s="8" t="str">
        <f>IFERROR(VLOOKUP(A456,Sheet3!B:H,6,false),VLOOKUP(J456,Sheet2!A:C,2,false))</f>
        <v>https://bedgear.com/cdn/shop/files/Medium_Beige-01-ProductShot-Stack_e8704345-f3db-4f47-af72-515431ff0e9a.jpg</v>
      </c>
      <c r="AB456" s="8" t="str">
        <f>IFERROR(VLOOKUP(A456,Sheet3!B:H,7,false),VLOOKUP(J456,Sheet2!A:C,3,false))</f>
        <v>https://bedgear.com/products/basic-sheet-set</v>
      </c>
      <c r="AC456" s="8" t="str">
        <f t="shared" si="2"/>
        <v>https://rtg-275.myshopify.com/products/BG-BASIC-SHEETS</v>
      </c>
      <c r="AD456" s="11" t="str">
        <f>vlookup(L456,'Python sheet'!$E$2:$F$373,2,0)</f>
        <v>#N/A</v>
      </c>
    </row>
    <row r="457">
      <c r="A457" s="4">
        <v>5.9915034E7</v>
      </c>
      <c r="B457" s="9">
        <v>2.0</v>
      </c>
      <c r="C457" s="9">
        <v>4.0</v>
      </c>
      <c r="D457" s="2" t="s">
        <v>856</v>
      </c>
      <c r="E457" s="2" t="s">
        <v>836</v>
      </c>
      <c r="F457" s="2" t="s">
        <v>857</v>
      </c>
      <c r="G457" s="9">
        <v>82.0</v>
      </c>
      <c r="H457" s="9">
        <v>4.3</v>
      </c>
      <c r="I457" s="9">
        <v>80.0</v>
      </c>
      <c r="J457" s="1" t="s">
        <v>858</v>
      </c>
      <c r="K457" s="1" t="s">
        <v>1036</v>
      </c>
      <c r="L457" s="1" t="str">
        <f t="shared" si="1"/>
        <v>BG-BASIC-SHEETSTwin XL</v>
      </c>
      <c r="M457" s="1" t="s">
        <v>861</v>
      </c>
      <c r="N457" s="6">
        <v>64.99</v>
      </c>
      <c r="O457" s="6">
        <v>64.99</v>
      </c>
      <c r="P457" s="1" t="s">
        <v>663</v>
      </c>
      <c r="Q457" s="7"/>
      <c r="R457" s="1" t="s">
        <v>898</v>
      </c>
      <c r="S457" s="7"/>
      <c r="T457" s="1" t="s">
        <v>32</v>
      </c>
      <c r="U457" s="7"/>
      <c r="V457" s="7"/>
      <c r="W457" s="7"/>
      <c r="X457" s="7"/>
      <c r="Y457" s="7"/>
      <c r="Z457" s="7"/>
      <c r="AA457" s="8" t="str">
        <f>IFERROR(VLOOKUP(A457,Sheet3!B:H,6,false),VLOOKUP(J457,Sheet2!A:C,2,false))</f>
        <v>https://bedgear.com/cdn/shop/files/Medium_Beige-01-ProductShot-Stack_e8704345-f3db-4f47-af72-515431ff0e9a.jpg</v>
      </c>
      <c r="AB457" s="8" t="str">
        <f>IFERROR(VLOOKUP(A457,Sheet3!B:H,7,false),VLOOKUP(J457,Sheet2!A:C,3,false))</f>
        <v>https://bedgear.com/products/basic-sheet-set</v>
      </c>
      <c r="AC457" s="8" t="str">
        <f t="shared" si="2"/>
        <v>https://rtg-275.myshopify.com/products/BG-BASIC-SHEETS</v>
      </c>
      <c r="AD457" s="11" t="str">
        <f>vlookup(L457,'Python sheet'!$E$2:$F$373,2,0)</f>
        <v>#N/A</v>
      </c>
    </row>
    <row r="458">
      <c r="A458" s="4">
        <v>5.9915046E7</v>
      </c>
      <c r="B458" s="9">
        <v>2.0</v>
      </c>
      <c r="C458" s="9">
        <v>4.5</v>
      </c>
      <c r="D458" s="2" t="s">
        <v>856</v>
      </c>
      <c r="E458" s="2" t="s">
        <v>836</v>
      </c>
      <c r="F458" s="2" t="s">
        <v>857</v>
      </c>
      <c r="G458" s="9">
        <v>82.0</v>
      </c>
      <c r="H458" s="9">
        <v>4.3</v>
      </c>
      <c r="I458" s="9">
        <v>80.0</v>
      </c>
      <c r="J458" s="1" t="s">
        <v>858</v>
      </c>
      <c r="K458" s="1" t="s">
        <v>1036</v>
      </c>
      <c r="L458" s="1" t="str">
        <f t="shared" si="1"/>
        <v>BG-BASIC-SHEETSFull</v>
      </c>
      <c r="M458" s="1" t="s">
        <v>889</v>
      </c>
      <c r="N458" s="6">
        <v>74.99</v>
      </c>
      <c r="O458" s="6">
        <v>74.99</v>
      </c>
      <c r="P458" s="1" t="s">
        <v>663</v>
      </c>
      <c r="Q458" s="7"/>
      <c r="R458" s="1" t="s">
        <v>899</v>
      </c>
      <c r="S458" s="7"/>
      <c r="T458" s="1" t="s">
        <v>373</v>
      </c>
      <c r="U458" s="7"/>
      <c r="V458" s="7"/>
      <c r="W458" s="7"/>
      <c r="X458" s="7"/>
      <c r="Y458" s="7"/>
      <c r="Z458" s="7"/>
      <c r="AA458" s="8" t="str">
        <f>IFERROR(VLOOKUP(A458,Sheet3!B:H,6,false),VLOOKUP(J458,Sheet2!A:C,2,false))</f>
        <v>https://bedgear.com/cdn/shop/files/Medium_Beige-01-ProductShot-Stack_e8704345-f3db-4f47-af72-515431ff0e9a.jpg</v>
      </c>
      <c r="AB458" s="8" t="str">
        <f>IFERROR(VLOOKUP(A458,Sheet3!B:H,7,false),VLOOKUP(J458,Sheet2!A:C,3,false))</f>
        <v>https://bedgear.com/products/basic-sheet-set</v>
      </c>
      <c r="AC458" s="8" t="str">
        <f t="shared" si="2"/>
        <v>https://rtg-275.myshopify.com/products/BG-BASIC-SHEETS</v>
      </c>
      <c r="AD458" s="11" t="str">
        <f>vlookup(L458,'Python sheet'!$E$2:$F$373,2,0)</f>
        <v>#N/A</v>
      </c>
    </row>
    <row r="459">
      <c r="A459" s="4">
        <v>5.9915058E7</v>
      </c>
      <c r="B459" s="9">
        <v>11.0</v>
      </c>
      <c r="C459" s="9">
        <v>3.91</v>
      </c>
      <c r="D459" s="2" t="s">
        <v>856</v>
      </c>
      <c r="E459" s="2" t="s">
        <v>836</v>
      </c>
      <c r="F459" s="2" t="s">
        <v>857</v>
      </c>
      <c r="G459" s="9">
        <v>82.0</v>
      </c>
      <c r="H459" s="9">
        <v>4.3</v>
      </c>
      <c r="I459" s="9">
        <v>71.0</v>
      </c>
      <c r="J459" s="1" t="s">
        <v>858</v>
      </c>
      <c r="K459" s="1" t="s">
        <v>1036</v>
      </c>
      <c r="L459" s="1" t="str">
        <f t="shared" si="1"/>
        <v>BG-BASIC-SHEETSQueen</v>
      </c>
      <c r="M459" s="1" t="s">
        <v>891</v>
      </c>
      <c r="N459" s="6">
        <v>79.99</v>
      </c>
      <c r="O459" s="6">
        <v>79.99</v>
      </c>
      <c r="P459" s="1" t="s">
        <v>663</v>
      </c>
      <c r="Q459" s="7"/>
      <c r="R459" s="1" t="s">
        <v>900</v>
      </c>
      <c r="S459" s="7"/>
      <c r="T459" s="1" t="s">
        <v>470</v>
      </c>
      <c r="U459" s="7"/>
      <c r="V459" s="7"/>
      <c r="W459" s="7"/>
      <c r="X459" s="7"/>
      <c r="Y459" s="7"/>
      <c r="Z459" s="7"/>
      <c r="AA459" s="8" t="str">
        <f>IFERROR(VLOOKUP(A459,Sheet3!B:H,6,false),VLOOKUP(J459,Sheet2!A:C,2,false))</f>
        <v>https://bedgear.com/cdn/shop/files/Medium_Beige-01-ProductShot-Stack_e8704345-f3db-4f47-af72-515431ff0e9a.jpg</v>
      </c>
      <c r="AB459" s="8" t="str">
        <f>IFERROR(VLOOKUP(A459,Sheet3!B:H,7,false),VLOOKUP(J459,Sheet2!A:C,3,false))</f>
        <v>https://bedgear.com/products/basic-sheet-set</v>
      </c>
      <c r="AC459" s="8" t="str">
        <f t="shared" si="2"/>
        <v>https://rtg-275.myshopify.com/products/BG-BASIC-SHEETS</v>
      </c>
      <c r="AD459" s="11" t="str">
        <f>vlookup(L459,'Python sheet'!$E$2:$F$373,2,0)</f>
        <v>#N/A</v>
      </c>
    </row>
    <row r="460">
      <c r="A460" s="4">
        <v>5.991506E7</v>
      </c>
      <c r="B460" s="9">
        <v>8.0</v>
      </c>
      <c r="C460" s="9">
        <v>4.88</v>
      </c>
      <c r="D460" s="2" t="s">
        <v>856</v>
      </c>
      <c r="E460" s="2" t="s">
        <v>836</v>
      </c>
      <c r="F460" s="2" t="s">
        <v>857</v>
      </c>
      <c r="G460" s="9">
        <v>82.0</v>
      </c>
      <c r="H460" s="9">
        <v>4.3</v>
      </c>
      <c r="I460" s="9">
        <v>74.0</v>
      </c>
      <c r="J460" s="1" t="s">
        <v>858</v>
      </c>
      <c r="K460" s="1" t="s">
        <v>1036</v>
      </c>
      <c r="L460" s="1" t="str">
        <f t="shared" si="1"/>
        <v>BG-BASIC-SHEETSKing</v>
      </c>
      <c r="M460" s="1" t="s">
        <v>893</v>
      </c>
      <c r="N460" s="6">
        <v>99.99</v>
      </c>
      <c r="O460" s="6">
        <v>99.99</v>
      </c>
      <c r="P460" s="1" t="s">
        <v>663</v>
      </c>
      <c r="Q460" s="7"/>
      <c r="R460" s="1" t="s">
        <v>901</v>
      </c>
      <c r="S460" s="7"/>
      <c r="T460" s="1" t="s">
        <v>568</v>
      </c>
      <c r="U460" s="7"/>
      <c r="V460" s="7"/>
      <c r="W460" s="7"/>
      <c r="X460" s="7"/>
      <c r="Y460" s="7"/>
      <c r="Z460" s="7"/>
      <c r="AA460" s="8" t="str">
        <f>IFERROR(VLOOKUP(A460,Sheet3!B:H,6,false),VLOOKUP(J460,Sheet2!A:C,2,false))</f>
        <v>https://bedgear.com/cdn/shop/files/Medium_Beige-01-ProductShot-Stack_e8704345-f3db-4f47-af72-515431ff0e9a.jpg</v>
      </c>
      <c r="AB460" s="8" t="str">
        <f>IFERROR(VLOOKUP(A460,Sheet3!B:H,7,false),VLOOKUP(J460,Sheet2!A:C,3,false))</f>
        <v>https://bedgear.com/products/basic-sheet-set</v>
      </c>
      <c r="AC460" s="8" t="str">
        <f t="shared" si="2"/>
        <v>https://rtg-275.myshopify.com/products/BG-BASIC-SHEETS</v>
      </c>
      <c r="AD460" s="11" t="str">
        <f>vlookup(L460,'Python sheet'!$E$2:$F$373,2,0)</f>
        <v>#N/A</v>
      </c>
    </row>
    <row r="461">
      <c r="A461" s="4">
        <v>5.9915072E7</v>
      </c>
      <c r="B461" s="9">
        <v>1.0</v>
      </c>
      <c r="C461" s="9">
        <v>5.0</v>
      </c>
      <c r="D461" s="2" t="s">
        <v>856</v>
      </c>
      <c r="E461" s="2" t="s">
        <v>836</v>
      </c>
      <c r="F461" s="2" t="s">
        <v>857</v>
      </c>
      <c r="G461" s="9">
        <v>82.0</v>
      </c>
      <c r="H461" s="9">
        <v>4.3</v>
      </c>
      <c r="I461" s="9">
        <v>81.0</v>
      </c>
      <c r="J461" s="1" t="s">
        <v>858</v>
      </c>
      <c r="K461" s="1" t="s">
        <v>1036</v>
      </c>
      <c r="L461" s="1" t="str">
        <f t="shared" si="1"/>
        <v>BG-BASIC-SHEETSCalifornia King</v>
      </c>
      <c r="M461" s="1" t="s">
        <v>895</v>
      </c>
      <c r="N461" s="6">
        <v>99.99</v>
      </c>
      <c r="O461" s="6">
        <v>99.99</v>
      </c>
      <c r="P461" s="1" t="s">
        <v>663</v>
      </c>
      <c r="Q461" s="7"/>
      <c r="R461" s="1" t="s">
        <v>902</v>
      </c>
      <c r="S461" s="7"/>
      <c r="T461" s="1" t="s">
        <v>670</v>
      </c>
      <c r="U461" s="7"/>
      <c r="V461" s="7"/>
      <c r="W461" s="7"/>
      <c r="X461" s="7"/>
      <c r="Y461" s="7"/>
      <c r="Z461" s="7"/>
      <c r="AA461" s="8" t="str">
        <f>IFERROR(VLOOKUP(A461,Sheet3!B:H,6,false),VLOOKUP(J461,Sheet2!A:C,2,false))</f>
        <v>https://bedgear.com/cdn/shop/files/Medium_Beige-01-ProductShot-Stack_e8704345-f3db-4f47-af72-515431ff0e9a.jpg</v>
      </c>
      <c r="AB461" s="8" t="str">
        <f>IFERROR(VLOOKUP(A461,Sheet3!B:H,7,false),VLOOKUP(J461,Sheet2!A:C,3,false))</f>
        <v>https://bedgear.com/products/basic-sheet-set</v>
      </c>
      <c r="AC461" s="8" t="str">
        <f t="shared" si="2"/>
        <v>https://rtg-275.myshopify.com/products/BG-BASIC-SHEETS</v>
      </c>
      <c r="AD461" s="11" t="str">
        <f>vlookup(L461,'Python sheet'!$E$2:$F$373,2,0)</f>
        <v>#N/A</v>
      </c>
    </row>
    <row r="462">
      <c r="A462" s="4">
        <v>5.9915096E7</v>
      </c>
      <c r="B462" s="9">
        <v>1.0</v>
      </c>
      <c r="C462" s="9">
        <v>5.0</v>
      </c>
      <c r="D462" s="2" t="s">
        <v>856</v>
      </c>
      <c r="E462" s="2" t="s">
        <v>836</v>
      </c>
      <c r="F462" s="2" t="s">
        <v>857</v>
      </c>
      <c r="G462" s="9">
        <v>82.0</v>
      </c>
      <c r="H462" s="9">
        <v>4.3</v>
      </c>
      <c r="I462" s="9">
        <v>81.0</v>
      </c>
      <c r="J462" s="1" t="s">
        <v>858</v>
      </c>
      <c r="K462" s="1" t="s">
        <v>1036</v>
      </c>
      <c r="L462" s="1" t="str">
        <f t="shared" si="1"/>
        <v>BG-BASIC-SHEETSTwin</v>
      </c>
      <c r="M462" s="1" t="s">
        <v>859</v>
      </c>
      <c r="N462" s="6">
        <v>59.99</v>
      </c>
      <c r="O462" s="6">
        <v>59.99</v>
      </c>
      <c r="P462" s="1" t="s">
        <v>663</v>
      </c>
      <c r="Q462" s="7"/>
      <c r="R462" s="1" t="s">
        <v>903</v>
      </c>
      <c r="S462" s="7"/>
      <c r="T462" s="1" t="s">
        <v>242</v>
      </c>
      <c r="U462" s="7"/>
      <c r="V462" s="7"/>
      <c r="W462" s="7"/>
      <c r="X462" s="7"/>
      <c r="Y462" s="7"/>
      <c r="Z462" s="7"/>
      <c r="AA462" s="8" t="str">
        <f>IFERROR(VLOOKUP(A462,Sheet3!B:H,6,false),VLOOKUP(J462,Sheet2!A:C,2,false))</f>
        <v>https://bedgear.com/cdn/shop/files/Medium_Beige-01-ProductShot-Stack_e8704345-f3db-4f47-af72-515431ff0e9a.jpg</v>
      </c>
      <c r="AB462" s="8" t="str">
        <f>IFERROR(VLOOKUP(A462,Sheet3!B:H,7,false),VLOOKUP(J462,Sheet2!A:C,3,false))</f>
        <v>https://bedgear.com/products/basic-sheet-set</v>
      </c>
      <c r="AC462" s="8" t="str">
        <f t="shared" si="2"/>
        <v>https://rtg-275.myshopify.com/products/BG-BASIC-SHEETS</v>
      </c>
      <c r="AD462" s="11" t="str">
        <f>vlookup(L462,'Python sheet'!$E$2:$F$373,2,0)</f>
        <v>#N/A</v>
      </c>
    </row>
    <row r="463">
      <c r="A463" s="4">
        <v>5.9915109E7</v>
      </c>
      <c r="B463" s="9">
        <v>1.0</v>
      </c>
      <c r="C463" s="9">
        <v>1.0</v>
      </c>
      <c r="D463" s="2" t="s">
        <v>856</v>
      </c>
      <c r="E463" s="2" t="s">
        <v>836</v>
      </c>
      <c r="F463" s="2" t="s">
        <v>857</v>
      </c>
      <c r="G463" s="9">
        <v>82.0</v>
      </c>
      <c r="H463" s="9">
        <v>4.3</v>
      </c>
      <c r="I463" s="9">
        <v>81.0</v>
      </c>
      <c r="J463" s="1" t="s">
        <v>858</v>
      </c>
      <c r="K463" s="1" t="s">
        <v>1036</v>
      </c>
      <c r="L463" s="1" t="str">
        <f t="shared" si="1"/>
        <v>BG-BASIC-SHEETSTwin XL</v>
      </c>
      <c r="M463" s="1" t="s">
        <v>861</v>
      </c>
      <c r="N463" s="6">
        <v>64.99</v>
      </c>
      <c r="O463" s="6">
        <v>64.99</v>
      </c>
      <c r="P463" s="1" t="s">
        <v>663</v>
      </c>
      <c r="Q463" s="7"/>
      <c r="R463" s="1" t="s">
        <v>903</v>
      </c>
      <c r="S463" s="7"/>
      <c r="T463" s="1" t="s">
        <v>32</v>
      </c>
      <c r="U463" s="7"/>
      <c r="V463" s="7"/>
      <c r="W463" s="7"/>
      <c r="X463" s="7"/>
      <c r="Y463" s="7"/>
      <c r="Z463" s="7"/>
      <c r="AA463" s="8" t="str">
        <f>IFERROR(VLOOKUP(A463,Sheet3!B:H,6,false),VLOOKUP(J463,Sheet2!A:C,2,false))</f>
        <v>https://bedgear.com/cdn/shop/files/Medium_Beige-01-ProductShot-Stack_e8704345-f3db-4f47-af72-515431ff0e9a.jpg</v>
      </c>
      <c r="AB463" s="8" t="str">
        <f>IFERROR(VLOOKUP(A463,Sheet3!B:H,7,false),VLOOKUP(J463,Sheet2!A:C,3,false))</f>
        <v>https://bedgear.com/products/basic-sheet-set</v>
      </c>
      <c r="AC463" s="8" t="str">
        <f t="shared" si="2"/>
        <v>https://rtg-275.myshopify.com/products/BG-BASIC-SHEETS</v>
      </c>
      <c r="AD463" s="11" t="str">
        <f>vlookup(L463,'Python sheet'!$E$2:$F$373,2,0)</f>
        <v>#N/A</v>
      </c>
    </row>
    <row r="464">
      <c r="A464" s="4">
        <v>5.9915111E7</v>
      </c>
      <c r="B464" s="9">
        <v>1.0</v>
      </c>
      <c r="C464" s="9">
        <v>5.0</v>
      </c>
      <c r="D464" s="2" t="s">
        <v>856</v>
      </c>
      <c r="E464" s="2" t="s">
        <v>836</v>
      </c>
      <c r="F464" s="2" t="s">
        <v>857</v>
      </c>
      <c r="G464" s="9">
        <v>82.0</v>
      </c>
      <c r="H464" s="9">
        <v>4.3</v>
      </c>
      <c r="I464" s="9">
        <v>81.0</v>
      </c>
      <c r="J464" s="1" t="s">
        <v>858</v>
      </c>
      <c r="K464" s="1" t="s">
        <v>1036</v>
      </c>
      <c r="L464" s="1" t="str">
        <f t="shared" si="1"/>
        <v>BG-BASIC-SHEETSFull</v>
      </c>
      <c r="M464" s="1" t="s">
        <v>889</v>
      </c>
      <c r="N464" s="6">
        <v>74.99</v>
      </c>
      <c r="O464" s="6">
        <v>74.99</v>
      </c>
      <c r="P464" s="1" t="s">
        <v>663</v>
      </c>
      <c r="Q464" s="7"/>
      <c r="R464" s="1" t="s">
        <v>904</v>
      </c>
      <c r="S464" s="7"/>
      <c r="T464" s="1" t="s">
        <v>373</v>
      </c>
      <c r="U464" s="7"/>
      <c r="V464" s="7"/>
      <c r="W464" s="7"/>
      <c r="X464" s="7"/>
      <c r="Y464" s="7"/>
      <c r="Z464" s="7"/>
      <c r="AA464" s="8" t="str">
        <f>IFERROR(VLOOKUP(A464,Sheet3!B:H,6,false),VLOOKUP(J464,Sheet2!A:C,2,false))</f>
        <v>https://bedgear.com/cdn/shop/files/Medium_Beige-01-ProductShot-Stack_e8704345-f3db-4f47-af72-515431ff0e9a.jpg</v>
      </c>
      <c r="AB464" s="8" t="str">
        <f>IFERROR(VLOOKUP(A464,Sheet3!B:H,7,false),VLOOKUP(J464,Sheet2!A:C,3,false))</f>
        <v>https://bedgear.com/products/basic-sheet-set</v>
      </c>
      <c r="AC464" s="8" t="str">
        <f t="shared" si="2"/>
        <v>https://rtg-275.myshopify.com/products/BG-BASIC-SHEETS</v>
      </c>
      <c r="AD464" s="11" t="str">
        <f>vlookup(L464,'Python sheet'!$E$2:$F$373,2,0)</f>
        <v>#N/A</v>
      </c>
    </row>
    <row r="465">
      <c r="A465" s="4">
        <v>5.9915123E7</v>
      </c>
      <c r="B465" s="9">
        <v>5.0</v>
      </c>
      <c r="C465" s="9">
        <v>4.8</v>
      </c>
      <c r="D465" s="2" t="s">
        <v>856</v>
      </c>
      <c r="E465" s="2" t="s">
        <v>836</v>
      </c>
      <c r="F465" s="2" t="s">
        <v>857</v>
      </c>
      <c r="G465" s="9">
        <v>82.0</v>
      </c>
      <c r="H465" s="9">
        <v>4.3</v>
      </c>
      <c r="I465" s="9">
        <v>77.0</v>
      </c>
      <c r="J465" s="1" t="s">
        <v>858</v>
      </c>
      <c r="K465" s="1" t="s">
        <v>1036</v>
      </c>
      <c r="L465" s="1" t="str">
        <f t="shared" si="1"/>
        <v>BG-BASIC-SHEETSQueen</v>
      </c>
      <c r="M465" s="1" t="s">
        <v>891</v>
      </c>
      <c r="N465" s="6">
        <v>79.99</v>
      </c>
      <c r="O465" s="6">
        <v>79.99</v>
      </c>
      <c r="P465" s="1" t="s">
        <v>663</v>
      </c>
      <c r="Q465" s="7"/>
      <c r="R465" s="1" t="s">
        <v>904</v>
      </c>
      <c r="S465" s="7"/>
      <c r="T465" s="1" t="s">
        <v>470</v>
      </c>
      <c r="U465" s="7"/>
      <c r="V465" s="7"/>
      <c r="W465" s="7"/>
      <c r="X465" s="7"/>
      <c r="Y465" s="7"/>
      <c r="Z465" s="7"/>
      <c r="AA465" s="8" t="str">
        <f>IFERROR(VLOOKUP(A465,Sheet3!B:H,6,false),VLOOKUP(J465,Sheet2!A:C,2,false))</f>
        <v>https://bedgear.com/cdn/shop/files/Medium_Beige-01-ProductShot-Stack_e8704345-f3db-4f47-af72-515431ff0e9a.jpg</v>
      </c>
      <c r="AB465" s="8" t="str">
        <f>IFERROR(VLOOKUP(A465,Sheet3!B:H,7,false),VLOOKUP(J465,Sheet2!A:C,3,false))</f>
        <v>https://bedgear.com/products/basic-sheet-set</v>
      </c>
      <c r="AC465" s="8" t="str">
        <f t="shared" si="2"/>
        <v>https://rtg-275.myshopify.com/products/BG-BASIC-SHEETS</v>
      </c>
      <c r="AD465" s="11" t="str">
        <f>vlookup(L465,'Python sheet'!$E$2:$F$373,2,0)</f>
        <v>#N/A</v>
      </c>
    </row>
    <row r="466">
      <c r="A466" s="4">
        <v>5.9915135E7</v>
      </c>
      <c r="B466" s="9">
        <v>4.0</v>
      </c>
      <c r="C466" s="9">
        <v>2.75</v>
      </c>
      <c r="D466" s="2" t="s">
        <v>856</v>
      </c>
      <c r="E466" s="2" t="s">
        <v>836</v>
      </c>
      <c r="F466" s="2" t="s">
        <v>857</v>
      </c>
      <c r="G466" s="9">
        <v>82.0</v>
      </c>
      <c r="H466" s="9">
        <v>4.3</v>
      </c>
      <c r="I466" s="9">
        <v>78.0</v>
      </c>
      <c r="J466" s="1" t="s">
        <v>858</v>
      </c>
      <c r="K466" s="1" t="s">
        <v>1036</v>
      </c>
      <c r="L466" s="1" t="str">
        <f t="shared" si="1"/>
        <v>BG-BASIC-SHEETSKing</v>
      </c>
      <c r="M466" s="1" t="s">
        <v>893</v>
      </c>
      <c r="N466" s="6">
        <v>99.99</v>
      </c>
      <c r="O466" s="6">
        <v>99.99</v>
      </c>
      <c r="P466" s="1" t="s">
        <v>663</v>
      </c>
      <c r="Q466" s="7"/>
      <c r="R466" s="1" t="s">
        <v>904</v>
      </c>
      <c r="S466" s="7"/>
      <c r="T466" s="1" t="s">
        <v>568</v>
      </c>
      <c r="U466" s="7"/>
      <c r="V466" s="7"/>
      <c r="W466" s="7"/>
      <c r="X466" s="7"/>
      <c r="Y466" s="7"/>
      <c r="Z466" s="7"/>
      <c r="AA466" s="8" t="str">
        <f>IFERROR(VLOOKUP(A466,Sheet3!B:H,6,false),VLOOKUP(J466,Sheet2!A:C,2,false))</f>
        <v>https://bedgear.com/cdn/shop/files/Medium_Beige-01-ProductShot-Stack_e8704345-f3db-4f47-af72-515431ff0e9a.jpg</v>
      </c>
      <c r="AB466" s="8" t="str">
        <f>IFERROR(VLOOKUP(A466,Sheet3!B:H,7,false),VLOOKUP(J466,Sheet2!A:C,3,false))</f>
        <v>https://bedgear.com/products/basic-sheet-set</v>
      </c>
      <c r="AC466" s="8" t="str">
        <f t="shared" si="2"/>
        <v>https://rtg-275.myshopify.com/products/BG-BASIC-SHEETS</v>
      </c>
      <c r="AD466" s="11" t="str">
        <f>vlookup(L466,'Python sheet'!$E$2:$F$373,2,0)</f>
        <v>#N/A</v>
      </c>
    </row>
    <row r="467">
      <c r="A467" s="4">
        <v>5.9915147E7</v>
      </c>
      <c r="B467" s="5"/>
      <c r="C467" s="5"/>
      <c r="D467" s="5"/>
      <c r="E467" s="5"/>
      <c r="F467" s="5"/>
      <c r="G467" s="5"/>
      <c r="H467" s="5"/>
      <c r="I467" s="5"/>
      <c r="J467" s="1" t="s">
        <v>858</v>
      </c>
      <c r="K467" s="1" t="s">
        <v>1036</v>
      </c>
      <c r="L467" s="1" t="str">
        <f t="shared" si="1"/>
        <v>BG-BASIC-SHEETSCalifornia King</v>
      </c>
      <c r="M467" s="1" t="s">
        <v>895</v>
      </c>
      <c r="N467" s="6">
        <v>99.99</v>
      </c>
      <c r="O467" s="6">
        <v>99.99</v>
      </c>
      <c r="P467" s="1" t="s">
        <v>663</v>
      </c>
      <c r="Q467" s="7"/>
      <c r="R467" s="1" t="s">
        <v>904</v>
      </c>
      <c r="S467" s="7"/>
      <c r="T467" s="1" t="s">
        <v>670</v>
      </c>
      <c r="U467" s="7"/>
      <c r="V467" s="7"/>
      <c r="W467" s="7"/>
      <c r="X467" s="7"/>
      <c r="Y467" s="7"/>
      <c r="Z467" s="7"/>
      <c r="AA467" s="8" t="str">
        <f>IFERROR(VLOOKUP(A467,Sheet3!B:H,6,false),VLOOKUP(J467,Sheet2!A:C,2,false))</f>
        <v>https://bedgear.com/cdn/shop/files/Medium_Beige-01-ProductShot-Stack_e8704345-f3db-4f47-af72-515431ff0e9a.jpg</v>
      </c>
      <c r="AB467" s="8" t="str">
        <f>IFERROR(VLOOKUP(A467,Sheet3!B:H,7,false),VLOOKUP(J467,Sheet2!A:C,3,false))</f>
        <v>https://bedgear.com/products/basic-sheet-set</v>
      </c>
      <c r="AC467" s="8" t="str">
        <f t="shared" si="2"/>
        <v>https://rtg-275.myshopify.com/products/BG-BASIC-SHEETS</v>
      </c>
      <c r="AD467" s="11" t="str">
        <f>vlookup(L467,'Python sheet'!$E$2:$F$373,2,0)</f>
        <v>#N/A</v>
      </c>
    </row>
    <row r="468">
      <c r="A468" s="4">
        <v>5.992577E7</v>
      </c>
      <c r="B468" s="5"/>
      <c r="C468" s="5"/>
      <c r="D468" s="5"/>
      <c r="E468" s="5"/>
      <c r="F468" s="5"/>
      <c r="G468" s="5"/>
      <c r="H468" s="5"/>
      <c r="I468" s="5"/>
      <c r="J468" s="1" t="s">
        <v>838</v>
      </c>
      <c r="K468" s="1" t="s">
        <v>1035</v>
      </c>
      <c r="L468" s="1" t="str">
        <f t="shared" si="1"/>
        <v>DRI-TEC-SHEETSTwin,Twin XL</v>
      </c>
      <c r="M468" s="1" t="s">
        <v>905</v>
      </c>
      <c r="N468" s="6">
        <v>199.99</v>
      </c>
      <c r="O468" s="6">
        <v>199.99</v>
      </c>
      <c r="P468" s="1" t="s">
        <v>663</v>
      </c>
      <c r="Q468" s="7"/>
      <c r="R468" s="1" t="s">
        <v>852</v>
      </c>
      <c r="S468" s="7"/>
      <c r="T468" s="1" t="s">
        <v>845</v>
      </c>
      <c r="U468" s="7"/>
      <c r="V468" s="7"/>
      <c r="W468" s="7"/>
      <c r="X468" s="7"/>
      <c r="Y468" s="7"/>
      <c r="Z468" s="7"/>
      <c r="AA468" s="8" t="str">
        <f>IFERROR(VLOOKUP(A468,Sheet3!B:H,6,false),VLOOKUP(J468,Sheet2!A:C,2,false))</f>
        <v>https://bedgear.com/cdn/shop/files/01-Grey-ProductShot-Stack_de9d1597-1c50-403a-a9af-2923ed02cd42.jpg</v>
      </c>
      <c r="AB468" s="8" t="str">
        <f>IFERROR(VLOOKUP(A468,Sheet3!B:H,7,false),VLOOKUP(J468,Sheet2!A:C,3,false))</f>
        <v>https://bedgear.com/products/dri-tec-sheet-set</v>
      </c>
      <c r="AC468" s="8" t="str">
        <f t="shared" si="2"/>
        <v>https://rtg-275.myshopify.com/products/DRI-TEC-SHEETS</v>
      </c>
      <c r="AD468" s="11" t="str">
        <f>vlookup(L468,'Python sheet'!$E$2:$F$373,2,0)</f>
        <v>#N/A</v>
      </c>
    </row>
    <row r="469">
      <c r="A469" s="4">
        <v>5.9925782E7</v>
      </c>
      <c r="B469" s="9">
        <v>1.0</v>
      </c>
      <c r="C469" s="9">
        <v>5.0</v>
      </c>
      <c r="D469" s="2" t="s">
        <v>835</v>
      </c>
      <c r="E469" s="2" t="s">
        <v>836</v>
      </c>
      <c r="F469" s="2" t="s">
        <v>837</v>
      </c>
      <c r="G469" s="9">
        <v>139.0</v>
      </c>
      <c r="H469" s="9">
        <v>4.06</v>
      </c>
      <c r="I469" s="9">
        <v>138.0</v>
      </c>
      <c r="J469" s="1" t="s">
        <v>838</v>
      </c>
      <c r="K469" s="1" t="s">
        <v>1035</v>
      </c>
      <c r="L469" s="1" t="str">
        <f t="shared" si="1"/>
        <v>DRI-TEC-SHEETSFull</v>
      </c>
      <c r="M469" s="1" t="s">
        <v>906</v>
      </c>
      <c r="N469" s="6">
        <v>229.99</v>
      </c>
      <c r="O469" s="6">
        <v>229.99</v>
      </c>
      <c r="P469" s="1" t="s">
        <v>663</v>
      </c>
      <c r="Q469" s="7"/>
      <c r="R469" s="1" t="s">
        <v>853</v>
      </c>
      <c r="S469" s="7"/>
      <c r="T469" s="1" t="s">
        <v>373</v>
      </c>
      <c r="U469" s="7"/>
      <c r="V469" s="7"/>
      <c r="W469" s="7"/>
      <c r="X469" s="7"/>
      <c r="Y469" s="7"/>
      <c r="Z469" s="7"/>
      <c r="AA469" s="8" t="str">
        <f>IFERROR(VLOOKUP(A469,Sheet3!B:H,6,false),VLOOKUP(J469,Sheet2!A:C,2,false))</f>
        <v>https://bedgear.com/cdn/shop/files/01-Grey-ProductShot-Stack_de9d1597-1c50-403a-a9af-2923ed02cd42.jpg</v>
      </c>
      <c r="AB469" s="8" t="str">
        <f>IFERROR(VLOOKUP(A469,Sheet3!B:H,7,false),VLOOKUP(J469,Sheet2!A:C,3,false))</f>
        <v>https://bedgear.com/products/dri-tec-sheet-set</v>
      </c>
      <c r="AC469" s="8" t="str">
        <f t="shared" si="2"/>
        <v>https://rtg-275.myshopify.com/products/DRI-TEC-SHEETS</v>
      </c>
      <c r="AD469" s="11" t="str">
        <f>vlookup(L469,'Python sheet'!$E$2:$F$373,2,0)</f>
        <v>#N/A</v>
      </c>
    </row>
    <row r="470">
      <c r="A470" s="4">
        <v>5.9925845E7</v>
      </c>
      <c r="B470" s="5"/>
      <c r="C470" s="5"/>
      <c r="D470" s="5"/>
      <c r="E470" s="5"/>
      <c r="F470" s="5"/>
      <c r="G470" s="5"/>
      <c r="H470" s="5"/>
      <c r="I470" s="5"/>
      <c r="J470" s="1" t="s">
        <v>838</v>
      </c>
      <c r="K470" s="1" t="s">
        <v>1035</v>
      </c>
      <c r="L470" s="1" t="str">
        <f t="shared" si="1"/>
        <v>DRI-TEC-SHEETSQueen</v>
      </c>
      <c r="M470" s="1" t="s">
        <v>841</v>
      </c>
      <c r="N470" s="6">
        <v>249.99</v>
      </c>
      <c r="O470" s="6">
        <v>249.99</v>
      </c>
      <c r="P470" s="1" t="s">
        <v>663</v>
      </c>
      <c r="Q470" s="7"/>
      <c r="R470" s="1" t="s">
        <v>853</v>
      </c>
      <c r="S470" s="7"/>
      <c r="T470" s="1" t="s">
        <v>470</v>
      </c>
      <c r="U470" s="7"/>
      <c r="V470" s="7"/>
      <c r="W470" s="7"/>
      <c r="X470" s="7"/>
      <c r="Y470" s="7"/>
      <c r="Z470" s="7"/>
      <c r="AA470" s="8" t="str">
        <f>IFERROR(VLOOKUP(A470,Sheet3!B:H,6,false),VLOOKUP(J470,Sheet2!A:C,2,false))</f>
        <v>https://bedgear.com/cdn/shop/files/01-Grey-ProductShot-Stack_de9d1597-1c50-403a-a9af-2923ed02cd42.jpg</v>
      </c>
      <c r="AB470" s="8" t="str">
        <f>IFERROR(VLOOKUP(A470,Sheet3!B:H,7,false),VLOOKUP(J470,Sheet2!A:C,3,false))</f>
        <v>https://bedgear.com/products/dri-tec-sheet-set</v>
      </c>
      <c r="AC470" s="8" t="str">
        <f t="shared" si="2"/>
        <v>https://rtg-275.myshopify.com/products/DRI-TEC-SHEETS</v>
      </c>
      <c r="AD470" s="11" t="str">
        <f>vlookup(L470,'Python sheet'!$E$2:$F$373,2,0)</f>
        <v>#N/A</v>
      </c>
    </row>
    <row r="471">
      <c r="A471" s="4">
        <v>5.9925869E7</v>
      </c>
      <c r="B471" s="9">
        <v>3.0</v>
      </c>
      <c r="C471" s="9">
        <v>4.33</v>
      </c>
      <c r="D471" s="2" t="s">
        <v>835</v>
      </c>
      <c r="E471" s="2" t="s">
        <v>836</v>
      </c>
      <c r="F471" s="2" t="s">
        <v>837</v>
      </c>
      <c r="G471" s="9">
        <v>139.0</v>
      </c>
      <c r="H471" s="9">
        <v>4.06</v>
      </c>
      <c r="I471" s="9">
        <v>136.0</v>
      </c>
      <c r="J471" s="1" t="s">
        <v>838</v>
      </c>
      <c r="K471" s="1" t="s">
        <v>1035</v>
      </c>
      <c r="L471" s="1" t="str">
        <f t="shared" si="1"/>
        <v>DRI-TEC-SHEETSCalifornia King,King</v>
      </c>
      <c r="M471" s="1" t="s">
        <v>907</v>
      </c>
      <c r="N471" s="6">
        <v>279.99</v>
      </c>
      <c r="O471" s="6">
        <v>279.99</v>
      </c>
      <c r="P471" s="1" t="s">
        <v>663</v>
      </c>
      <c r="Q471" s="7"/>
      <c r="R471" s="1" t="s">
        <v>853</v>
      </c>
      <c r="S471" s="7"/>
      <c r="T471" s="1" t="s">
        <v>848</v>
      </c>
      <c r="U471" s="7"/>
      <c r="V471" s="7"/>
      <c r="W471" s="7"/>
      <c r="X471" s="7"/>
      <c r="Y471" s="7"/>
      <c r="Z471" s="7"/>
      <c r="AA471" s="8" t="str">
        <f>IFERROR(VLOOKUP(A471,Sheet3!B:H,6,false),VLOOKUP(J471,Sheet2!A:C,2,false))</f>
        <v>https://bedgear.com/cdn/shop/files/01-Grey-ProductShot-Stack_de9d1597-1c50-403a-a9af-2923ed02cd42.jpg</v>
      </c>
      <c r="AB471" s="8" t="str">
        <f>IFERROR(VLOOKUP(A471,Sheet3!B:H,7,false),VLOOKUP(J471,Sheet2!A:C,3,false))</f>
        <v>https://bedgear.com/products/dri-tec-sheet-set</v>
      </c>
      <c r="AC471" s="8" t="str">
        <f t="shared" si="2"/>
        <v>https://rtg-275.myshopify.com/products/DRI-TEC-SHEETS</v>
      </c>
      <c r="AD471" s="11" t="str">
        <f>vlookup(L471,'Python sheet'!$E$2:$F$373,2,0)</f>
        <v>#N/A</v>
      </c>
    </row>
    <row r="472">
      <c r="A472" s="4">
        <v>5.9925871E7</v>
      </c>
      <c r="B472" s="5"/>
      <c r="C472" s="5"/>
      <c r="D472" s="5"/>
      <c r="E472" s="5"/>
      <c r="F472" s="5"/>
      <c r="G472" s="5"/>
      <c r="H472" s="5"/>
      <c r="I472" s="5"/>
      <c r="J472" s="1" t="s">
        <v>838</v>
      </c>
      <c r="K472" s="1" t="s">
        <v>1035</v>
      </c>
      <c r="L472" s="1" t="str">
        <f t="shared" si="1"/>
        <v>DRI-TEC-SHEETSSplit California King,Split King</v>
      </c>
      <c r="M472" s="1" t="s">
        <v>908</v>
      </c>
      <c r="N472" s="6">
        <v>279.99</v>
      </c>
      <c r="O472" s="6">
        <v>279.99</v>
      </c>
      <c r="P472" s="1" t="s">
        <v>663</v>
      </c>
      <c r="Q472" s="7"/>
      <c r="R472" s="1" t="s">
        <v>853</v>
      </c>
      <c r="S472" s="7"/>
      <c r="T472" s="1" t="s">
        <v>851</v>
      </c>
      <c r="U472" s="7"/>
      <c r="V472" s="7"/>
      <c r="W472" s="7"/>
      <c r="X472" s="7"/>
      <c r="Y472" s="7"/>
      <c r="Z472" s="7"/>
      <c r="AA472" s="8" t="str">
        <f>IFERROR(VLOOKUP(A472,Sheet3!B:H,6,false),VLOOKUP(J472,Sheet2!A:C,2,false))</f>
        <v>https://bedgear.com/cdn/shop/files/01-Grey-ProductShot-Stack_de9d1597-1c50-403a-a9af-2923ed02cd42.jpg</v>
      </c>
      <c r="AB472" s="8" t="str">
        <f>IFERROR(VLOOKUP(A472,Sheet3!B:H,7,false),VLOOKUP(J472,Sheet2!A:C,3,false))</f>
        <v>https://bedgear.com/products/dri-tec-sheet-set</v>
      </c>
      <c r="AC472" s="8" t="str">
        <f t="shared" si="2"/>
        <v>https://rtg-275.myshopify.com/products/DRI-TEC-SHEETS</v>
      </c>
      <c r="AD472" s="11" t="str">
        <f>vlookup(L472,'Python sheet'!$E$2:$F$373,2,0)</f>
        <v>#N/A</v>
      </c>
    </row>
    <row r="473">
      <c r="A473" s="4">
        <v>5.9940063E7</v>
      </c>
      <c r="B473" s="9">
        <v>76.0</v>
      </c>
      <c r="C473" s="9">
        <v>4.01</v>
      </c>
      <c r="D473" s="2" t="s">
        <v>909</v>
      </c>
      <c r="E473" s="2" t="s">
        <v>794</v>
      </c>
      <c r="F473" s="2" t="s">
        <v>910</v>
      </c>
      <c r="G473" s="9">
        <v>118.0</v>
      </c>
      <c r="H473" s="9">
        <v>3.98</v>
      </c>
      <c r="I473" s="9">
        <v>42.0</v>
      </c>
      <c r="J473" s="1" t="s">
        <v>911</v>
      </c>
      <c r="K473" s="1" t="s">
        <v>1039</v>
      </c>
      <c r="L473" s="1" t="str">
        <f t="shared" si="1"/>
        <v>CASPER-SNOW-PILLOWQueen</v>
      </c>
      <c r="M473" s="1" t="s">
        <v>912</v>
      </c>
      <c r="N473" s="6">
        <v>143.0</v>
      </c>
      <c r="O473" s="6">
        <v>179.0</v>
      </c>
      <c r="P473" s="1" t="s">
        <v>30</v>
      </c>
      <c r="Q473" s="7"/>
      <c r="R473" s="1" t="s">
        <v>913</v>
      </c>
      <c r="S473" s="1" t="s">
        <v>31</v>
      </c>
      <c r="T473" s="1" t="s">
        <v>470</v>
      </c>
      <c r="U473" s="7"/>
      <c r="V473" s="7"/>
      <c r="W473" s="7"/>
      <c r="X473" s="7"/>
      <c r="Y473" s="7"/>
      <c r="Z473" s="7"/>
      <c r="AA473" s="8" t="str">
        <f>IFERROR(VLOOKUP(A473,Sheet3!B:H,6,false),VLOOKUP(J473,Sheet2!A:C,2,false))</f>
        <v>https://casper.com/cdn/shop/files/Foam-Snow-Pillow-Feel-Scale.jpg</v>
      </c>
      <c r="AB473" s="8" t="str">
        <f>IFERROR(VLOOKUP(A473,Sheet3!B:H,7,false),VLOOKUP(J473,Sheet2!A:C,3,false))</f>
        <v>https://casper.com/products/foam-snow-pillow</v>
      </c>
      <c r="AC473" s="8" t="str">
        <f t="shared" si="2"/>
        <v>https://rtg-275.myshopify.com/products/CASPER-SNOW-PILLOW</v>
      </c>
      <c r="AD473" s="8" t="str">
        <f>vlookup(L473,'Python sheet'!$E$2:$F$373,2,0)</f>
        <v>https://rtg-275.myshopify.com/products/CASPER-SNOW-PILLOW?variant=47915117117578</v>
      </c>
    </row>
    <row r="474">
      <c r="A474" s="4">
        <v>5.9940075E7</v>
      </c>
      <c r="B474" s="9">
        <v>42.0</v>
      </c>
      <c r="C474" s="9">
        <v>3.93</v>
      </c>
      <c r="D474" s="2" t="s">
        <v>909</v>
      </c>
      <c r="E474" s="2" t="s">
        <v>794</v>
      </c>
      <c r="F474" s="2" t="s">
        <v>910</v>
      </c>
      <c r="G474" s="9">
        <v>118.0</v>
      </c>
      <c r="H474" s="9">
        <v>3.98</v>
      </c>
      <c r="I474" s="9">
        <v>76.0</v>
      </c>
      <c r="J474" s="1" t="s">
        <v>911</v>
      </c>
      <c r="K474" s="1" t="s">
        <v>1039</v>
      </c>
      <c r="L474" s="1" t="str">
        <f t="shared" si="1"/>
        <v>CASPER-SNOW-PILLOWKing</v>
      </c>
      <c r="M474" s="1" t="s">
        <v>914</v>
      </c>
      <c r="N474" s="6">
        <v>167.0</v>
      </c>
      <c r="O474" s="6">
        <v>209.0</v>
      </c>
      <c r="P474" s="1" t="s">
        <v>30</v>
      </c>
      <c r="Q474" s="7"/>
      <c r="R474" s="1" t="s">
        <v>913</v>
      </c>
      <c r="S474" s="1" t="s">
        <v>31</v>
      </c>
      <c r="T474" s="1" t="s">
        <v>568</v>
      </c>
      <c r="U474" s="7"/>
      <c r="V474" s="7"/>
      <c r="W474" s="7"/>
      <c r="X474" s="7"/>
      <c r="Y474" s="7"/>
      <c r="Z474" s="7"/>
      <c r="AA474" s="8" t="str">
        <f>IFERROR(VLOOKUP(A474,Sheet3!B:H,6,false),VLOOKUP(J474,Sheet2!A:C,2,false))</f>
        <v>https://casper.com/cdn/shop/files/Foam-Snow-Pillow-Feel-Scale.jpg</v>
      </c>
      <c r="AB474" s="8" t="str">
        <f>IFERROR(VLOOKUP(A474,Sheet3!B:H,7,false),VLOOKUP(J474,Sheet2!A:C,3,false))</f>
        <v>https://casper.com/products/foam-snow-pillow</v>
      </c>
      <c r="AC474" s="8" t="str">
        <f t="shared" si="2"/>
        <v>https://rtg-275.myshopify.com/products/CASPER-SNOW-PILLOW</v>
      </c>
      <c r="AD474" s="8" t="str">
        <f>vlookup(L474,'Python sheet'!$E$2:$F$373,2,0)</f>
        <v>https://rtg-275.myshopify.com/products/CASPER-SNOW-PILLOW?variant=47915117150346</v>
      </c>
    </row>
    <row r="475">
      <c r="A475" s="4">
        <v>5.9951004E7</v>
      </c>
      <c r="B475" s="9">
        <v>11.0</v>
      </c>
      <c r="C475" s="9">
        <v>3.91</v>
      </c>
      <c r="D475" s="2" t="s">
        <v>915</v>
      </c>
      <c r="E475" s="2" t="s">
        <v>916</v>
      </c>
      <c r="F475" s="2" t="s">
        <v>917</v>
      </c>
      <c r="G475" s="9">
        <v>11.0</v>
      </c>
      <c r="H475" s="9">
        <v>3.91</v>
      </c>
      <c r="I475" s="9">
        <v>0.0</v>
      </c>
      <c r="J475" s="1" t="s">
        <v>918</v>
      </c>
      <c r="K475" s="1" t="s">
        <v>918</v>
      </c>
      <c r="L475" s="1" t="str">
        <f t="shared" si="1"/>
        <v>FRAMESFull,Twin</v>
      </c>
      <c r="M475" s="1" t="s">
        <v>919</v>
      </c>
      <c r="N475" s="6">
        <v>59.99</v>
      </c>
      <c r="O475" s="6">
        <v>59.99</v>
      </c>
      <c r="P475" s="1" t="s">
        <v>920</v>
      </c>
      <c r="Q475" s="7"/>
      <c r="R475" s="1" t="s">
        <v>921</v>
      </c>
      <c r="S475" s="1" t="s">
        <v>922</v>
      </c>
      <c r="T475" s="1" t="s">
        <v>923</v>
      </c>
      <c r="U475" s="7"/>
      <c r="V475" s="7"/>
      <c r="W475" s="7"/>
      <c r="X475" s="7"/>
      <c r="Y475" s="7"/>
      <c r="Z475" s="7"/>
      <c r="AA475" s="11" t="str">
        <f>IFERROR(VLOOKUP(A475,Sheet3!B:H,6,false),VLOOKUP(J475,Sheet2!A:C,2,false))</f>
        <v>#N/A</v>
      </c>
      <c r="AB475" s="11" t="str">
        <f>IFERROR(VLOOKUP(A475,Sheet3!B:H,7,false),VLOOKUP(J475,Sheet2!A:C,3,false))</f>
        <v>#N/A</v>
      </c>
      <c r="AC475" s="8" t="str">
        <f t="shared" si="2"/>
        <v>https://rtg-275.myshopify.com/products/FRAMES</v>
      </c>
      <c r="AD475" s="8" t="str">
        <f>vlookup(L475,'Python sheet'!$E$2:$F$373,2,0)</f>
        <v>https://rtg-275.myshopify.com/products/FRAMES?variant=47915117215882</v>
      </c>
    </row>
    <row r="476">
      <c r="A476" s="4">
        <v>5.9951016E7</v>
      </c>
      <c r="B476" s="9">
        <v>43.0</v>
      </c>
      <c r="C476" s="9">
        <v>4.33</v>
      </c>
      <c r="D476" s="2" t="s">
        <v>924</v>
      </c>
      <c r="E476" s="2" t="s">
        <v>916</v>
      </c>
      <c r="F476" s="2" t="s">
        <v>925</v>
      </c>
      <c r="G476" s="9">
        <v>43.0</v>
      </c>
      <c r="H476" s="9">
        <v>4.33</v>
      </c>
      <c r="I476" s="9">
        <v>0.0</v>
      </c>
      <c r="J476" s="1" t="s">
        <v>918</v>
      </c>
      <c r="K476" s="1" t="s">
        <v>918</v>
      </c>
      <c r="L476" s="1" t="str">
        <f t="shared" si="1"/>
        <v>FRAMESCalifornia King,King,Queen</v>
      </c>
      <c r="M476" s="1" t="s">
        <v>926</v>
      </c>
      <c r="N476" s="6">
        <v>79.99</v>
      </c>
      <c r="O476" s="6">
        <v>79.99</v>
      </c>
      <c r="P476" s="1" t="s">
        <v>920</v>
      </c>
      <c r="Q476" s="7"/>
      <c r="R476" s="1" t="s">
        <v>927</v>
      </c>
      <c r="S476" s="1" t="s">
        <v>922</v>
      </c>
      <c r="T476" s="1" t="s">
        <v>928</v>
      </c>
      <c r="U476" s="7"/>
      <c r="V476" s="7"/>
      <c r="W476" s="7"/>
      <c r="X476" s="7"/>
      <c r="Y476" s="7"/>
      <c r="Z476" s="7"/>
      <c r="AA476" s="11" t="str">
        <f>IFERROR(VLOOKUP(A476,Sheet3!B:H,6,false),VLOOKUP(J476,Sheet2!A:C,2,false))</f>
        <v>#N/A</v>
      </c>
      <c r="AB476" s="11" t="str">
        <f>IFERROR(VLOOKUP(A476,Sheet3!B:H,7,false),VLOOKUP(J476,Sheet2!A:C,3,false))</f>
        <v>#N/A</v>
      </c>
      <c r="AC476" s="8" t="str">
        <f t="shared" si="2"/>
        <v>https://rtg-275.myshopify.com/products/FRAMES</v>
      </c>
      <c r="AD476" s="8" t="str">
        <f>vlookup(L476,'Python sheet'!$E$2:$F$373,2,0)</f>
        <v>https://rtg-275.myshopify.com/products/FRAMES?variant=47915117248650</v>
      </c>
    </row>
    <row r="477">
      <c r="A477" s="4">
        <v>5.9953084E7</v>
      </c>
      <c r="B477" s="9">
        <v>62.0</v>
      </c>
      <c r="C477" s="9">
        <v>4.34</v>
      </c>
      <c r="D477" s="2" t="s">
        <v>929</v>
      </c>
      <c r="E477" s="2" t="s">
        <v>794</v>
      </c>
      <c r="F477" s="2" t="s">
        <v>930</v>
      </c>
      <c r="G477" s="9">
        <v>62.0</v>
      </c>
      <c r="H477" s="9">
        <v>4.34</v>
      </c>
      <c r="I477" s="9">
        <v>0.0</v>
      </c>
      <c r="J477" s="1" t="s">
        <v>931</v>
      </c>
      <c r="K477" s="1" t="s">
        <v>1040</v>
      </c>
      <c r="L477" s="1" t="str">
        <f t="shared" si="1"/>
        <v>STEARNS-AND-FOSTER-LATEXQueen</v>
      </c>
      <c r="M477" s="1" t="s">
        <v>932</v>
      </c>
      <c r="N477" s="6">
        <v>129.0</v>
      </c>
      <c r="O477" s="6">
        <v>129.0</v>
      </c>
      <c r="P477" s="1" t="s">
        <v>221</v>
      </c>
      <c r="Q477" s="7"/>
      <c r="R477" s="1" t="s">
        <v>933</v>
      </c>
      <c r="S477" s="1" t="s">
        <v>31</v>
      </c>
      <c r="T477" s="1" t="s">
        <v>470</v>
      </c>
      <c r="U477" s="7"/>
      <c r="V477" s="7"/>
      <c r="W477" s="7"/>
      <c r="X477" s="7"/>
      <c r="Y477" s="7"/>
      <c r="Z477" s="7"/>
      <c r="AA477" s="8" t="str">
        <f>IFERROR(VLOOKUP(A477,Sheet3!B:H,6,false),VLOOKUP(J477,Sheet2!A:C,2,false))</f>
        <v>https://assets.roomstogo.com/product/stearns-and-foster-standard-latex-pillow_59953084_image-item</v>
      </c>
      <c r="AB477" s="8" t="str">
        <f>IFERROR(VLOOKUP(A477,Sheet3!B:H,7,false),VLOOKUP(J477,Sheet2!A:C,3,false))</f>
        <v>https://assets.roomstogo.com/product/stearns-and-foster-standard-latex-pillow_59953084_alt-image-1</v>
      </c>
      <c r="AC477" s="8" t="str">
        <f t="shared" si="2"/>
        <v>https://rtg-275.myshopify.com/products/STEARNS-AND-FOSTER-LATEX</v>
      </c>
      <c r="AD477" s="8" t="str">
        <f>vlookup(L477,'Python sheet'!$E$2:$F$373,2,0)</f>
        <v>https://rtg-275.myshopify.com/products/STEARNS-AND-FOSTER-LATEX?variant=47915117314186</v>
      </c>
    </row>
    <row r="478">
      <c r="A478" s="4">
        <v>5.9953503E7</v>
      </c>
      <c r="B478" s="9">
        <v>56.0</v>
      </c>
      <c r="C478" s="9">
        <v>4.13</v>
      </c>
      <c r="D478" s="2" t="s">
        <v>934</v>
      </c>
      <c r="E478" s="2" t="s">
        <v>794</v>
      </c>
      <c r="F478" s="2" t="s">
        <v>935</v>
      </c>
      <c r="G478" s="9">
        <v>80.0</v>
      </c>
      <c r="H478" s="9">
        <v>4.11</v>
      </c>
      <c r="I478" s="9">
        <v>24.0</v>
      </c>
      <c r="J478" s="1" t="s">
        <v>936</v>
      </c>
      <c r="K478" s="1" t="s">
        <v>1041</v>
      </c>
      <c r="L478" s="1" t="str">
        <f t="shared" si="1"/>
        <v>ADAPT-PROADJUSTQueen</v>
      </c>
      <c r="M478" s="1" t="s">
        <v>937</v>
      </c>
      <c r="N478" s="6">
        <v>125.0</v>
      </c>
      <c r="O478" s="6">
        <v>125.0</v>
      </c>
      <c r="P478" s="1" t="s">
        <v>64</v>
      </c>
      <c r="Q478" s="7"/>
      <c r="R478" s="1" t="s">
        <v>938</v>
      </c>
      <c r="S478" s="1" t="s">
        <v>31</v>
      </c>
      <c r="T478" s="1" t="s">
        <v>470</v>
      </c>
      <c r="U478" s="7"/>
      <c r="V478" s="7"/>
      <c r="W478" s="7"/>
      <c r="X478" s="7"/>
      <c r="Y478" s="7"/>
      <c r="Z478" s="7"/>
      <c r="AA478" s="8" t="str">
        <f>IFERROR(VLOOKUP(A478,Sheet3!B:H,6,false),VLOOKUP(J478,Sheet2!A:C,2,false))</f>
        <v>https://assets-www.tempurpedic.com/media/images/TEMPUR_Pillow_Adapt_ProAdjust_Styled_MAR24_04.original.jpg</v>
      </c>
      <c r="AB478" s="8" t="str">
        <f>IFERROR(VLOOKUP(A478,Sheet3!B:H,7,false),VLOOKUP(J478,Sheet2!A:C,3,false))</f>
        <v>https://www.tempurpedic.com/shop-pillows/adapt-pillows/</v>
      </c>
      <c r="AC478" s="8" t="str">
        <f t="shared" si="2"/>
        <v>https://rtg-275.myshopify.com/products/ADAPT-PROADJUST</v>
      </c>
      <c r="AD478" s="8" t="str">
        <f>vlookup(L478,'Python sheet'!$E$2:$F$373,2,0)</f>
        <v>https://rtg-275.myshopify.com/products/ADAPT-PROADJUST?variant=47915117379722</v>
      </c>
    </row>
    <row r="479">
      <c r="A479" s="4">
        <v>5.9953515E7</v>
      </c>
      <c r="B479" s="9">
        <v>24.0</v>
      </c>
      <c r="C479" s="9">
        <v>4.08</v>
      </c>
      <c r="D479" s="2" t="s">
        <v>934</v>
      </c>
      <c r="E479" s="2" t="s">
        <v>794</v>
      </c>
      <c r="F479" s="2" t="s">
        <v>935</v>
      </c>
      <c r="G479" s="9">
        <v>80.0</v>
      </c>
      <c r="H479" s="9">
        <v>4.11</v>
      </c>
      <c r="I479" s="9">
        <v>56.0</v>
      </c>
      <c r="J479" s="1" t="s">
        <v>936</v>
      </c>
      <c r="K479" s="1" t="s">
        <v>1041</v>
      </c>
      <c r="L479" s="1" t="str">
        <f t="shared" si="1"/>
        <v>ADAPT-PROADJUSTKing</v>
      </c>
      <c r="M479" s="1" t="s">
        <v>939</v>
      </c>
      <c r="N479" s="6">
        <v>165.0</v>
      </c>
      <c r="O479" s="6">
        <v>165.0</v>
      </c>
      <c r="P479" s="1" t="s">
        <v>64</v>
      </c>
      <c r="Q479" s="7"/>
      <c r="R479" s="1" t="s">
        <v>938</v>
      </c>
      <c r="S479" s="1" t="s">
        <v>31</v>
      </c>
      <c r="T479" s="1" t="s">
        <v>568</v>
      </c>
      <c r="U479" s="7"/>
      <c r="V479" s="7"/>
      <c r="W479" s="7"/>
      <c r="X479" s="7"/>
      <c r="Y479" s="7"/>
      <c r="Z479" s="7"/>
      <c r="AA479" s="8" t="str">
        <f>IFERROR(VLOOKUP(A479,Sheet3!B:H,6,false),VLOOKUP(J479,Sheet2!A:C,2,false))</f>
        <v>https://assets-www.tempurpedic.com/media/images/TEMPUR_Pillow_Adapt_ProAdjust_Styled_MAR24_04.original.jpg</v>
      </c>
      <c r="AB479" s="8" t="str">
        <f>IFERROR(VLOOKUP(A479,Sheet3!B:H,7,false),VLOOKUP(J479,Sheet2!A:C,3,false))</f>
        <v>https://www.tempurpedic.com/shop-pillows/adapt-pillows/</v>
      </c>
      <c r="AC479" s="8" t="str">
        <f t="shared" si="2"/>
        <v>https://rtg-275.myshopify.com/products/ADAPT-PROADJUST</v>
      </c>
      <c r="AD479" s="8" t="str">
        <f>vlookup(L479,'Python sheet'!$E$2:$F$373,2,0)</f>
        <v>https://rtg-275.myshopify.com/products/ADAPT-PROADJUST?variant=47915117412490</v>
      </c>
    </row>
    <row r="480">
      <c r="A480" s="4">
        <v>5.9953527E7</v>
      </c>
      <c r="B480" s="9">
        <v>68.0</v>
      </c>
      <c r="C480" s="9">
        <v>4.0</v>
      </c>
      <c r="D480" s="2" t="s">
        <v>940</v>
      </c>
      <c r="E480" s="2" t="s">
        <v>794</v>
      </c>
      <c r="F480" s="2" t="s">
        <v>941</v>
      </c>
      <c r="G480" s="9">
        <v>111.0</v>
      </c>
      <c r="H480" s="9">
        <v>4.15</v>
      </c>
      <c r="I480" s="9">
        <v>43.0</v>
      </c>
      <c r="J480" s="1" t="s">
        <v>942</v>
      </c>
      <c r="K480" s="1" t="s">
        <v>1042</v>
      </c>
      <c r="L480" s="1" t="str">
        <f t="shared" si="1"/>
        <v>ADAPT-PRO-LO-2-0Queen</v>
      </c>
      <c r="M480" s="1" t="s">
        <v>943</v>
      </c>
      <c r="N480" s="6">
        <v>175.0</v>
      </c>
      <c r="O480" s="6">
        <v>175.0</v>
      </c>
      <c r="P480" s="1" t="s">
        <v>64</v>
      </c>
      <c r="Q480" s="7"/>
      <c r="R480" s="1" t="s">
        <v>944</v>
      </c>
      <c r="S480" s="1" t="s">
        <v>31</v>
      </c>
      <c r="T480" s="1" t="s">
        <v>470</v>
      </c>
      <c r="U480" s="7"/>
      <c r="V480" s="7"/>
      <c r="W480" s="7"/>
      <c r="X480" s="7"/>
      <c r="Y480" s="7"/>
      <c r="Z480" s="7"/>
      <c r="AA480" s="8" t="str">
        <f>IFERROR(VLOOKUP(A480,Sheet3!B:H,6,false),VLOOKUP(J480,Sheet2!A:C,2,false))</f>
        <v>https://assets-www.tempurpedic.com/media/images/TEMPUR_Pillow_Adapt_ProAdjust_Styled_MAR24_04.original.jpg</v>
      </c>
      <c r="AB480" s="8" t="str">
        <f>IFERROR(VLOOKUP(A480,Sheet3!B:H,7,false),VLOOKUP(J480,Sheet2!A:C,3,false))</f>
        <v>https://www.tempurpedic.com/shop-pillows/adapt-pillows/</v>
      </c>
      <c r="AC480" s="8" t="str">
        <f t="shared" si="2"/>
        <v>https://rtg-275.myshopify.com/products/ADAPT-PRO-LO-2-0</v>
      </c>
      <c r="AD480" s="8" t="str">
        <f>vlookup(L480,'Python sheet'!$E$2:$F$373,2,0)</f>
        <v>https://rtg-275.myshopify.com/products/ADAPT-PRO-LO-2-0?variant=47915117478026</v>
      </c>
    </row>
    <row r="481">
      <c r="A481" s="4">
        <v>5.9953539E7</v>
      </c>
      <c r="B481" s="9">
        <v>43.0</v>
      </c>
      <c r="C481" s="9">
        <v>4.4</v>
      </c>
      <c r="D481" s="2" t="s">
        <v>940</v>
      </c>
      <c r="E481" s="2" t="s">
        <v>794</v>
      </c>
      <c r="F481" s="2" t="s">
        <v>941</v>
      </c>
      <c r="G481" s="9">
        <v>111.0</v>
      </c>
      <c r="H481" s="9">
        <v>4.15</v>
      </c>
      <c r="I481" s="9">
        <v>68.0</v>
      </c>
      <c r="J481" s="1" t="s">
        <v>942</v>
      </c>
      <c r="K481" s="1" t="s">
        <v>1042</v>
      </c>
      <c r="L481" s="1" t="str">
        <f t="shared" si="1"/>
        <v>ADAPT-PRO-LO-2-0King</v>
      </c>
      <c r="M481" s="1" t="s">
        <v>945</v>
      </c>
      <c r="N481" s="6">
        <v>215.0</v>
      </c>
      <c r="O481" s="6">
        <v>215.0</v>
      </c>
      <c r="P481" s="1" t="s">
        <v>64</v>
      </c>
      <c r="Q481" s="7"/>
      <c r="R481" s="1" t="s">
        <v>944</v>
      </c>
      <c r="S481" s="1" t="s">
        <v>31</v>
      </c>
      <c r="T481" s="1" t="s">
        <v>568</v>
      </c>
      <c r="U481" s="7"/>
      <c r="V481" s="7"/>
      <c r="W481" s="7"/>
      <c r="X481" s="7"/>
      <c r="Y481" s="7"/>
      <c r="Z481" s="7"/>
      <c r="AA481" s="8" t="str">
        <f>IFERROR(VLOOKUP(A481,Sheet3!B:H,6,false),VLOOKUP(J481,Sheet2!A:C,2,false))</f>
        <v>https://assets-www.tempurpedic.com/media/images/TEMPUR_Pillow_Adapt_ProAdjust_Styled_MAR24_04.original.jpg</v>
      </c>
      <c r="AB481" s="8" t="str">
        <f>IFERROR(VLOOKUP(A481,Sheet3!B:H,7,false),VLOOKUP(J481,Sheet2!A:C,3,false))</f>
        <v>https://www.tempurpedic.com/shop-pillows/adapt-pillows/</v>
      </c>
      <c r="AC481" s="8" t="str">
        <f t="shared" si="2"/>
        <v>https://rtg-275.myshopify.com/products/ADAPT-PRO-LO-2-0</v>
      </c>
      <c r="AD481" s="8" t="str">
        <f>vlookup(L481,'Python sheet'!$E$2:$F$373,2,0)</f>
        <v>https://rtg-275.myshopify.com/products/ADAPT-PRO-LO-2-0?variant=47915117510794</v>
      </c>
    </row>
    <row r="482">
      <c r="A482" s="4">
        <v>5.9953541E7</v>
      </c>
      <c r="B482" s="9">
        <v>65.0</v>
      </c>
      <c r="C482" s="9">
        <v>4.22</v>
      </c>
      <c r="D482" s="2" t="s">
        <v>946</v>
      </c>
      <c r="E482" s="2" t="s">
        <v>794</v>
      </c>
      <c r="F482" s="2" t="s">
        <v>947</v>
      </c>
      <c r="G482" s="9">
        <v>111.0</v>
      </c>
      <c r="H482" s="9">
        <v>4.15</v>
      </c>
      <c r="I482" s="9">
        <v>46.0</v>
      </c>
      <c r="J482" s="1" t="s">
        <v>948</v>
      </c>
      <c r="K482" s="1" t="s">
        <v>1043</v>
      </c>
      <c r="L482" s="1" t="str">
        <f t="shared" si="1"/>
        <v>ADAPT-PRO-HI-2-0Queen</v>
      </c>
      <c r="M482" s="1" t="s">
        <v>949</v>
      </c>
      <c r="N482" s="6">
        <v>175.0</v>
      </c>
      <c r="O482" s="6">
        <v>175.0</v>
      </c>
      <c r="P482" s="1" t="s">
        <v>64</v>
      </c>
      <c r="Q482" s="7"/>
      <c r="R482" s="1" t="s">
        <v>950</v>
      </c>
      <c r="S482" s="1" t="s">
        <v>31</v>
      </c>
      <c r="T482" s="1" t="s">
        <v>470</v>
      </c>
      <c r="U482" s="7"/>
      <c r="V482" s="7"/>
      <c r="W482" s="7"/>
      <c r="X482" s="7"/>
      <c r="Y482" s="7"/>
      <c r="Z482" s="7"/>
      <c r="AA482" s="8" t="str">
        <f>IFERROR(VLOOKUP(A482,Sheet3!B:H,6,false),VLOOKUP(J482,Sheet2!A:C,2,false))</f>
        <v>https://assets-www.tempurpedic.com/media/images/TEMPUR_Pillow_Adapt_ProAdjust_Styled_MAR24_04.original.jpg</v>
      </c>
      <c r="AB482" s="8" t="str">
        <f>IFERROR(VLOOKUP(A482,Sheet3!B:H,7,false),VLOOKUP(J482,Sheet2!A:C,3,false))</f>
        <v>https://www.tempurpedic.com/shop-pillows/adapt-pillows/</v>
      </c>
      <c r="AC482" s="8" t="str">
        <f t="shared" si="2"/>
        <v>https://rtg-275.myshopify.com/products/ADAPT-PRO-HI-2-0</v>
      </c>
      <c r="AD482" s="8" t="str">
        <f>vlookup(L482,'Python sheet'!$E$2:$F$373,2,0)</f>
        <v>https://rtg-275.myshopify.com/products/ADAPT-PRO-HI-2-0?variant=47915117576330</v>
      </c>
    </row>
    <row r="483">
      <c r="A483" s="4">
        <v>5.9953553E7</v>
      </c>
      <c r="B483" s="9">
        <v>46.0</v>
      </c>
      <c r="C483" s="9">
        <v>4.07</v>
      </c>
      <c r="D483" s="2" t="s">
        <v>946</v>
      </c>
      <c r="E483" s="2" t="s">
        <v>794</v>
      </c>
      <c r="F483" s="2" t="s">
        <v>947</v>
      </c>
      <c r="G483" s="9">
        <v>111.0</v>
      </c>
      <c r="H483" s="9">
        <v>4.15</v>
      </c>
      <c r="I483" s="9">
        <v>65.0</v>
      </c>
      <c r="J483" s="1" t="s">
        <v>948</v>
      </c>
      <c r="K483" s="1" t="s">
        <v>1043</v>
      </c>
      <c r="L483" s="1" t="str">
        <f t="shared" si="1"/>
        <v>ADAPT-PRO-HI-2-0King</v>
      </c>
      <c r="M483" s="1" t="s">
        <v>951</v>
      </c>
      <c r="N483" s="6">
        <v>215.0</v>
      </c>
      <c r="O483" s="6">
        <v>215.0</v>
      </c>
      <c r="P483" s="1" t="s">
        <v>64</v>
      </c>
      <c r="Q483" s="7"/>
      <c r="R483" s="1" t="s">
        <v>950</v>
      </c>
      <c r="S483" s="1" t="s">
        <v>31</v>
      </c>
      <c r="T483" s="1" t="s">
        <v>568</v>
      </c>
      <c r="U483" s="7"/>
      <c r="V483" s="7"/>
      <c r="W483" s="7"/>
      <c r="X483" s="7"/>
      <c r="Y483" s="7"/>
      <c r="Z483" s="7"/>
      <c r="AA483" s="8" t="str">
        <f>IFERROR(VLOOKUP(A483,Sheet3!B:H,6,false),VLOOKUP(J483,Sheet2!A:C,2,false))</f>
        <v>https://assets-www.tempurpedic.com/media/images/TEMPUR_Pillow_Adapt_ProAdjust_Styled_MAR24_04.original.jpg</v>
      </c>
      <c r="AB483" s="8" t="str">
        <f>IFERROR(VLOOKUP(A483,Sheet3!B:H,7,false),VLOOKUP(J483,Sheet2!A:C,3,false))</f>
        <v>https://www.tempurpedic.com/shop-pillows/adapt-pillows/</v>
      </c>
      <c r="AC483" s="8" t="str">
        <f t="shared" si="2"/>
        <v>https://rtg-275.myshopify.com/products/ADAPT-PRO-HI-2-0</v>
      </c>
      <c r="AD483" s="8" t="str">
        <f>vlookup(L483,'Python sheet'!$E$2:$F$373,2,0)</f>
        <v>https://rtg-275.myshopify.com/products/ADAPT-PRO-HI-2-0?variant=47915117609098</v>
      </c>
    </row>
    <row r="484">
      <c r="A484" s="4">
        <v>5.9953565E7</v>
      </c>
      <c r="B484" s="9">
        <v>2.0</v>
      </c>
      <c r="C484" s="9">
        <v>3.5</v>
      </c>
      <c r="D484" s="2" t="s">
        <v>952</v>
      </c>
      <c r="E484" s="2" t="s">
        <v>794</v>
      </c>
      <c r="F484" s="2" t="s">
        <v>953</v>
      </c>
      <c r="G484" s="9">
        <v>3.0</v>
      </c>
      <c r="H484" s="9">
        <v>4.0</v>
      </c>
      <c r="I484" s="9">
        <v>1.0</v>
      </c>
      <c r="J484" s="1" t="s">
        <v>954</v>
      </c>
      <c r="K484" s="1" t="s">
        <v>1044</v>
      </c>
      <c r="L484" s="1" t="str">
        <f t="shared" si="1"/>
        <v>BREEZE-PRO-LO-2-0Queen</v>
      </c>
      <c r="M484" s="1" t="s">
        <v>955</v>
      </c>
      <c r="N484" s="6">
        <v>225.0</v>
      </c>
      <c r="O484" s="6">
        <v>225.0</v>
      </c>
      <c r="P484" s="1" t="s">
        <v>64</v>
      </c>
      <c r="Q484" s="7"/>
      <c r="R484" s="7"/>
      <c r="S484" s="1" t="s">
        <v>31</v>
      </c>
      <c r="T484" s="1" t="s">
        <v>470</v>
      </c>
      <c r="U484" s="7"/>
      <c r="V484" s="7"/>
      <c r="W484" s="7"/>
      <c r="X484" s="7"/>
      <c r="Y484" s="7"/>
      <c r="Z484" s="7"/>
      <c r="AA484" s="8" t="str">
        <f>IFERROR(VLOOKUP(A484,Sheet3!B:H,6,false),VLOOKUP(J484,Sheet2!A:C,2,false))</f>
        <v>https://assets-www.tempurpedic.com/media/images/TEMPUR_Pillow_Breeze_ProLo_Styled_MAR24_03.original.jpg</v>
      </c>
      <c r="AB484" s="8" t="str">
        <f>IFERROR(VLOOKUP(A484,Sheet3!B:H,7,false),VLOOKUP(J484,Sheet2!A:C,3,false))</f>
        <v>https://www.tempurpedic.com/shop-pillows/breeze-pillows/</v>
      </c>
      <c r="AC484" s="8" t="str">
        <f t="shared" si="2"/>
        <v>https://rtg-275.myshopify.com/products/BREEZE-PRO-LO-2-0</v>
      </c>
      <c r="AD484" s="8" t="str">
        <f>vlookup(L484,'Python sheet'!$E$2:$F$373,2,0)</f>
        <v>https://rtg-275.myshopify.com/products/BREEZE-PRO-LO-2-0?variant=47915117772938</v>
      </c>
    </row>
    <row r="485">
      <c r="A485" s="4">
        <v>5.9953577E7</v>
      </c>
      <c r="B485" s="9">
        <v>1.0</v>
      </c>
      <c r="C485" s="9">
        <v>5.0</v>
      </c>
      <c r="D485" s="2" t="s">
        <v>952</v>
      </c>
      <c r="E485" s="2" t="s">
        <v>794</v>
      </c>
      <c r="F485" s="2" t="s">
        <v>953</v>
      </c>
      <c r="G485" s="9">
        <v>3.0</v>
      </c>
      <c r="H485" s="9">
        <v>4.0</v>
      </c>
      <c r="I485" s="9">
        <v>2.0</v>
      </c>
      <c r="J485" s="1" t="s">
        <v>956</v>
      </c>
      <c r="K485" s="1" t="s">
        <v>1045</v>
      </c>
      <c r="L485" s="1" t="str">
        <f t="shared" si="1"/>
        <v>BREEZE-PRO-LO-2-0-KGKing</v>
      </c>
      <c r="M485" s="1" t="s">
        <v>957</v>
      </c>
      <c r="N485" s="6">
        <v>275.0</v>
      </c>
      <c r="O485" s="6">
        <v>275.0</v>
      </c>
      <c r="P485" s="1" t="s">
        <v>64</v>
      </c>
      <c r="Q485" s="7"/>
      <c r="R485" s="7"/>
      <c r="S485" s="1" t="s">
        <v>31</v>
      </c>
      <c r="T485" s="1" t="s">
        <v>568</v>
      </c>
      <c r="U485" s="7"/>
      <c r="V485" s="7"/>
      <c r="W485" s="7"/>
      <c r="X485" s="7"/>
      <c r="Y485" s="7"/>
      <c r="Z485" s="7"/>
      <c r="AA485" s="8" t="str">
        <f>IFERROR(VLOOKUP(A485,Sheet3!B:H,6,false),VLOOKUP(J485,Sheet2!A:C,2,false))</f>
        <v>https://assets-www.tempurpedic.com/media/images/TEMPUR_Pillow_Breeze_ProLo_Styled_MAR24_03.original.jpg</v>
      </c>
      <c r="AB485" s="8" t="str">
        <f>IFERROR(VLOOKUP(A485,Sheet3!B:H,7,false),VLOOKUP(J485,Sheet2!A:C,3,false))</f>
        <v>https://www.tempurpedic.com/shop-pillows/breeze-pillows/</v>
      </c>
      <c r="AC485" s="8" t="str">
        <f t="shared" si="2"/>
        <v>https://rtg-275.myshopify.com/products/BREEZE-PRO-LO-2-0-KG</v>
      </c>
      <c r="AD485" s="8" t="str">
        <f>vlookup(L485,'Python sheet'!$E$2:$F$373,2,0)</f>
        <v>https://rtg-275.myshopify.com/products/BREEZE-PRO-LO-2-0-KG?variant=47915117838474</v>
      </c>
    </row>
    <row r="486">
      <c r="A486" s="4">
        <v>5.9953589E7</v>
      </c>
      <c r="B486" s="9">
        <v>2.0</v>
      </c>
      <c r="C486" s="9">
        <v>4.0</v>
      </c>
      <c r="D486" s="2" t="s">
        <v>958</v>
      </c>
      <c r="E486" s="2" t="s">
        <v>794</v>
      </c>
      <c r="F486" s="2" t="s">
        <v>959</v>
      </c>
      <c r="G486" s="9">
        <v>2.0</v>
      </c>
      <c r="H486" s="9">
        <v>4.0</v>
      </c>
      <c r="I486" s="9">
        <v>0.0</v>
      </c>
      <c r="J486" s="1" t="s">
        <v>960</v>
      </c>
      <c r="K486" s="1" t="s">
        <v>1046</v>
      </c>
      <c r="L486" s="1" t="str">
        <f t="shared" si="1"/>
        <v>BREEZE-PRO-HI-2-0Queen</v>
      </c>
      <c r="M486" s="1" t="s">
        <v>961</v>
      </c>
      <c r="N486" s="6">
        <v>225.0</v>
      </c>
      <c r="O486" s="6">
        <v>225.0</v>
      </c>
      <c r="P486" s="1" t="s">
        <v>64</v>
      </c>
      <c r="Q486" s="7"/>
      <c r="R486" s="7"/>
      <c r="S486" s="1" t="s">
        <v>31</v>
      </c>
      <c r="T486" s="1" t="s">
        <v>470</v>
      </c>
      <c r="U486" s="7"/>
      <c r="V486" s="7"/>
      <c r="W486" s="7"/>
      <c r="X486" s="7"/>
      <c r="Y486" s="7"/>
      <c r="Z486" s="7"/>
      <c r="AA486" s="8" t="str">
        <f>IFERROR(VLOOKUP(A486,Sheet3!B:H,6,false),VLOOKUP(J486,Sheet2!A:C,2,false))</f>
        <v>https://assets-www.tempurpedic.com/media/images/TEMPUR_Pillow_Breeze_ProLo_Styled_MAR24_03.original.jpg</v>
      </c>
      <c r="AB486" s="8" t="str">
        <f>IFERROR(VLOOKUP(A486,Sheet3!B:H,7,false),VLOOKUP(J486,Sheet2!A:C,3,false))</f>
        <v>https://www.tempurpedic.com/shop-pillows/breeze-pillows/</v>
      </c>
      <c r="AC486" s="8" t="str">
        <f t="shared" si="2"/>
        <v>https://rtg-275.myshopify.com/products/BREEZE-PRO-HI-2-0</v>
      </c>
      <c r="AD486" s="8" t="str">
        <f>vlookup(L486,'Python sheet'!$E$2:$F$373,2,0)</f>
        <v>https://rtg-275.myshopify.com/products/BREEZE-PRO-HI-2-0?variant=47915117904010</v>
      </c>
    </row>
    <row r="487">
      <c r="A487" s="4">
        <v>5.9953591E7</v>
      </c>
      <c r="B487" s="9">
        <v>5.0</v>
      </c>
      <c r="C487" s="9">
        <v>4.2</v>
      </c>
      <c r="D487" s="2" t="s">
        <v>962</v>
      </c>
      <c r="E487" s="2" t="s">
        <v>794</v>
      </c>
      <c r="F487" s="2" t="s">
        <v>963</v>
      </c>
      <c r="G487" s="9">
        <v>5.0</v>
      </c>
      <c r="H487" s="9">
        <v>4.2</v>
      </c>
      <c r="I487" s="9">
        <v>0.0</v>
      </c>
      <c r="J487" s="1" t="s">
        <v>964</v>
      </c>
      <c r="K487" s="1" t="s">
        <v>1047</v>
      </c>
      <c r="L487" s="1" t="str">
        <f t="shared" si="1"/>
        <v>BREEZE-PRO-HI-2-0-KGKing</v>
      </c>
      <c r="M487" s="1" t="s">
        <v>965</v>
      </c>
      <c r="N487" s="6">
        <v>275.0</v>
      </c>
      <c r="O487" s="6">
        <v>275.0</v>
      </c>
      <c r="P487" s="1" t="s">
        <v>64</v>
      </c>
      <c r="Q487" s="7"/>
      <c r="R487" s="7"/>
      <c r="S487" s="1" t="s">
        <v>31</v>
      </c>
      <c r="T487" s="1" t="s">
        <v>568</v>
      </c>
      <c r="U487" s="7"/>
      <c r="V487" s="7"/>
      <c r="W487" s="7"/>
      <c r="X487" s="7"/>
      <c r="Y487" s="7"/>
      <c r="Z487" s="7"/>
      <c r="AA487" s="8" t="str">
        <f>IFERROR(VLOOKUP(A487,Sheet3!B:H,6,false),VLOOKUP(J487,Sheet2!A:C,2,false))</f>
        <v>https://assets-www.tempurpedic.com/media/images/TEMPUR_Pillow_Breeze_ProLo_Styled_MAR24_03.original.jpg</v>
      </c>
      <c r="AB487" s="8" t="str">
        <f>IFERROR(VLOOKUP(A487,Sheet3!B:H,7,false),VLOOKUP(J487,Sheet2!A:C,3,false))</f>
        <v>https://www.tempurpedic.com/shop-pillows/breeze-pillows/</v>
      </c>
      <c r="AC487" s="8" t="str">
        <f t="shared" si="2"/>
        <v>https://rtg-275.myshopify.com/products/BREEZE-PRO-HI-2-0-KG</v>
      </c>
      <c r="AD487" s="8" t="str">
        <f>vlookup(L487,'Python sheet'!$E$2:$F$373,2,0)</f>
        <v>https://rtg-275.myshopify.com/products/BREEZE-PRO-HI-2-0-KG?variant=47915117969546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4.0"/>
    <col customWidth="1" min="4" max="4" width="45.88"/>
    <col customWidth="1" min="5" max="5" width="29.75"/>
    <col customWidth="1" min="8" max="8" width="31.5"/>
    <col customWidth="1" min="9" max="9" width="115.25"/>
    <col customWidth="1" min="13" max="13" width="20.5"/>
    <col customWidth="1" min="14" max="14" width="29.38"/>
    <col customWidth="1" min="19" max="19" width="99.13"/>
    <col customWidth="1" min="20" max="20" width="78.88"/>
  </cols>
  <sheetData>
    <row r="1">
      <c r="A1" s="1" t="s">
        <v>0</v>
      </c>
      <c r="B1" s="14" t="s">
        <v>1048</v>
      </c>
      <c r="C1" s="14" t="s">
        <v>2</v>
      </c>
      <c r="D1" s="1" t="s">
        <v>9</v>
      </c>
      <c r="E1" s="1" t="s">
        <v>10</v>
      </c>
      <c r="F1" s="1" t="s">
        <v>11</v>
      </c>
      <c r="G1" s="1" t="s">
        <v>12</v>
      </c>
      <c r="H1" s="1" t="s">
        <v>13</v>
      </c>
      <c r="I1" s="1" t="s">
        <v>15</v>
      </c>
      <c r="J1" s="1" t="s">
        <v>16</v>
      </c>
      <c r="K1" s="1" t="s">
        <v>17</v>
      </c>
      <c r="L1" s="1" t="s">
        <v>18</v>
      </c>
      <c r="M1" s="1" t="s">
        <v>19</v>
      </c>
      <c r="N1" s="1" t="s">
        <v>20</v>
      </c>
      <c r="O1" s="1" t="s">
        <v>21</v>
      </c>
      <c r="P1" s="1" t="s">
        <v>22</v>
      </c>
      <c r="Q1" s="1" t="s">
        <v>23</v>
      </c>
      <c r="R1" s="3" t="s">
        <v>24</v>
      </c>
      <c r="S1" s="3" t="s">
        <v>25</v>
      </c>
      <c r="T1" s="3" t="s">
        <v>1049</v>
      </c>
      <c r="U1" s="15"/>
    </row>
    <row r="2">
      <c r="A2" s="4">
        <v>5.0000543E7</v>
      </c>
      <c r="B2" s="5"/>
      <c r="C2" s="5"/>
      <c r="D2" s="1" t="s">
        <v>28</v>
      </c>
      <c r="E2" s="1" t="s">
        <v>29</v>
      </c>
      <c r="F2" s="6">
        <v>879.0</v>
      </c>
      <c r="G2" s="6">
        <v>1099.0</v>
      </c>
      <c r="H2" s="1" t="s">
        <v>30</v>
      </c>
      <c r="I2" s="7"/>
      <c r="J2" s="1" t="s">
        <v>31</v>
      </c>
      <c r="K2" s="1" t="s">
        <v>32</v>
      </c>
      <c r="L2" s="1" t="s">
        <v>33</v>
      </c>
      <c r="M2" s="1" t="s">
        <v>34</v>
      </c>
      <c r="N2" s="1" t="s">
        <v>35</v>
      </c>
      <c r="O2" s="1" t="s">
        <v>34</v>
      </c>
      <c r="P2" s="1" t="s">
        <v>36</v>
      </c>
      <c r="Q2" s="1" t="s">
        <v>37</v>
      </c>
      <c r="R2" s="8" t="str">
        <f>IFERROR(VLOOKUP(A2,Sheet3!B:H,6,false),VLOOKUP(D2,Sheet2!A:C,2,false))</f>
        <v>https://assets.roomstogo.com/product/casper-cloud-one-twin-xl-mattress_50000543_image-item</v>
      </c>
      <c r="S2" s="8" t="str">
        <f>IFERROR(VLOOKUP(A2,Sheet3!B:H,7,false),VLOOKUP(D2,Sheet2!A:C,3,false))</f>
        <v>https://assets.roomstogo.com/product/casper-cloud-one-twin-xl-mattress_50000543_alt-image-1</v>
      </c>
      <c r="T2" s="11" t="s">
        <v>1050</v>
      </c>
    </row>
    <row r="3">
      <c r="A3" s="4">
        <v>5.0000579E7</v>
      </c>
      <c r="B3" s="5"/>
      <c r="C3" s="5"/>
      <c r="D3" s="1" t="s">
        <v>38</v>
      </c>
      <c r="E3" s="1" t="s">
        <v>39</v>
      </c>
      <c r="F3" s="6">
        <v>1595.0</v>
      </c>
      <c r="G3" s="6">
        <v>1995.0</v>
      </c>
      <c r="H3" s="1" t="s">
        <v>30</v>
      </c>
      <c r="I3" s="1" t="s">
        <v>40</v>
      </c>
      <c r="J3" s="1" t="s">
        <v>31</v>
      </c>
      <c r="K3" s="1" t="s">
        <v>32</v>
      </c>
      <c r="L3" s="1" t="s">
        <v>41</v>
      </c>
      <c r="M3" s="1" t="s">
        <v>34</v>
      </c>
      <c r="N3" s="1" t="s">
        <v>35</v>
      </c>
      <c r="O3" s="1" t="s">
        <v>34</v>
      </c>
      <c r="P3" s="1" t="s">
        <v>42</v>
      </c>
      <c r="Q3" s="1" t="s">
        <v>37</v>
      </c>
      <c r="R3" s="8" t="str">
        <f>IFERROR(VLOOKUP(A3,Sheet3!B:H,6,false),VLOOKUP(D3,Sheet2!A:C,2,false))</f>
        <v>https://assets.roomstogo.com/product/casper-snow-20-twin-xl-mattress_50000579_image-item</v>
      </c>
      <c r="S3" s="8" t="str">
        <f>IFERROR(VLOOKUP(A3,Sheet3!B:H,7,false),VLOOKUP(D3,Sheet2!A:C,3,false))</f>
        <v>https://assets.roomstogo.com/product/casper-snow-20-twin-xl-mattress_50000579_alt-image-1</v>
      </c>
      <c r="T3" s="11" t="s">
        <v>1051</v>
      </c>
    </row>
    <row r="4">
      <c r="A4" s="4">
        <v>5.0000581E7</v>
      </c>
      <c r="B4" s="9">
        <v>380.0</v>
      </c>
      <c r="C4" s="9">
        <v>4.42</v>
      </c>
      <c r="D4" s="1" t="s">
        <v>46</v>
      </c>
      <c r="E4" s="1" t="s">
        <v>47</v>
      </c>
      <c r="F4" s="6">
        <v>2595.0</v>
      </c>
      <c r="G4" s="6">
        <v>3245.0</v>
      </c>
      <c r="H4" s="1" t="s">
        <v>30</v>
      </c>
      <c r="I4" s="1" t="s">
        <v>48</v>
      </c>
      <c r="J4" s="1" t="s">
        <v>31</v>
      </c>
      <c r="K4" s="1" t="s">
        <v>32</v>
      </c>
      <c r="L4" s="1" t="s">
        <v>41</v>
      </c>
      <c r="M4" s="1" t="s">
        <v>42</v>
      </c>
      <c r="N4" s="1" t="s">
        <v>49</v>
      </c>
      <c r="O4" s="1" t="s">
        <v>34</v>
      </c>
      <c r="P4" s="1" t="s">
        <v>50</v>
      </c>
      <c r="Q4" s="1" t="s">
        <v>51</v>
      </c>
      <c r="R4" s="8" t="str">
        <f>IFERROR(VLOOKUP(A4,Sheet3!B:H,6,false),VLOOKUP(D4,Sheet2!A:C,2,false))</f>
        <v>https://assets.roomstogo.com/product/casper-snow-max-twin-xl-mattress_50000581_image-item</v>
      </c>
      <c r="S4" s="8" t="str">
        <f>IFERROR(VLOOKUP(A4,Sheet3!B:H,7,false),VLOOKUP(D4,Sheet2!A:C,3,false))</f>
        <v>https://assets.roomstogo.com/product/casper-snow-max-twin-xl-mattress_50000581_alt-image-1</v>
      </c>
      <c r="T4" s="11" t="s">
        <v>1052</v>
      </c>
    </row>
    <row r="5">
      <c r="A5" s="4">
        <v>5.0000682E7</v>
      </c>
      <c r="B5" s="5"/>
      <c r="C5" s="5"/>
      <c r="D5" s="1" t="s">
        <v>52</v>
      </c>
      <c r="E5" s="1" t="s">
        <v>53</v>
      </c>
      <c r="F5" s="6">
        <v>699.0</v>
      </c>
      <c r="G5" s="6">
        <v>799.0</v>
      </c>
      <c r="H5" s="1" t="s">
        <v>30</v>
      </c>
      <c r="I5" s="1" t="s">
        <v>55</v>
      </c>
      <c r="J5" s="1" t="s">
        <v>31</v>
      </c>
      <c r="K5" s="1" t="s">
        <v>32</v>
      </c>
      <c r="L5" s="1" t="s">
        <v>33</v>
      </c>
      <c r="M5" s="1" t="s">
        <v>36</v>
      </c>
      <c r="N5" s="1" t="s">
        <v>35</v>
      </c>
      <c r="O5" s="1" t="s">
        <v>36</v>
      </c>
      <c r="P5" s="1" t="s">
        <v>36</v>
      </c>
      <c r="Q5" s="1" t="s">
        <v>37</v>
      </c>
      <c r="R5" s="8" t="str">
        <f>IFERROR(VLOOKUP(A5,Sheet3!B:H,6,false),VLOOKUP(D5,Sheet2!A:C,2,false))</f>
        <v>https://assets.roomstogo.com/product/casper-onyx-20-twin-xl-mattress_50000682_image-item</v>
      </c>
      <c r="S5" s="8" t="str">
        <f>IFERROR(VLOOKUP(A5,Sheet3!B:H,7,false),VLOOKUP(D5,Sheet2!A:C,3,false))</f>
        <v>https://assets.roomstogo.com/product/casper-onyx-20-twin-xl-mattress_50000682_alt-image-1</v>
      </c>
      <c r="T5" s="11" t="s">
        <v>1053</v>
      </c>
    </row>
    <row r="6">
      <c r="A6" s="4">
        <v>5.0001773E7</v>
      </c>
      <c r="B6" s="5"/>
      <c r="C6" s="5"/>
      <c r="D6" s="1" t="s">
        <v>56</v>
      </c>
      <c r="E6" s="1" t="s">
        <v>57</v>
      </c>
      <c r="F6" s="6">
        <v>1077.0</v>
      </c>
      <c r="G6" s="6">
        <v>3199.0</v>
      </c>
      <c r="H6" s="1" t="s">
        <v>58</v>
      </c>
      <c r="I6" s="7"/>
      <c r="J6" s="7"/>
      <c r="K6" s="1" t="s">
        <v>32</v>
      </c>
      <c r="L6" s="1" t="s">
        <v>59</v>
      </c>
      <c r="M6" s="1" t="s">
        <v>42</v>
      </c>
      <c r="N6" s="1" t="s">
        <v>35</v>
      </c>
      <c r="O6" s="1" t="s">
        <v>42</v>
      </c>
      <c r="P6" s="1" t="s">
        <v>34</v>
      </c>
      <c r="Q6" s="1" t="s">
        <v>37</v>
      </c>
      <c r="R6" s="8" t="str">
        <f>IFERROR(VLOOKUP(A6,Sheet3!B:H,6,false),VLOOKUP(D6,Sheet2!A:C,2,false))</f>
        <v>https://assets.roomstogo.com/product/kingsdown-smart-match-20-twin-xl-mattress_50001773_image-item</v>
      </c>
      <c r="S6" s="8" t="str">
        <f>IFERROR(VLOOKUP(A6,Sheet3!B:H,7,false),VLOOKUP(D6,Sheet2!A:C,3,false))</f>
        <v>https://assets.roomstogo.com/product/kingsdown-smart-match-20-twin-xl-mattress_50001773_alt-image-1</v>
      </c>
      <c r="T6" s="11" t="s">
        <v>1054</v>
      </c>
    </row>
    <row r="7">
      <c r="A7" s="4">
        <v>5.000746E7</v>
      </c>
      <c r="B7" s="9">
        <v>346.0</v>
      </c>
      <c r="C7" s="9">
        <v>4.43</v>
      </c>
      <c r="D7" s="1" t="s">
        <v>62</v>
      </c>
      <c r="E7" s="1" t="s">
        <v>63</v>
      </c>
      <c r="F7" s="6">
        <v>1699.0</v>
      </c>
      <c r="G7" s="6">
        <v>1699.0</v>
      </c>
      <c r="H7" s="1" t="s">
        <v>64</v>
      </c>
      <c r="I7" s="1" t="s">
        <v>65</v>
      </c>
      <c r="J7" s="1" t="s">
        <v>31</v>
      </c>
      <c r="K7" s="1" t="s">
        <v>32</v>
      </c>
      <c r="L7" s="1" t="s">
        <v>33</v>
      </c>
      <c r="M7" s="1" t="s">
        <v>42</v>
      </c>
      <c r="N7" s="1" t="s">
        <v>35</v>
      </c>
      <c r="O7" s="1" t="s">
        <v>42</v>
      </c>
      <c r="P7" s="1" t="s">
        <v>42</v>
      </c>
      <c r="Q7" s="1" t="s">
        <v>37</v>
      </c>
      <c r="R7" s="8" t="str">
        <f>IFERROR(VLOOKUP(A7,Sheet3!B:H,6,false),VLOOKUP(D7,Sheet2!A:C,2,false))</f>
        <v>https://assets.roomstogo.com/product/tempur-pedic-adapt-20-medium-twin-xl-mattress_50007460_image-item</v>
      </c>
      <c r="S7" s="8" t="str">
        <f>IFERROR(VLOOKUP(A7,Sheet3!B:H,7,false),VLOOKUP(D7,Sheet2!A:C,3,false))</f>
        <v>https://assets.roomstogo.com/product/tempur-pedic-adapt-20-medium-twin-xl-mattress_50007460_alt-image-1</v>
      </c>
      <c r="T7" s="11" t="s">
        <v>1055</v>
      </c>
    </row>
    <row r="8">
      <c r="A8" s="4">
        <v>5.0007472E7</v>
      </c>
      <c r="B8" s="9">
        <v>2587.0</v>
      </c>
      <c r="C8" s="9">
        <v>4.2</v>
      </c>
      <c r="D8" s="1" t="s">
        <v>68</v>
      </c>
      <c r="E8" s="1" t="s">
        <v>69</v>
      </c>
      <c r="F8" s="6">
        <v>1999.0</v>
      </c>
      <c r="G8" s="6">
        <v>1999.0</v>
      </c>
      <c r="H8" s="1" t="s">
        <v>64</v>
      </c>
      <c r="I8" s="1" t="s">
        <v>70</v>
      </c>
      <c r="J8" s="1" t="s">
        <v>31</v>
      </c>
      <c r="K8" s="1" t="s">
        <v>32</v>
      </c>
      <c r="L8" s="1" t="s">
        <v>41</v>
      </c>
      <c r="M8" s="1" t="s">
        <v>42</v>
      </c>
      <c r="N8" s="1" t="s">
        <v>35</v>
      </c>
      <c r="O8" s="1" t="s">
        <v>42</v>
      </c>
      <c r="P8" s="1" t="s">
        <v>42</v>
      </c>
      <c r="Q8" s="1" t="s">
        <v>37</v>
      </c>
      <c r="R8" s="8" t="str">
        <f>IFERROR(VLOOKUP(A8,Sheet3!B:H,6,false),VLOOKUP(D8,Sheet2!A:C,2,false))</f>
        <v>https://assets.roomstogo.com/product/tempur-pedic-adapt-20-medium-hybrid-twin-xl-mattress_50007472_image-item</v>
      </c>
      <c r="S8" s="8" t="str">
        <f>IFERROR(VLOOKUP(A8,Sheet3!B:H,7,false),VLOOKUP(D8,Sheet2!A:C,3,false))</f>
        <v>https://assets.roomstogo.com/product/tempur-pedic-adapt-20-medium-hybrid-twin-xl-mattress_50007472_alt-image-1</v>
      </c>
      <c r="T8" s="11" t="s">
        <v>1056</v>
      </c>
    </row>
    <row r="9">
      <c r="A9" s="4">
        <v>5.0007484E7</v>
      </c>
      <c r="B9" s="9">
        <v>245.0</v>
      </c>
      <c r="C9" s="9">
        <v>4.62</v>
      </c>
      <c r="D9" s="1" t="s">
        <v>73</v>
      </c>
      <c r="E9" s="1" t="s">
        <v>74</v>
      </c>
      <c r="F9" s="6">
        <v>2899.0</v>
      </c>
      <c r="G9" s="6">
        <v>2899.0</v>
      </c>
      <c r="H9" s="1" t="s">
        <v>64</v>
      </c>
      <c r="I9" s="1" t="s">
        <v>75</v>
      </c>
      <c r="J9" s="1" t="s">
        <v>31</v>
      </c>
      <c r="K9" s="1" t="s">
        <v>32</v>
      </c>
      <c r="L9" s="1" t="s">
        <v>33</v>
      </c>
      <c r="M9" s="1" t="s">
        <v>42</v>
      </c>
      <c r="N9" s="1" t="s">
        <v>76</v>
      </c>
      <c r="O9" s="1" t="s">
        <v>50</v>
      </c>
      <c r="P9" s="1" t="s">
        <v>42</v>
      </c>
      <c r="Q9" s="1" t="s">
        <v>77</v>
      </c>
      <c r="R9" s="8" t="str">
        <f>IFERROR(VLOOKUP(A9,Sheet3!B:H,6,false),VLOOKUP(D9,Sheet2!A:C,2,false))</f>
        <v>https://assets.roomstogo.com/product/tempur-pedic-proadapt-20-firm-twin-xl-mattress_50007484_image-item</v>
      </c>
      <c r="S9" s="8" t="str">
        <f>IFERROR(VLOOKUP(A9,Sheet3!B:H,7,false),VLOOKUP(D9,Sheet2!A:C,3,false))</f>
        <v>https://assets.roomstogo.com/product/tempur-pedic-proadapt-20-firm-twin-xl-mattress_50007484_alt-image-1</v>
      </c>
      <c r="T9" s="11" t="s">
        <v>1057</v>
      </c>
    </row>
    <row r="10">
      <c r="A10" s="4">
        <v>5.0007511E7</v>
      </c>
      <c r="B10" s="9">
        <v>306.0</v>
      </c>
      <c r="C10" s="9">
        <v>4.48</v>
      </c>
      <c r="D10" s="1" t="s">
        <v>80</v>
      </c>
      <c r="E10" s="1" t="s">
        <v>81</v>
      </c>
      <c r="F10" s="6">
        <v>3899.0</v>
      </c>
      <c r="G10" s="6">
        <v>3899.0</v>
      </c>
      <c r="H10" s="1" t="s">
        <v>64</v>
      </c>
      <c r="I10" s="1" t="s">
        <v>82</v>
      </c>
      <c r="J10" s="1" t="s">
        <v>31</v>
      </c>
      <c r="K10" s="1" t="s">
        <v>32</v>
      </c>
      <c r="L10" s="1" t="s">
        <v>41</v>
      </c>
      <c r="M10" s="1" t="s">
        <v>42</v>
      </c>
      <c r="N10" s="1" t="s">
        <v>35</v>
      </c>
      <c r="O10" s="1" t="s">
        <v>50</v>
      </c>
      <c r="P10" s="1" t="s">
        <v>50</v>
      </c>
      <c r="Q10" s="1" t="s">
        <v>37</v>
      </c>
      <c r="R10" s="8" t="str">
        <f>IFERROR(VLOOKUP(A10,Sheet3!B:H,6,false),VLOOKUP(D10,Sheet2!A:C,2,false))</f>
        <v>https://assets.roomstogo.com/product/tempur-pedic-probreeze-20-medium-hybrid-twin-xl-mattress_50007511_image-item</v>
      </c>
      <c r="S10" s="8" t="str">
        <f>IFERROR(VLOOKUP(A10,Sheet3!B:H,7,false),VLOOKUP(D10,Sheet2!A:C,3,false))</f>
        <v>https://assets.roomstogo.com/product/tempur-pedic-probreeze-20-medium-hybrid-twin-xl-mattress_50007511_image-item</v>
      </c>
      <c r="T10" s="11" t="s">
        <v>1058</v>
      </c>
    </row>
    <row r="11">
      <c r="A11" s="4">
        <v>5.0007523E7</v>
      </c>
      <c r="B11" s="9">
        <v>5219.0</v>
      </c>
      <c r="C11" s="9">
        <v>4.27</v>
      </c>
      <c r="D11" s="1" t="s">
        <v>85</v>
      </c>
      <c r="E11" s="1" t="s">
        <v>86</v>
      </c>
      <c r="F11" s="6">
        <v>2899.0</v>
      </c>
      <c r="G11" s="6">
        <v>2899.0</v>
      </c>
      <c r="H11" s="1" t="s">
        <v>64</v>
      </c>
      <c r="I11" s="1" t="s">
        <v>75</v>
      </c>
      <c r="J11" s="1" t="s">
        <v>31</v>
      </c>
      <c r="K11" s="1" t="s">
        <v>32</v>
      </c>
      <c r="L11" s="1" t="s">
        <v>33</v>
      </c>
      <c r="M11" s="1" t="s">
        <v>42</v>
      </c>
      <c r="N11" s="1" t="s">
        <v>35</v>
      </c>
      <c r="O11" s="1" t="s">
        <v>50</v>
      </c>
      <c r="P11" s="1" t="s">
        <v>42</v>
      </c>
      <c r="Q11" s="1" t="s">
        <v>37</v>
      </c>
      <c r="R11" s="8" t="str">
        <f>IFERROR(VLOOKUP(A11,Sheet3!B:H,6,false),VLOOKUP(D11,Sheet2!A:C,2,false))</f>
        <v>https://assets.roomstogo.com/product/tempur-pedic-proadapt-20-medium-twin-xl-mattress_50007523_image-item</v>
      </c>
      <c r="S11" s="8" t="str">
        <f>IFERROR(VLOOKUP(A11,Sheet3!B:H,7,false),VLOOKUP(D11,Sheet2!A:C,3,false))</f>
        <v>https://assets.roomstogo.com/product/tempur-pedic-proadapt-20-medium-twin-xl-mattress_50007523_alt-image-1</v>
      </c>
      <c r="T11" s="11" t="s">
        <v>1059</v>
      </c>
    </row>
    <row r="12">
      <c r="A12" s="4">
        <v>5.0007535E7</v>
      </c>
      <c r="B12" s="9">
        <v>77.0</v>
      </c>
      <c r="C12" s="9">
        <v>4.19</v>
      </c>
      <c r="D12" s="1" t="s">
        <v>89</v>
      </c>
      <c r="E12" s="1" t="s">
        <v>90</v>
      </c>
      <c r="F12" s="6">
        <v>2899.0</v>
      </c>
      <c r="G12" s="6">
        <v>2899.0</v>
      </c>
      <c r="H12" s="1" t="s">
        <v>64</v>
      </c>
      <c r="I12" s="1" t="s">
        <v>91</v>
      </c>
      <c r="J12" s="1" t="s">
        <v>31</v>
      </c>
      <c r="K12" s="1" t="s">
        <v>32</v>
      </c>
      <c r="L12" s="1" t="s">
        <v>33</v>
      </c>
      <c r="M12" s="1" t="s">
        <v>50</v>
      </c>
      <c r="N12" s="1" t="s">
        <v>49</v>
      </c>
      <c r="O12" s="1" t="s">
        <v>50</v>
      </c>
      <c r="P12" s="1" t="s">
        <v>42</v>
      </c>
      <c r="Q12" s="1" t="s">
        <v>51</v>
      </c>
      <c r="R12" s="8" t="str">
        <f>IFERROR(VLOOKUP(A12,Sheet3!B:H,6,false),VLOOKUP(D12,Sheet2!A:C,2,false))</f>
        <v>https://assets.roomstogo.com/product/tempur-pedic-proadapt-20-soft-twin-xl-mattress_50007535_image-item</v>
      </c>
      <c r="S12" s="8" t="str">
        <f>IFERROR(VLOOKUP(A12,Sheet3!B:H,7,false),VLOOKUP(D12,Sheet2!A:C,3,false))</f>
        <v>https://assets.roomstogo.com/product/tempur-pedic-proadapt-20-soft-twin-xl-mattress_50007535_alt-image-1</v>
      </c>
      <c r="T12" s="11" t="s">
        <v>1060</v>
      </c>
    </row>
    <row r="13">
      <c r="A13" s="4">
        <v>5.0007559E7</v>
      </c>
      <c r="B13" s="9">
        <v>975.0</v>
      </c>
      <c r="C13" s="9">
        <v>4.38</v>
      </c>
      <c r="D13" s="1" t="s">
        <v>94</v>
      </c>
      <c r="E13" s="1" t="s">
        <v>95</v>
      </c>
      <c r="F13" s="6">
        <v>2899.0</v>
      </c>
      <c r="G13" s="6">
        <v>2899.0</v>
      </c>
      <c r="H13" s="1" t="s">
        <v>64</v>
      </c>
      <c r="I13" s="1" t="s">
        <v>96</v>
      </c>
      <c r="J13" s="1" t="s">
        <v>31</v>
      </c>
      <c r="K13" s="1" t="s">
        <v>32</v>
      </c>
      <c r="L13" s="1" t="s">
        <v>41</v>
      </c>
      <c r="M13" s="1" t="s">
        <v>42</v>
      </c>
      <c r="N13" s="1" t="s">
        <v>35</v>
      </c>
      <c r="O13" s="1" t="s">
        <v>50</v>
      </c>
      <c r="P13" s="1" t="s">
        <v>42</v>
      </c>
      <c r="Q13" s="1" t="s">
        <v>37</v>
      </c>
      <c r="R13" s="8" t="str">
        <f>IFERROR(VLOOKUP(A13,Sheet3!B:H,6,false),VLOOKUP(D13,Sheet2!A:C,2,false))</f>
        <v>https://assets.roomstogo.com/product/tempur-pedic-proadapt-20-medium-hybrid-twin-xl-mattress_50007559_image-item</v>
      </c>
      <c r="S13" s="8" t="str">
        <f>IFERROR(VLOOKUP(A13,Sheet3!B:H,7,false),VLOOKUP(D13,Sheet2!A:C,3,false))</f>
        <v>https://assets.roomstogo.com/product/tempur-pedic-proadapt-20-medium-hybrid-twin-xl-mattress_50007559_alt-image-1</v>
      </c>
      <c r="T13" s="11" t="s">
        <v>1061</v>
      </c>
    </row>
    <row r="14">
      <c r="A14" s="4">
        <v>5.0007561E7</v>
      </c>
      <c r="B14" s="9">
        <v>1234.0</v>
      </c>
      <c r="C14" s="9">
        <v>4.24</v>
      </c>
      <c r="D14" s="1" t="s">
        <v>99</v>
      </c>
      <c r="E14" s="1" t="s">
        <v>100</v>
      </c>
      <c r="F14" s="6">
        <v>4199.0</v>
      </c>
      <c r="G14" s="6">
        <v>4199.0</v>
      </c>
      <c r="H14" s="1" t="s">
        <v>64</v>
      </c>
      <c r="I14" s="1" t="s">
        <v>101</v>
      </c>
      <c r="J14" s="1" t="s">
        <v>31</v>
      </c>
      <c r="K14" s="1" t="s">
        <v>32</v>
      </c>
      <c r="L14" s="1" t="s">
        <v>33</v>
      </c>
      <c r="M14" s="1" t="s">
        <v>50</v>
      </c>
      <c r="N14" s="1" t="s">
        <v>49</v>
      </c>
      <c r="O14" s="1" t="s">
        <v>50</v>
      </c>
      <c r="P14" s="1" t="s">
        <v>42</v>
      </c>
      <c r="Q14" s="1" t="s">
        <v>51</v>
      </c>
      <c r="R14" s="8" t="str">
        <f>IFERROR(VLOOKUP(A14,Sheet3!B:H,6,false),VLOOKUP(D14,Sheet2!A:C,2,false))</f>
        <v>https://assets.roomstogo.com/product/tempur-pedic-luxeadapt-20-soft-twin-xl-mattress_50007561_image-item</v>
      </c>
      <c r="S14" s="8" t="str">
        <f>IFERROR(VLOOKUP(A14,Sheet3!B:H,7,false),VLOOKUP(D14,Sheet2!A:C,3,false))</f>
        <v>https://assets.roomstogo.com/product/tempur-pedic-luxeadapt-20-soft-twin-xl-mattress_50007561_alt-image-1</v>
      </c>
      <c r="T14" s="11" t="s">
        <v>1062</v>
      </c>
    </row>
    <row r="15">
      <c r="A15" s="4">
        <v>5.0007585E7</v>
      </c>
      <c r="B15" s="9">
        <v>129.0</v>
      </c>
      <c r="C15" s="9">
        <v>4.62</v>
      </c>
      <c r="D15" s="1" t="s">
        <v>104</v>
      </c>
      <c r="E15" s="1" t="s">
        <v>105</v>
      </c>
      <c r="F15" s="6">
        <v>4199.0</v>
      </c>
      <c r="G15" s="6">
        <v>4199.0</v>
      </c>
      <c r="H15" s="1" t="s">
        <v>64</v>
      </c>
      <c r="I15" s="1" t="s">
        <v>106</v>
      </c>
      <c r="J15" s="1" t="s">
        <v>31</v>
      </c>
      <c r="K15" s="1" t="s">
        <v>32</v>
      </c>
      <c r="L15" s="1" t="s">
        <v>41</v>
      </c>
      <c r="M15" s="1" t="s">
        <v>50</v>
      </c>
      <c r="N15" s="1" t="s">
        <v>35</v>
      </c>
      <c r="O15" s="1" t="s">
        <v>50</v>
      </c>
      <c r="P15" s="1" t="s">
        <v>42</v>
      </c>
      <c r="Q15" s="1" t="s">
        <v>37</v>
      </c>
      <c r="R15" s="8" t="str">
        <f>IFERROR(VLOOKUP(A15,Sheet3!B:H,6,false),VLOOKUP(D15,Sheet2!A:C,2,false))</f>
        <v>https://assets.roomstogo.com/product/tempur-pedic-luxeadapt-20-medium-hybrid-twin-xl-mattress_50007585_image-item</v>
      </c>
      <c r="S15" s="8" t="str">
        <f>IFERROR(VLOOKUP(A15,Sheet3!B:H,7,false),VLOOKUP(D15,Sheet2!A:C,3,false))</f>
        <v>https://assets.roomstogo.com/product/tempur-pedic-luxeadapt-20-medium-hybrid-twin-xl-mattress_50007585_alt-image-1</v>
      </c>
      <c r="T15" s="11" t="s">
        <v>1063</v>
      </c>
    </row>
    <row r="16">
      <c r="A16" s="4">
        <v>5.0007624E7</v>
      </c>
      <c r="B16" s="9">
        <v>440.0</v>
      </c>
      <c r="C16" s="9">
        <v>4.54</v>
      </c>
      <c r="D16" s="1" t="s">
        <v>109</v>
      </c>
      <c r="E16" s="1" t="s">
        <v>110</v>
      </c>
      <c r="F16" s="6">
        <v>5199.0</v>
      </c>
      <c r="G16" s="6">
        <v>5199.0</v>
      </c>
      <c r="H16" s="1" t="s">
        <v>64</v>
      </c>
      <c r="I16" s="1" t="s">
        <v>111</v>
      </c>
      <c r="J16" s="1" t="s">
        <v>31</v>
      </c>
      <c r="K16" s="1" t="s">
        <v>32</v>
      </c>
      <c r="L16" s="1" t="s">
        <v>33</v>
      </c>
      <c r="M16" s="1" t="s">
        <v>50</v>
      </c>
      <c r="N16" s="1" t="s">
        <v>76</v>
      </c>
      <c r="O16" s="1" t="s">
        <v>50</v>
      </c>
      <c r="P16" s="1" t="s">
        <v>50</v>
      </c>
      <c r="Q16" s="1" t="s">
        <v>77</v>
      </c>
      <c r="R16" s="8" t="str">
        <f>IFERROR(VLOOKUP(A16,Sheet3!B:H,6,false),VLOOKUP(D16,Sheet2!A:C,2,false))</f>
        <v>https://assets.roomstogo.com/product/tempur-pedic-luxebreeze-20-firm-twin-xl-mattress_50007624_image-item</v>
      </c>
      <c r="S16" s="8" t="str">
        <f>IFERROR(VLOOKUP(A16,Sheet3!B:H,7,false),VLOOKUP(D16,Sheet2!A:C,3,false))</f>
        <v>https://assets.roomstogo.com/product/tempur-pedic-luxebreeze-20-firm-twin-xl-mattress_50007624_image-item</v>
      </c>
      <c r="T16" s="11" t="s">
        <v>1064</v>
      </c>
    </row>
    <row r="17">
      <c r="A17" s="4">
        <v>5.000987E7</v>
      </c>
      <c r="B17" s="5"/>
      <c r="C17" s="5"/>
      <c r="D17" s="1" t="s">
        <v>112</v>
      </c>
      <c r="E17" s="1" t="s">
        <v>113</v>
      </c>
      <c r="F17" s="6">
        <v>797.0</v>
      </c>
      <c r="G17" s="6">
        <v>999.0</v>
      </c>
      <c r="H17" s="1" t="s">
        <v>114</v>
      </c>
      <c r="I17" s="7"/>
      <c r="J17" s="1" t="s">
        <v>31</v>
      </c>
      <c r="K17" s="1" t="s">
        <v>32</v>
      </c>
      <c r="L17" s="1" t="s">
        <v>41</v>
      </c>
      <c r="M17" s="1" t="s">
        <v>34</v>
      </c>
      <c r="N17" s="1" t="s">
        <v>35</v>
      </c>
      <c r="O17" s="1" t="s">
        <v>34</v>
      </c>
      <c r="P17" s="1" t="s">
        <v>34</v>
      </c>
      <c r="Q17" s="1" t="s">
        <v>37</v>
      </c>
      <c r="R17" s="8" t="str">
        <f>IFERROR(VLOOKUP(A17,Sheet3!B:H,6,false),VLOOKUP(D17,Sheet2!A:C,2,false))</f>
        <v>https://assets.roomstogo.com/product/tuft-needle-stitch-tn31-twin-xl-mattress_50009870_image-item</v>
      </c>
      <c r="S17" s="8" t="str">
        <f>IFERROR(VLOOKUP(A17,Sheet3!B:H,7,false),VLOOKUP(D17,Sheet2!A:C,3,false))</f>
        <v>https://assets.roomstogo.com/product/tuft-needle-stitch-tn31-twin-xl-mattress_50009870_alt-image-1</v>
      </c>
      <c r="T17" s="11" t="s">
        <v>1065</v>
      </c>
    </row>
    <row r="18">
      <c r="A18" s="4">
        <v>5.0009882E7</v>
      </c>
      <c r="B18" s="5"/>
      <c r="C18" s="5"/>
      <c r="D18" s="1" t="s">
        <v>115</v>
      </c>
      <c r="E18" s="1" t="s">
        <v>116</v>
      </c>
      <c r="F18" s="6">
        <v>795.0</v>
      </c>
      <c r="G18" s="6">
        <v>1399.0</v>
      </c>
      <c r="H18" s="1" t="s">
        <v>114</v>
      </c>
      <c r="I18" s="7"/>
      <c r="J18" s="1" t="s">
        <v>31</v>
      </c>
      <c r="K18" s="1" t="s">
        <v>32</v>
      </c>
      <c r="L18" s="1" t="s">
        <v>41</v>
      </c>
      <c r="M18" s="1" t="s">
        <v>42</v>
      </c>
      <c r="N18" s="1" t="s">
        <v>76</v>
      </c>
      <c r="O18" s="1" t="s">
        <v>42</v>
      </c>
      <c r="P18" s="1" t="s">
        <v>42</v>
      </c>
      <c r="Q18" s="1" t="s">
        <v>77</v>
      </c>
      <c r="R18" s="8" t="str">
        <f>IFERROR(VLOOKUP(A18,Sheet3!B:H,6,false),VLOOKUP(D18,Sheet2!A:C,2,false))</f>
        <v>https://assets.roomstogo.com/product/tuft-needle-stitch-tn51-twin-xl-mattress_50009882_image-item</v>
      </c>
      <c r="S18" s="8" t="str">
        <f>IFERROR(VLOOKUP(A18,Sheet3!B:H,7,false),VLOOKUP(D18,Sheet2!A:C,3,false))</f>
        <v>https://assets.roomstogo.com/product/tuft-needle-stitch-tn51-twin-xl-mattress_50009882_alt-image-1</v>
      </c>
      <c r="T18" s="11" t="s">
        <v>1066</v>
      </c>
    </row>
    <row r="19">
      <c r="A19" s="4">
        <v>5.0009907E7</v>
      </c>
      <c r="B19" s="5"/>
      <c r="C19" s="5"/>
      <c r="D19" s="1" t="s">
        <v>117</v>
      </c>
      <c r="E19" s="1" t="s">
        <v>118</v>
      </c>
      <c r="F19" s="6">
        <v>1597.0</v>
      </c>
      <c r="G19" s="6">
        <v>2099.0</v>
      </c>
      <c r="H19" s="1" t="s">
        <v>114</v>
      </c>
      <c r="I19" s="7"/>
      <c r="J19" s="1" t="s">
        <v>31</v>
      </c>
      <c r="K19" s="1" t="s">
        <v>32</v>
      </c>
      <c r="L19" s="1" t="s">
        <v>41</v>
      </c>
      <c r="M19" s="1" t="s">
        <v>50</v>
      </c>
      <c r="N19" s="1" t="s">
        <v>49</v>
      </c>
      <c r="O19" s="1" t="s">
        <v>42</v>
      </c>
      <c r="P19" s="1" t="s">
        <v>42</v>
      </c>
      <c r="Q19" s="1" t="s">
        <v>51</v>
      </c>
      <c r="R19" s="8" t="str">
        <f>IFERROR(VLOOKUP(A19,Sheet3!B:H,6,false),VLOOKUP(D19,Sheet2!A:C,2,false))</f>
        <v>https://assets.roomstogo.com/product/tuft-needle-stitch-tn91-twin-xl-mattress_50009907_image-item</v>
      </c>
      <c r="S19" s="8" t="str">
        <f>IFERROR(VLOOKUP(A19,Sheet3!B:H,7,false),VLOOKUP(D19,Sheet2!A:C,3,false))</f>
        <v>https://assets.roomstogo.com/product/tuft-needle-stitch-tn91-twin-xl-mattress_50009907_alt-image-1</v>
      </c>
      <c r="T19" s="11" t="s">
        <v>1067</v>
      </c>
    </row>
    <row r="20">
      <c r="A20" s="4">
        <v>5.0009933E7</v>
      </c>
      <c r="B20" s="5"/>
      <c r="C20" s="5"/>
      <c r="D20" s="1" t="s">
        <v>119</v>
      </c>
      <c r="E20" s="1" t="s">
        <v>120</v>
      </c>
      <c r="F20" s="6">
        <v>577.0</v>
      </c>
      <c r="G20" s="6">
        <v>699.0</v>
      </c>
      <c r="H20" s="1" t="s">
        <v>114</v>
      </c>
      <c r="I20" s="1" t="s">
        <v>121</v>
      </c>
      <c r="J20" s="1" t="s">
        <v>31</v>
      </c>
      <c r="K20" s="1" t="s">
        <v>32</v>
      </c>
      <c r="L20" s="1" t="s">
        <v>33</v>
      </c>
      <c r="M20" s="1" t="s">
        <v>36</v>
      </c>
      <c r="N20" s="1" t="s">
        <v>76</v>
      </c>
      <c r="O20" s="1" t="s">
        <v>36</v>
      </c>
      <c r="P20" s="1" t="s">
        <v>36</v>
      </c>
      <c r="Q20" s="1" t="s">
        <v>77</v>
      </c>
      <c r="R20" s="8" t="str">
        <f>IFERROR(VLOOKUP(A20,Sheet3!B:H,6,false),VLOOKUP(D20,Sheet2!A:C,2,false))</f>
        <v>https://assets.roomstogo.com/product/tuft-needle-tn1-twin-xl-mattress_50009933_image-item</v>
      </c>
      <c r="S20" s="8" t="str">
        <f>IFERROR(VLOOKUP(A20,Sheet3!B:H,7,false),VLOOKUP(D20,Sheet2!A:C,3,false))</f>
        <v>https://assets.roomstogo.com/product/tuft-needle-tn1-twin-xl-mattress_50009933_alt-image-1</v>
      </c>
      <c r="T20" s="11" t="s">
        <v>1068</v>
      </c>
    </row>
    <row r="21">
      <c r="A21" s="4">
        <v>5.001057E7</v>
      </c>
      <c r="B21" s="5"/>
      <c r="C21" s="5"/>
      <c r="D21" s="1" t="s">
        <v>122</v>
      </c>
      <c r="E21" s="1" t="s">
        <v>123</v>
      </c>
      <c r="F21" s="6">
        <v>447.0</v>
      </c>
      <c r="G21" s="6">
        <v>949.0</v>
      </c>
      <c r="H21" s="1" t="s">
        <v>124</v>
      </c>
      <c r="I21" s="7"/>
      <c r="J21" s="7"/>
      <c r="K21" s="1" t="s">
        <v>32</v>
      </c>
      <c r="L21" s="1" t="s">
        <v>33</v>
      </c>
      <c r="M21" s="1" t="s">
        <v>34</v>
      </c>
      <c r="N21" s="1" t="s">
        <v>35</v>
      </c>
      <c r="O21" s="1" t="s">
        <v>34</v>
      </c>
      <c r="P21" s="1" t="s">
        <v>34</v>
      </c>
      <c r="Q21" s="1" t="s">
        <v>37</v>
      </c>
      <c r="R21" s="8" t="str">
        <f>IFERROR(VLOOKUP(A21,Sheet3!B:H,6,false),VLOOKUP(D21,Sheet2!A:C,2,false))</f>
        <v>https://assets.roomstogo.com/product/molecule-core-twin-xl-mattress_50010570_image-item</v>
      </c>
      <c r="S21" s="8" t="str">
        <f>IFERROR(VLOOKUP(A21,Sheet3!B:H,7,false),VLOOKUP(D21,Sheet2!A:C,3,false))</f>
        <v>https://assets.roomstogo.com/product/molecule-core-twin-xl-mattress_50010570_alt-image-1</v>
      </c>
      <c r="T21" s="11" t="s">
        <v>1069</v>
      </c>
    </row>
    <row r="22">
      <c r="A22" s="4">
        <v>5.0010671E7</v>
      </c>
      <c r="B22" s="9">
        <v>192.0</v>
      </c>
      <c r="C22" s="9">
        <v>4.4</v>
      </c>
      <c r="D22" s="1" t="s">
        <v>127</v>
      </c>
      <c r="E22" s="1" t="s">
        <v>128</v>
      </c>
      <c r="F22" s="6">
        <v>695.0</v>
      </c>
      <c r="G22" s="6">
        <v>849.99</v>
      </c>
      <c r="H22" s="1" t="s">
        <v>129</v>
      </c>
      <c r="I22" s="1" t="s">
        <v>130</v>
      </c>
      <c r="J22" s="1" t="s">
        <v>31</v>
      </c>
      <c r="K22" s="1" t="s">
        <v>32</v>
      </c>
      <c r="L22" s="1" t="s">
        <v>41</v>
      </c>
      <c r="M22" s="1" t="s">
        <v>34</v>
      </c>
      <c r="N22" s="1" t="s">
        <v>35</v>
      </c>
      <c r="O22" s="1" t="s">
        <v>34</v>
      </c>
      <c r="P22" s="1" t="s">
        <v>34</v>
      </c>
      <c r="Q22" s="1" t="s">
        <v>37</v>
      </c>
      <c r="R22" s="8" t="str">
        <f>IFERROR(VLOOKUP(A22,Sheet3!B:H,6,false),VLOOKUP(D22,Sheet2!A:C,2,false))</f>
        <v>https://assets.roomstogo.com/product/beautyrest-select-broad-peak-medium-hybrid-twin-xl-mattress_50010671_image-item</v>
      </c>
      <c r="S22" s="8" t="str">
        <f>IFERROR(VLOOKUP(A22,Sheet3!B:H,7,false),VLOOKUP(D22,Sheet2!A:C,3,false))</f>
        <v>https://assets.roomstogo.com/product/beautyrest-select-broad-peak-medium-hybrid-twin-xl-mattress_50010671_alt-image-1</v>
      </c>
      <c r="T22" s="11" t="s">
        <v>1070</v>
      </c>
    </row>
    <row r="23">
      <c r="A23" s="4">
        <v>5.0011053E7</v>
      </c>
      <c r="B23" s="5"/>
      <c r="C23" s="5"/>
      <c r="D23" s="1" t="s">
        <v>131</v>
      </c>
      <c r="E23" s="1" t="s">
        <v>132</v>
      </c>
      <c r="F23" s="6">
        <v>445.0</v>
      </c>
      <c r="G23" s="6">
        <v>549.99</v>
      </c>
      <c r="H23" s="1" t="s">
        <v>133</v>
      </c>
      <c r="I23" s="7"/>
      <c r="J23" s="1" t="s">
        <v>134</v>
      </c>
      <c r="K23" s="1" t="s">
        <v>32</v>
      </c>
      <c r="L23" s="1" t="s">
        <v>59</v>
      </c>
      <c r="M23" s="1" t="s">
        <v>36</v>
      </c>
      <c r="N23" s="1" t="s">
        <v>49</v>
      </c>
      <c r="O23" s="1" t="s">
        <v>42</v>
      </c>
      <c r="P23" s="1" t="s">
        <v>36</v>
      </c>
      <c r="Q23" s="1" t="s">
        <v>51</v>
      </c>
      <c r="R23" s="8" t="str">
        <f>IFERROR(VLOOKUP(A23,Sheet3!B:H,6,false),VLOOKUP(D23,Sheet2!A:C,2,false))</f>
        <v>https://assets.roomstogo.com/product/tommy-bahama-bay-dreamer-twin-mattress_50111055_image-item</v>
      </c>
      <c r="S23" s="8" t="str">
        <f>IFERROR(VLOOKUP(A23,Sheet3!B:H,7,false),VLOOKUP(D23,Sheet2!A:C,3,false))</f>
        <v>https://assets.roomstogo.com/product/tommy-bahama-bay-dreamer-twin-mattress_50111055_alt-image-1</v>
      </c>
      <c r="T23" s="11" t="s">
        <v>1071</v>
      </c>
    </row>
    <row r="24">
      <c r="A24" s="4">
        <v>5.0011065E7</v>
      </c>
      <c r="B24" s="5"/>
      <c r="C24" s="5"/>
      <c r="D24" s="1" t="s">
        <v>135</v>
      </c>
      <c r="E24" s="1" t="s">
        <v>136</v>
      </c>
      <c r="F24" s="6">
        <v>495.0</v>
      </c>
      <c r="G24" s="6">
        <v>599.99</v>
      </c>
      <c r="H24" s="1" t="s">
        <v>133</v>
      </c>
      <c r="I24" s="7"/>
      <c r="J24" s="1" t="s">
        <v>134</v>
      </c>
      <c r="K24" s="1" t="s">
        <v>32</v>
      </c>
      <c r="L24" s="1" t="s">
        <v>41</v>
      </c>
      <c r="M24" s="1" t="s">
        <v>36</v>
      </c>
      <c r="N24" s="1" t="s">
        <v>76</v>
      </c>
      <c r="O24" s="1" t="s">
        <v>42</v>
      </c>
      <c r="P24" s="1" t="s">
        <v>36</v>
      </c>
      <c r="Q24" s="1" t="s">
        <v>77</v>
      </c>
      <c r="R24" s="8" t="str">
        <f>IFERROR(VLOOKUP(A24,Sheet3!B:H,6,false),VLOOKUP(D24,Sheet2!A:C,2,false))</f>
        <v>https://assets.roomstogo.com/product/tommy-bahama-make-waves-twin-mattress_50111067_image-item</v>
      </c>
      <c r="S24" s="8" t="str">
        <f>IFERROR(VLOOKUP(A24,Sheet3!B:H,7,false),VLOOKUP(D24,Sheet2!A:C,3,false))</f>
        <v>https://assets.roomstogo.com/product/tommy-bahama-make-waves-twin-mattress_50111067_alt-image-1</v>
      </c>
      <c r="T24" s="11" t="s">
        <v>1072</v>
      </c>
    </row>
    <row r="25">
      <c r="A25" s="4">
        <v>5.0011077E7</v>
      </c>
      <c r="B25" s="5"/>
      <c r="C25" s="5"/>
      <c r="D25" s="1" t="s">
        <v>137</v>
      </c>
      <c r="E25" s="1" t="s">
        <v>138</v>
      </c>
      <c r="F25" s="6">
        <v>595.0</v>
      </c>
      <c r="G25" s="6">
        <v>699.99</v>
      </c>
      <c r="H25" s="1" t="s">
        <v>133</v>
      </c>
      <c r="I25" s="7"/>
      <c r="J25" s="1" t="s">
        <v>134</v>
      </c>
      <c r="K25" s="1" t="s">
        <v>32</v>
      </c>
      <c r="L25" s="1" t="s">
        <v>59</v>
      </c>
      <c r="M25" s="1" t="s">
        <v>36</v>
      </c>
      <c r="N25" s="1" t="s">
        <v>35</v>
      </c>
      <c r="O25" s="1" t="s">
        <v>42</v>
      </c>
      <c r="P25" s="1" t="s">
        <v>36</v>
      </c>
      <c r="Q25" s="1" t="s">
        <v>37</v>
      </c>
      <c r="R25" s="8" t="str">
        <f>IFERROR(VLOOKUP(A25,Sheet3!B:H,6,false),VLOOKUP(D25,Sheet2!A:C,2,false))</f>
        <v>https://assets.roomstogo.com/product/tommy-bahama-seaside-serenity-twin-mattress_50111079_image-item</v>
      </c>
      <c r="S25" s="8" t="str">
        <f>IFERROR(VLOOKUP(A25,Sheet3!B:H,7,false),VLOOKUP(D25,Sheet2!A:C,3,false))</f>
        <v>https://assets.roomstogo.com/product/tommy-bahama-seaside-serenity-twin-mattress_50111079_alt-image-1</v>
      </c>
      <c r="T25" s="11" t="s">
        <v>1073</v>
      </c>
    </row>
    <row r="26">
      <c r="A26" s="4">
        <v>5.0011344E7</v>
      </c>
      <c r="B26" s="9">
        <v>10.0</v>
      </c>
      <c r="C26" s="9">
        <v>4.2</v>
      </c>
      <c r="D26" s="1" t="s">
        <v>141</v>
      </c>
      <c r="E26" s="1" t="s">
        <v>142</v>
      </c>
      <c r="F26" s="6">
        <v>647.0</v>
      </c>
      <c r="G26" s="6">
        <v>849.99</v>
      </c>
      <c r="H26" s="1" t="s">
        <v>143</v>
      </c>
      <c r="I26" s="7"/>
      <c r="J26" s="1" t="s">
        <v>31</v>
      </c>
      <c r="K26" s="1" t="s">
        <v>32</v>
      </c>
      <c r="L26" s="1" t="s">
        <v>59</v>
      </c>
      <c r="M26" s="1" t="s">
        <v>36</v>
      </c>
      <c r="N26" s="1" t="s">
        <v>76</v>
      </c>
      <c r="O26" s="1" t="s">
        <v>34</v>
      </c>
      <c r="P26" s="1" t="s">
        <v>36</v>
      </c>
      <c r="Q26" s="1" t="s">
        <v>144</v>
      </c>
      <c r="R26" s="8" t="str">
        <f>IFERROR(VLOOKUP(A26,Sheet3!B:H,6,false),VLOOKUP(D26,Sheet2!A:C,2,false))</f>
        <v>https://assets.roomstogo.com/product/therapedic-forester-twin-xl-mattress_50011344_image-item</v>
      </c>
      <c r="S26" s="8" t="str">
        <f>IFERROR(VLOOKUP(A26,Sheet3!B:H,7,false),VLOOKUP(D26,Sheet2!A:C,3,false))</f>
        <v>https://assets.roomstogo.com/product/therapedic-forester-twin-xl-mattress_50011344_alt-image-1</v>
      </c>
      <c r="T26" s="11" t="s">
        <v>1074</v>
      </c>
    </row>
    <row r="27">
      <c r="A27" s="4">
        <v>5.0011368E7</v>
      </c>
      <c r="B27" s="5"/>
      <c r="C27" s="5"/>
      <c r="D27" s="1" t="s">
        <v>145</v>
      </c>
      <c r="E27" s="1" t="s">
        <v>146</v>
      </c>
      <c r="F27" s="6">
        <v>547.0</v>
      </c>
      <c r="G27" s="6">
        <v>649.99</v>
      </c>
      <c r="H27" s="1" t="s">
        <v>143</v>
      </c>
      <c r="I27" s="7"/>
      <c r="J27" s="1" t="s">
        <v>31</v>
      </c>
      <c r="K27" s="1" t="s">
        <v>32</v>
      </c>
      <c r="L27" s="1" t="s">
        <v>59</v>
      </c>
      <c r="M27" s="1" t="s">
        <v>36</v>
      </c>
      <c r="N27" s="1" t="s">
        <v>35</v>
      </c>
      <c r="O27" s="1" t="s">
        <v>36</v>
      </c>
      <c r="P27" s="1" t="s">
        <v>34</v>
      </c>
      <c r="Q27" s="1" t="s">
        <v>37</v>
      </c>
      <c r="R27" s="8" t="str">
        <f>IFERROR(VLOOKUP(A27,Sheet3!B:H,6,false),VLOOKUP(D27,Sheet2!A:C,2,false))</f>
        <v>https://assets.roomstogo.com/product/therapedic-darlington-twin-xl-mattress_50011368_image-item</v>
      </c>
      <c r="S27" s="8" t="str">
        <f>IFERROR(VLOOKUP(A27,Sheet3!B:H,7,false),VLOOKUP(D27,Sheet2!A:C,3,false))</f>
        <v>https://assets.roomstogo.com/product/therapedic-darlington-twin-xl-mattress_50011368_alt-image-1</v>
      </c>
      <c r="T27" s="11" t="s">
        <v>1075</v>
      </c>
    </row>
    <row r="28">
      <c r="A28" s="4">
        <v>5.0011382E7</v>
      </c>
      <c r="B28" s="5"/>
      <c r="C28" s="5"/>
      <c r="D28" s="1" t="s">
        <v>147</v>
      </c>
      <c r="E28" s="1" t="s">
        <v>148</v>
      </c>
      <c r="F28" s="6">
        <v>627.0</v>
      </c>
      <c r="G28" s="6">
        <v>949.99</v>
      </c>
      <c r="H28" s="1" t="s">
        <v>149</v>
      </c>
      <c r="I28" s="7"/>
      <c r="J28" s="7"/>
      <c r="K28" s="1" t="s">
        <v>32</v>
      </c>
      <c r="L28" s="1" t="s">
        <v>41</v>
      </c>
      <c r="M28" s="1" t="s">
        <v>36</v>
      </c>
      <c r="N28" s="1" t="s">
        <v>49</v>
      </c>
      <c r="O28" s="1" t="s">
        <v>34</v>
      </c>
      <c r="P28" s="1" t="s">
        <v>34</v>
      </c>
      <c r="Q28" s="1" t="s">
        <v>51</v>
      </c>
      <c r="R28" s="8" t="str">
        <f>IFERROR(VLOOKUP(A28,Sheet3!B:H,6,false),VLOOKUP(D28,Sheet2!A:C,2,false))</f>
        <v>https://assets.roomstogo.com/product/therapedic-hastings-twin-xl-mattress_50011382_image-item</v>
      </c>
      <c r="S28" s="8" t="str">
        <f>IFERROR(VLOOKUP(A28,Sheet3!B:H,7,false),VLOOKUP(D28,Sheet2!A:C,3,false))</f>
        <v>https://assets.roomstogo.com/product/therapedic-hastings-twin-xl-mattress_50011382_alt-image-1</v>
      </c>
      <c r="T28" s="11" t="s">
        <v>1076</v>
      </c>
    </row>
    <row r="29">
      <c r="A29" s="4">
        <v>5.0011457E7</v>
      </c>
      <c r="B29" s="5"/>
      <c r="C29" s="5"/>
      <c r="D29" s="1" t="s">
        <v>150</v>
      </c>
      <c r="E29" s="1" t="s">
        <v>151</v>
      </c>
      <c r="F29" s="6">
        <v>1249.99</v>
      </c>
      <c r="G29" s="6">
        <v>1249.99</v>
      </c>
      <c r="H29" s="1" t="s">
        <v>149</v>
      </c>
      <c r="I29" s="7"/>
      <c r="J29" s="1" t="s">
        <v>31</v>
      </c>
      <c r="K29" s="1" t="s">
        <v>32</v>
      </c>
      <c r="L29" s="1" t="s">
        <v>41</v>
      </c>
      <c r="M29" s="1" t="s">
        <v>34</v>
      </c>
      <c r="N29" s="1" t="s">
        <v>76</v>
      </c>
      <c r="O29" s="1" t="s">
        <v>42</v>
      </c>
      <c r="P29" s="1" t="s">
        <v>34</v>
      </c>
      <c r="Q29" s="1" t="s">
        <v>77</v>
      </c>
      <c r="R29" s="8" t="str">
        <f>IFERROR(VLOOKUP(A29,Sheet3!B:H,6,false),VLOOKUP(D29,Sheet2!A:C,2,false))</f>
        <v>https://assets.roomstogo.com/product/therapedic-kaanapali-twin-xl-mattress_50011457_image-item</v>
      </c>
      <c r="S29" s="8" t="str">
        <f>IFERROR(VLOOKUP(A29,Sheet3!B:H,7,false),VLOOKUP(D29,Sheet2!A:C,3,false))</f>
        <v>https://assets.roomstogo.com/product/therapedic-kaanapali-twin-xl-mattress_50011457_alt-image-1</v>
      </c>
      <c r="T29" s="11" t="s">
        <v>1077</v>
      </c>
    </row>
    <row r="30">
      <c r="A30" s="4">
        <v>5.0011495E7</v>
      </c>
      <c r="B30" s="9">
        <v>13.0</v>
      </c>
      <c r="C30" s="9">
        <v>3.92</v>
      </c>
      <c r="D30" s="1" t="s">
        <v>154</v>
      </c>
      <c r="E30" s="1" t="s">
        <v>155</v>
      </c>
      <c r="F30" s="6">
        <v>1449.99</v>
      </c>
      <c r="G30" s="6">
        <v>1449.99</v>
      </c>
      <c r="H30" s="1" t="s">
        <v>149</v>
      </c>
      <c r="I30" s="7"/>
      <c r="J30" s="1" t="s">
        <v>31</v>
      </c>
      <c r="K30" s="1" t="s">
        <v>32</v>
      </c>
      <c r="L30" s="1" t="s">
        <v>41</v>
      </c>
      <c r="M30" s="1" t="s">
        <v>42</v>
      </c>
      <c r="N30" s="1" t="s">
        <v>35</v>
      </c>
      <c r="O30" s="1" t="s">
        <v>42</v>
      </c>
      <c r="P30" s="1" t="s">
        <v>34</v>
      </c>
      <c r="Q30" s="1" t="s">
        <v>37</v>
      </c>
      <c r="R30" s="8" t="str">
        <f>IFERROR(VLOOKUP(A30,Sheet3!B:H,6,false),VLOOKUP(D30,Sheet2!A:C,2,false))</f>
        <v>https://assets.roomstogo.com/product/therapedic-ledo-twin-xl-mattress_50011495_image-item</v>
      </c>
      <c r="S30" s="8" t="str">
        <f>IFERROR(VLOOKUP(A30,Sheet3!B:H,7,false),VLOOKUP(D30,Sheet2!A:C,3,false))</f>
        <v>https://assets.roomstogo.com/product/therapedic-ledo-twin-xl-mattress_50011495_alt-image-1</v>
      </c>
      <c r="T30" s="11" t="s">
        <v>1078</v>
      </c>
    </row>
    <row r="31">
      <c r="A31" s="4">
        <v>5.0020862E7</v>
      </c>
      <c r="B31" s="5"/>
      <c r="C31" s="5"/>
      <c r="D31" s="1" t="s">
        <v>156</v>
      </c>
      <c r="E31" s="1" t="s">
        <v>157</v>
      </c>
      <c r="F31" s="6">
        <v>797.0</v>
      </c>
      <c r="G31" s="6">
        <v>1099.99</v>
      </c>
      <c r="H31" s="1" t="s">
        <v>158</v>
      </c>
      <c r="I31" s="7"/>
      <c r="J31" s="1" t="s">
        <v>31</v>
      </c>
      <c r="K31" s="1" t="s">
        <v>32</v>
      </c>
      <c r="L31" s="1" t="s">
        <v>59</v>
      </c>
      <c r="M31" s="1" t="s">
        <v>34</v>
      </c>
      <c r="N31" s="1" t="s">
        <v>35</v>
      </c>
      <c r="O31" s="1" t="s">
        <v>34</v>
      </c>
      <c r="P31" s="1" t="s">
        <v>34</v>
      </c>
      <c r="Q31" s="1" t="s">
        <v>37</v>
      </c>
      <c r="R31" s="8" t="str">
        <f>IFERROR(VLOOKUP(A31,Sheet3!B:H,6,false),VLOOKUP(D31,Sheet2!A:C,2,false))</f>
        <v>https://assets.roomstogo.com/product/drew-jonathan-capertee-twin-xl-mattress_50020862_image-item</v>
      </c>
      <c r="S31" s="8" t="str">
        <f>IFERROR(VLOOKUP(A31,Sheet3!B:H,7,false),VLOOKUP(D31,Sheet2!A:C,3,false))</f>
        <v>https://assets.roomstogo.com/product/drew-jonathan-capertee-twin-xl-mattress_50020862_alt-image-1</v>
      </c>
      <c r="T31" s="11" t="s">
        <v>1079</v>
      </c>
    </row>
    <row r="32">
      <c r="A32" s="4">
        <v>5.0020925E7</v>
      </c>
      <c r="B32" s="5"/>
      <c r="C32" s="5"/>
      <c r="D32" s="1" t="s">
        <v>159</v>
      </c>
      <c r="E32" s="1" t="s">
        <v>160</v>
      </c>
      <c r="F32" s="6">
        <v>1297.0</v>
      </c>
      <c r="G32" s="6">
        <v>1599.99</v>
      </c>
      <c r="H32" s="1" t="s">
        <v>158</v>
      </c>
      <c r="I32" s="7"/>
      <c r="J32" s="1" t="s">
        <v>31</v>
      </c>
      <c r="K32" s="1" t="s">
        <v>32</v>
      </c>
      <c r="L32" s="1" t="s">
        <v>59</v>
      </c>
      <c r="M32" s="1" t="s">
        <v>42</v>
      </c>
      <c r="N32" s="1" t="s">
        <v>49</v>
      </c>
      <c r="O32" s="1" t="s">
        <v>34</v>
      </c>
      <c r="P32" s="1" t="s">
        <v>34</v>
      </c>
      <c r="Q32" s="1" t="s">
        <v>51</v>
      </c>
      <c r="R32" s="8" t="str">
        <f>IFERROR(VLOOKUP(A32,Sheet3!B:H,6,false),VLOOKUP(D32,Sheet2!A:C,2,false))</f>
        <v>https://assets.roomstogo.com/product/drew-jonathan-arada-canyon-twin-xl-mattress_50020925_image-item</v>
      </c>
      <c r="S32" s="8" t="str">
        <f>IFERROR(VLOOKUP(A32,Sheet3!B:H,7,false),VLOOKUP(D32,Sheet2!A:C,3,false))</f>
        <v>https://assets.roomstogo.com/product/drew-jonathan-arada-canyon-twin-xl-mattress_50020925_alt-image-1</v>
      </c>
      <c r="T32" s="11" t="s">
        <v>1080</v>
      </c>
    </row>
    <row r="33">
      <c r="A33" s="4">
        <v>5.002221E7</v>
      </c>
      <c r="B33" s="9">
        <v>28.0</v>
      </c>
      <c r="C33" s="9">
        <v>4.71</v>
      </c>
      <c r="D33" s="1" t="s">
        <v>163</v>
      </c>
      <c r="E33" s="1" t="s">
        <v>164</v>
      </c>
      <c r="F33" s="6">
        <v>377.0</v>
      </c>
      <c r="G33" s="6">
        <v>679.99</v>
      </c>
      <c r="H33" s="1" t="s">
        <v>165</v>
      </c>
      <c r="I33" s="1" t="s">
        <v>166</v>
      </c>
      <c r="J33" s="1" t="s">
        <v>31</v>
      </c>
      <c r="K33" s="1" t="s">
        <v>32</v>
      </c>
      <c r="L33" s="1" t="s">
        <v>41</v>
      </c>
      <c r="M33" s="1" t="s">
        <v>36</v>
      </c>
      <c r="N33" s="1" t="s">
        <v>35</v>
      </c>
      <c r="O33" s="1" t="s">
        <v>34</v>
      </c>
      <c r="P33" s="1" t="s">
        <v>36</v>
      </c>
      <c r="Q33" s="1" t="s">
        <v>37</v>
      </c>
      <c r="R33" s="8" t="str">
        <f>IFERROR(VLOOKUP(A33,Sheet3!B:H,6,false),VLOOKUP(D33,Sheet2!A:C,2,false))</f>
        <v>https://assets.roomstogo.com/product/beauty-sleep-oceana-mist-medium-hybrid-twin-xl-mattress_50022210_image-item</v>
      </c>
      <c r="S33" s="8" t="str">
        <f>IFERROR(VLOOKUP(A33,Sheet3!B:H,7,false),VLOOKUP(D33,Sheet2!A:C,3,false))</f>
        <v>https://assets.roomstogo.com/product/beauty-sleep-oceana-mist-medium-hybrid-twin-xl-mattress_50022210_alt-image-8</v>
      </c>
      <c r="T33" s="11" t="s">
        <v>1081</v>
      </c>
    </row>
    <row r="34">
      <c r="A34" s="4">
        <v>5.0025747E7</v>
      </c>
      <c r="B34" s="9">
        <v>13.0</v>
      </c>
      <c r="C34" s="9">
        <v>4.08</v>
      </c>
      <c r="D34" s="1" t="s">
        <v>169</v>
      </c>
      <c r="E34" s="1" t="s">
        <v>170</v>
      </c>
      <c r="F34" s="6">
        <v>1329.0</v>
      </c>
      <c r="G34" s="6">
        <v>1329.0</v>
      </c>
      <c r="H34" s="1" t="s">
        <v>171</v>
      </c>
      <c r="I34" s="1" t="s">
        <v>172</v>
      </c>
      <c r="J34" s="1" t="s">
        <v>31</v>
      </c>
      <c r="K34" s="1" t="s">
        <v>32</v>
      </c>
      <c r="L34" s="1" t="s">
        <v>59</v>
      </c>
      <c r="M34" s="1" t="s">
        <v>42</v>
      </c>
      <c r="N34" s="1" t="s">
        <v>49</v>
      </c>
      <c r="O34" s="1" t="s">
        <v>42</v>
      </c>
      <c r="P34" s="1" t="s">
        <v>42</v>
      </c>
      <c r="Q34" s="1" t="s">
        <v>51</v>
      </c>
      <c r="R34" s="8" t="str">
        <f>IFERROR(VLOOKUP(A34,Sheet3!B:H,6,false),VLOOKUP(D34,Sheet2!A:C,2,false))</f>
        <v>https://assets.roomstogo.com/product/beautyrest-world-class-level-three-plush-twin-xl-mattress_50025747_image-item</v>
      </c>
      <c r="S34" s="8" t="str">
        <f>IFERROR(VLOOKUP(A34,Sheet3!B:H,7,false),VLOOKUP(D34,Sheet2!A:C,3,false))</f>
        <v>https://assets.roomstogo.com/product/beautyrest-world-class-level-three-plush-twin-xl-mattress_50025747_alt-image-13</v>
      </c>
      <c r="T34" s="11" t="s">
        <v>1082</v>
      </c>
    </row>
    <row r="35">
      <c r="A35" s="4">
        <v>5.0025759E7</v>
      </c>
      <c r="B35" s="5"/>
      <c r="C35" s="5"/>
      <c r="D35" s="1" t="s">
        <v>173</v>
      </c>
      <c r="E35" s="1" t="s">
        <v>174</v>
      </c>
      <c r="F35" s="6">
        <v>1529.0</v>
      </c>
      <c r="G35" s="6">
        <v>1529.0</v>
      </c>
      <c r="H35" s="1" t="s">
        <v>171</v>
      </c>
      <c r="I35" s="1" t="s">
        <v>175</v>
      </c>
      <c r="J35" s="1" t="s">
        <v>31</v>
      </c>
      <c r="K35" s="1" t="s">
        <v>32</v>
      </c>
      <c r="L35" s="1" t="s">
        <v>59</v>
      </c>
      <c r="M35" s="1" t="s">
        <v>42</v>
      </c>
      <c r="N35" s="1" t="s">
        <v>35</v>
      </c>
      <c r="O35" s="1" t="s">
        <v>42</v>
      </c>
      <c r="P35" s="1" t="s">
        <v>42</v>
      </c>
      <c r="Q35" s="1" t="s">
        <v>37</v>
      </c>
      <c r="R35" s="8" t="str">
        <f>IFERROR(VLOOKUP(A35,Sheet3!B:H,6,false),VLOOKUP(D35,Sheet2!A:C,2,false))</f>
        <v>https://assets.roomstogo.com/product/beautyrest-world-class-level-three-medium-pillow-top-twin-xl-mattress_50025759_image-item</v>
      </c>
      <c r="S35" s="8" t="str">
        <f>IFERROR(VLOOKUP(A35,Sheet3!B:H,7,false),VLOOKUP(D35,Sheet2!A:C,3,false))</f>
        <v>https://assets.roomstogo.com/product/beautyrest-world-class-level-three-medium-pillow-top-twin-xl-mattress_50025759_alt-image-13</v>
      </c>
      <c r="T35" s="11" t="s">
        <v>1083</v>
      </c>
    </row>
    <row r="36">
      <c r="A36" s="4">
        <v>5.00258E7</v>
      </c>
      <c r="B36" s="5"/>
      <c r="C36" s="5"/>
      <c r="D36" s="1" t="s">
        <v>176</v>
      </c>
      <c r="E36" s="1" t="s">
        <v>177</v>
      </c>
      <c r="F36" s="6">
        <v>1829.0</v>
      </c>
      <c r="G36" s="6">
        <v>1829.0</v>
      </c>
      <c r="H36" s="1" t="s">
        <v>171</v>
      </c>
      <c r="I36" s="1" t="s">
        <v>178</v>
      </c>
      <c r="J36" s="1" t="s">
        <v>31</v>
      </c>
      <c r="K36" s="1" t="s">
        <v>32</v>
      </c>
      <c r="L36" s="1" t="s">
        <v>59</v>
      </c>
      <c r="M36" s="1" t="s">
        <v>50</v>
      </c>
      <c r="N36" s="1" t="s">
        <v>49</v>
      </c>
      <c r="O36" s="1" t="s">
        <v>42</v>
      </c>
      <c r="P36" s="1" t="s">
        <v>42</v>
      </c>
      <c r="Q36" s="1" t="s">
        <v>51</v>
      </c>
      <c r="R36" s="8" t="str">
        <f>IFERROR(VLOOKUP(A36,Sheet3!B:H,6,false),VLOOKUP(D36,Sheet2!A:C,2,false))</f>
        <v>https://assets.roomstogo.com/product/beautyrest-world-class-level-four-plush-pillow-top-twin-xl-mattress_50025800_image-item</v>
      </c>
      <c r="S36" s="8" t="str">
        <f>IFERROR(VLOOKUP(A36,Sheet3!B:H,7,false),VLOOKUP(D36,Sheet2!A:C,3,false))</f>
        <v>https://assets.roomstogo.com/product/beautyrest-world-class-level-four-plush-pillow-top-twin-xl-mattress_50025800_alt-image-13</v>
      </c>
      <c r="T36" s="11" t="s">
        <v>1084</v>
      </c>
    </row>
    <row r="37">
      <c r="A37" s="4">
        <v>5.0028957E7</v>
      </c>
      <c r="B37" s="5"/>
      <c r="C37" s="5"/>
      <c r="D37" s="1" t="s">
        <v>179</v>
      </c>
      <c r="E37" s="1" t="s">
        <v>180</v>
      </c>
      <c r="F37" s="6">
        <v>877.0</v>
      </c>
      <c r="G37" s="6">
        <v>1479.0</v>
      </c>
      <c r="H37" s="1" t="s">
        <v>181</v>
      </c>
      <c r="I37" s="7"/>
      <c r="J37" s="1" t="s">
        <v>31</v>
      </c>
      <c r="K37" s="1" t="s">
        <v>32</v>
      </c>
      <c r="L37" s="1" t="s">
        <v>59</v>
      </c>
      <c r="M37" s="1" t="s">
        <v>42</v>
      </c>
      <c r="N37" s="1" t="s">
        <v>49</v>
      </c>
      <c r="O37" s="1" t="s">
        <v>34</v>
      </c>
      <c r="P37" s="1" t="s">
        <v>34</v>
      </c>
      <c r="Q37" s="1" t="s">
        <v>182</v>
      </c>
      <c r="R37" s="8" t="str">
        <f>IFERROR(VLOOKUP(A37,Sheet3!B:H,6,false),VLOOKUP(D37,Sheet2!A:C,2,false))</f>
        <v>https://assets.roomstogo.com/product/sealy-correct-comfort-kerry-park-twin-xl-mattress_50028957_image-item</v>
      </c>
      <c r="S37" s="8" t="str">
        <f>IFERROR(VLOOKUP(A37,Sheet3!B:H,7,false),VLOOKUP(D37,Sheet2!A:C,3,false))</f>
        <v>https://assets.roomstogo.com/product/sealy-correct-comfort-kerry-park-twin-xl-mattress_50028957_alt-image-1</v>
      </c>
      <c r="T37" s="11" t="s">
        <v>1085</v>
      </c>
    </row>
    <row r="38">
      <c r="A38" s="4">
        <v>5.0028969E7</v>
      </c>
      <c r="B38" s="9">
        <v>12.0</v>
      </c>
      <c r="C38" s="9">
        <v>4.83</v>
      </c>
      <c r="D38" s="1" t="s">
        <v>185</v>
      </c>
      <c r="E38" s="1" t="s">
        <v>186</v>
      </c>
      <c r="F38" s="6">
        <v>645.0</v>
      </c>
      <c r="G38" s="6">
        <v>749.0</v>
      </c>
      <c r="H38" s="1" t="s">
        <v>181</v>
      </c>
      <c r="I38" s="7"/>
      <c r="J38" s="1" t="s">
        <v>31</v>
      </c>
      <c r="K38" s="1" t="s">
        <v>32</v>
      </c>
      <c r="L38" s="1" t="s">
        <v>33</v>
      </c>
      <c r="M38" s="1" t="s">
        <v>34</v>
      </c>
      <c r="N38" s="1" t="s">
        <v>35</v>
      </c>
      <c r="O38" s="1" t="s">
        <v>34</v>
      </c>
      <c r="P38" s="1" t="s">
        <v>36</v>
      </c>
      <c r="Q38" s="1" t="s">
        <v>37</v>
      </c>
      <c r="R38" s="8" t="str">
        <f>IFERROR(VLOOKUP(A38,Sheet3!B:H,6,false),VLOOKUP(D38,Sheet2!A:C,2,false))</f>
        <v>https://assets.roomstogo.com/product/sealy-correct-comfort-bradford-hill-twin-xl-mattress_50028969_image-item</v>
      </c>
      <c r="S38" s="8" t="str">
        <f>IFERROR(VLOOKUP(A38,Sheet3!B:H,7,false),VLOOKUP(D38,Sheet2!A:C,3,false))</f>
        <v>https://assets.roomstogo.com/product/sealy-correct-comfort-bradford-hill-twin-xl-mattress_50028969_alt-image-1</v>
      </c>
      <c r="T38" s="11" t="s">
        <v>1086</v>
      </c>
    </row>
    <row r="39">
      <c r="A39" s="4">
        <v>5.0028971E7</v>
      </c>
      <c r="B39" s="5"/>
      <c r="C39" s="5"/>
      <c r="D39" s="1" t="s">
        <v>187</v>
      </c>
      <c r="E39" s="1" t="s">
        <v>188</v>
      </c>
      <c r="F39" s="6">
        <v>977.0</v>
      </c>
      <c r="G39" s="6">
        <v>1779.0</v>
      </c>
      <c r="H39" s="1" t="s">
        <v>181</v>
      </c>
      <c r="I39" s="7"/>
      <c r="J39" s="7"/>
      <c r="K39" s="1" t="s">
        <v>32</v>
      </c>
      <c r="L39" s="1" t="s">
        <v>33</v>
      </c>
      <c r="M39" s="1" t="s">
        <v>42</v>
      </c>
      <c r="N39" s="1" t="s">
        <v>35</v>
      </c>
      <c r="O39" s="1" t="s">
        <v>34</v>
      </c>
      <c r="P39" s="1" t="s">
        <v>34</v>
      </c>
      <c r="Q39" s="1" t="s">
        <v>37</v>
      </c>
      <c r="R39" s="8" t="str">
        <f>IFERROR(VLOOKUP(A39,Sheet3!B:H,6,false),VLOOKUP(D39,Sheet2!A:C,2,false))</f>
        <v>https://assets.roomstogo.com/product/posturepedic-northgate-twin-xl-mattress_50028971_image-item</v>
      </c>
      <c r="S39" s="8" t="str">
        <f>IFERROR(VLOOKUP(A39,Sheet3!B:H,7,false),VLOOKUP(D39,Sheet2!A:C,3,false))</f>
        <v>https://assets.roomstogo.com/product/posturepedic-northgate-twin-xl-mattress_50028971_alt-image-1</v>
      </c>
      <c r="T39" s="11" t="s">
        <v>1087</v>
      </c>
    </row>
    <row r="40">
      <c r="A40" s="4">
        <v>5.0029175E7</v>
      </c>
      <c r="B40" s="5"/>
      <c r="C40" s="5"/>
      <c r="D40" s="1" t="s">
        <v>189</v>
      </c>
      <c r="E40" s="1" t="s">
        <v>190</v>
      </c>
      <c r="F40" s="6">
        <v>597.0</v>
      </c>
      <c r="G40" s="6">
        <v>719.0</v>
      </c>
      <c r="H40" s="1" t="s">
        <v>191</v>
      </c>
      <c r="I40" s="1" t="s">
        <v>192</v>
      </c>
      <c r="J40" s="1" t="s">
        <v>31</v>
      </c>
      <c r="K40" s="1" t="s">
        <v>32</v>
      </c>
      <c r="L40" s="1" t="s">
        <v>59</v>
      </c>
      <c r="M40" s="1" t="s">
        <v>36</v>
      </c>
      <c r="N40" s="1" t="s">
        <v>35</v>
      </c>
      <c r="O40" s="1" t="s">
        <v>36</v>
      </c>
      <c r="P40" s="1" t="s">
        <v>36</v>
      </c>
      <c r="Q40" s="1" t="s">
        <v>37</v>
      </c>
      <c r="R40" s="8" t="str">
        <f>IFERROR(VLOOKUP(A40,Sheet3!B:H,6,false),VLOOKUP(D40,Sheet2!A:C,2,false))</f>
        <v>https://assets.roomstogo.com/product/sealy-posturepedic-brierwood-twin-xl-mattress_50029175_image-item</v>
      </c>
      <c r="S40" s="8" t="str">
        <f>IFERROR(VLOOKUP(A40,Sheet3!B:H,7,false),VLOOKUP(D40,Sheet2!A:C,3,false))</f>
        <v>https://assets.roomstogo.com/product/sealy-posturepedic-brierwood-twin-xl-mattress_50029175_alt-image-1</v>
      </c>
      <c r="T40" s="11" t="s">
        <v>1088</v>
      </c>
    </row>
    <row r="41">
      <c r="A41" s="4">
        <v>5.0029202E7</v>
      </c>
      <c r="B41" s="5"/>
      <c r="C41" s="5"/>
      <c r="D41" s="1" t="s">
        <v>193</v>
      </c>
      <c r="E41" s="1" t="s">
        <v>194</v>
      </c>
      <c r="F41" s="6">
        <v>917.0</v>
      </c>
      <c r="G41" s="6">
        <v>1119.0</v>
      </c>
      <c r="H41" s="1" t="s">
        <v>195</v>
      </c>
      <c r="I41" s="1" t="s">
        <v>196</v>
      </c>
      <c r="J41" s="1" t="s">
        <v>31</v>
      </c>
      <c r="K41" s="1" t="s">
        <v>32</v>
      </c>
      <c r="L41" s="1" t="s">
        <v>59</v>
      </c>
      <c r="M41" s="1" t="s">
        <v>34</v>
      </c>
      <c r="N41" s="1" t="s">
        <v>35</v>
      </c>
      <c r="O41" s="1" t="s">
        <v>34</v>
      </c>
      <c r="P41" s="1" t="s">
        <v>36</v>
      </c>
      <c r="Q41" s="1" t="s">
        <v>37</v>
      </c>
      <c r="R41" s="8" t="str">
        <f>IFERROR(VLOOKUP(A41,Sheet3!B:H,6,false),VLOOKUP(D41,Sheet2!A:C,2,false))</f>
        <v>https://assets.roomstogo.com/product/sealy-posturepedic-castle-rock-twin-xl-mattress_50029202_image-item</v>
      </c>
      <c r="S41" s="8" t="str">
        <f>IFERROR(VLOOKUP(A41,Sheet3!B:H,7,false),VLOOKUP(D41,Sheet2!A:C,3,false))</f>
        <v>https://assets.roomstogo.com/product/sealy-posturepedic-castle-rock-twin-xl-mattress_50029202_alt-image-1</v>
      </c>
      <c r="T41" s="11" t="s">
        <v>1089</v>
      </c>
    </row>
    <row r="42">
      <c r="A42" s="4">
        <v>5.0029214E7</v>
      </c>
      <c r="B42" s="5"/>
      <c r="C42" s="5"/>
      <c r="D42" s="1" t="s">
        <v>197</v>
      </c>
      <c r="E42" s="1" t="s">
        <v>198</v>
      </c>
      <c r="F42" s="6">
        <v>997.0</v>
      </c>
      <c r="G42" s="6">
        <v>1219.0</v>
      </c>
      <c r="H42" s="1" t="s">
        <v>199</v>
      </c>
      <c r="I42" s="1" t="s">
        <v>200</v>
      </c>
      <c r="J42" s="1" t="s">
        <v>31</v>
      </c>
      <c r="K42" s="1" t="s">
        <v>32</v>
      </c>
      <c r="L42" s="1" t="s">
        <v>59</v>
      </c>
      <c r="M42" s="1" t="s">
        <v>34</v>
      </c>
      <c r="N42" s="1" t="s">
        <v>35</v>
      </c>
      <c r="O42" s="1" t="s">
        <v>42</v>
      </c>
      <c r="P42" s="1" t="s">
        <v>34</v>
      </c>
      <c r="Q42" s="1" t="s">
        <v>37</v>
      </c>
      <c r="R42" s="8" t="str">
        <f>IFERROR(VLOOKUP(A42,Sheet3!B:H,6,false),VLOOKUP(D42,Sheet2!A:C,2,false))</f>
        <v>https://assets.roomstogo.com/product/sealy-posturepedic-pebblebrook-twin-xl-mattress_50029214_image-item</v>
      </c>
      <c r="S42" s="8" t="str">
        <f>IFERROR(VLOOKUP(A42,Sheet3!B:H,7,false),VLOOKUP(D42,Sheet2!A:C,3,false))</f>
        <v>https://assets.roomstogo.com/product/sealy-posturepedic-pebblebrook-twin-xl-mattress_50029214_alt-image-1</v>
      </c>
      <c r="T42" s="11" t="s">
        <v>1090</v>
      </c>
    </row>
    <row r="43">
      <c r="A43" s="4">
        <v>5.0037057E7</v>
      </c>
      <c r="B43" s="9">
        <v>347.0</v>
      </c>
      <c r="C43" s="9">
        <v>4.52</v>
      </c>
      <c r="D43" s="1" t="s">
        <v>203</v>
      </c>
      <c r="E43" s="1" t="s">
        <v>204</v>
      </c>
      <c r="F43" s="6">
        <v>1549.0</v>
      </c>
      <c r="G43" s="6">
        <v>1549.0</v>
      </c>
      <c r="H43" s="1" t="s">
        <v>205</v>
      </c>
      <c r="I43" s="1" t="s">
        <v>206</v>
      </c>
      <c r="J43" s="1" t="s">
        <v>31</v>
      </c>
      <c r="K43" s="1" t="s">
        <v>32</v>
      </c>
      <c r="L43" s="1" t="s">
        <v>59</v>
      </c>
      <c r="M43" s="1" t="s">
        <v>34</v>
      </c>
      <c r="N43" s="1" t="s">
        <v>76</v>
      </c>
      <c r="O43" s="1" t="s">
        <v>50</v>
      </c>
      <c r="P43" s="1" t="s">
        <v>42</v>
      </c>
      <c r="Q43" s="1" t="s">
        <v>144</v>
      </c>
      <c r="R43" s="8" t="str">
        <f>IFERROR(VLOOKUP(A43,Sheet3!B:H,6,false),VLOOKUP(D43,Sheet2!A:C,2,false))</f>
        <v>https://assets.roomstogo.com/product/beautyrest-black-series-one-extra-firm-twin-xl-mattress_50037057_image-item</v>
      </c>
      <c r="S43" s="8" t="str">
        <f>IFERROR(VLOOKUP(A43,Sheet3!B:H,7,false),VLOOKUP(D43,Sheet2!A:C,3,false))</f>
        <v>https://assets.roomstogo.com/product/beautyrest-black-series-one-extra-firm-twin-xl-mattress_50037057_alt-image-1</v>
      </c>
      <c r="T43" s="11" t="s">
        <v>1091</v>
      </c>
    </row>
    <row r="44">
      <c r="A44" s="4">
        <v>5.0037134E7</v>
      </c>
      <c r="B44" s="9">
        <v>137.0</v>
      </c>
      <c r="C44" s="9">
        <v>4.58</v>
      </c>
      <c r="D44" s="1" t="s">
        <v>209</v>
      </c>
      <c r="E44" s="1" t="s">
        <v>210</v>
      </c>
      <c r="F44" s="6">
        <v>2549.0</v>
      </c>
      <c r="G44" s="6">
        <v>2549.0</v>
      </c>
      <c r="H44" s="1" t="s">
        <v>205</v>
      </c>
      <c r="I44" s="1" t="s">
        <v>211</v>
      </c>
      <c r="J44" s="1" t="s">
        <v>31</v>
      </c>
      <c r="K44" s="1" t="s">
        <v>32</v>
      </c>
      <c r="L44" s="1" t="s">
        <v>59</v>
      </c>
      <c r="M44" s="1" t="s">
        <v>42</v>
      </c>
      <c r="N44" s="1" t="s">
        <v>35</v>
      </c>
      <c r="O44" s="1" t="s">
        <v>50</v>
      </c>
      <c r="P44" s="1" t="s">
        <v>42</v>
      </c>
      <c r="Q44" s="1" t="s">
        <v>37</v>
      </c>
      <c r="R44" s="8" t="str">
        <f>IFERROR(VLOOKUP(A44,Sheet3!B:H,6,false),VLOOKUP(D44,Sheet2!A:C,2,false))</f>
        <v>https://assets.roomstogo.com/product/beautyrest-black-series-two-medium-twin-xl-mattress_50037134_image-item</v>
      </c>
      <c r="S44" s="8" t="str">
        <f>IFERROR(VLOOKUP(A44,Sheet3!B:H,7,false),VLOOKUP(D44,Sheet2!A:C,3,false))</f>
        <v>https://assets.roomstogo.com/product/beautyrest-black-series-two-medium-twin-xl-mattress_50037134_alt-image-1</v>
      </c>
      <c r="T44" s="11" t="s">
        <v>1092</v>
      </c>
    </row>
    <row r="45">
      <c r="A45" s="4">
        <v>5.0037223E7</v>
      </c>
      <c r="B45" s="9">
        <v>290.0</v>
      </c>
      <c r="C45" s="9">
        <v>4.72</v>
      </c>
      <c r="D45" s="1" t="s">
        <v>214</v>
      </c>
      <c r="E45" s="1" t="s">
        <v>215</v>
      </c>
      <c r="F45" s="6">
        <v>3649.0</v>
      </c>
      <c r="G45" s="6">
        <v>3649.0</v>
      </c>
      <c r="H45" s="1" t="s">
        <v>205</v>
      </c>
      <c r="I45" s="1" t="s">
        <v>216</v>
      </c>
      <c r="J45" s="1" t="s">
        <v>31</v>
      </c>
      <c r="K45" s="1" t="s">
        <v>32</v>
      </c>
      <c r="L45" s="1" t="s">
        <v>59</v>
      </c>
      <c r="M45" s="1" t="s">
        <v>50</v>
      </c>
      <c r="N45" s="1" t="s">
        <v>49</v>
      </c>
      <c r="O45" s="1" t="s">
        <v>50</v>
      </c>
      <c r="P45" s="1" t="s">
        <v>42</v>
      </c>
      <c r="Q45" s="1" t="s">
        <v>51</v>
      </c>
      <c r="R45" s="8" t="str">
        <f>IFERROR(VLOOKUP(A45,Sheet3!B:H,6,false),VLOOKUP(D45,Sheet2!A:C,2,false))</f>
        <v>https://assets.roomstogo.com/product/beautyrest-black-series-three-plush-pillow-top-twin-xl-mattress_50037223_image-item</v>
      </c>
      <c r="S45" s="8" t="str">
        <f>IFERROR(VLOOKUP(A45,Sheet3!B:H,7,false),VLOOKUP(D45,Sheet2!A:C,3,false))</f>
        <v>https://assets.roomstogo.com/product/beautyrest-black-series-three-plush-pillow-top-twin-xl-mattress_50037223_alt-image-1</v>
      </c>
      <c r="T45" s="11" t="s">
        <v>1093</v>
      </c>
    </row>
    <row r="46">
      <c r="A46" s="4">
        <v>5.0048036E7</v>
      </c>
      <c r="B46" s="9">
        <v>438.0</v>
      </c>
      <c r="C46" s="9">
        <v>4.52</v>
      </c>
      <c r="D46" s="1" t="s">
        <v>219</v>
      </c>
      <c r="E46" s="1" t="s">
        <v>220</v>
      </c>
      <c r="F46" s="6">
        <v>2299.0</v>
      </c>
      <c r="G46" s="6">
        <v>2299.0</v>
      </c>
      <c r="H46" s="1" t="s">
        <v>221</v>
      </c>
      <c r="I46" s="1" t="s">
        <v>222</v>
      </c>
      <c r="J46" s="1" t="s">
        <v>31</v>
      </c>
      <c r="K46" s="1" t="s">
        <v>32</v>
      </c>
      <c r="L46" s="1" t="s">
        <v>59</v>
      </c>
      <c r="M46" s="1" t="s">
        <v>34</v>
      </c>
      <c r="N46" s="1" t="s">
        <v>76</v>
      </c>
      <c r="O46" s="1" t="s">
        <v>42</v>
      </c>
      <c r="P46" s="1" t="s">
        <v>34</v>
      </c>
      <c r="Q46" s="1" t="s">
        <v>77</v>
      </c>
      <c r="R46" s="8" t="str">
        <f>IFERROR(VLOOKUP(A46,Sheet3!B:H,6,false),VLOOKUP(D46,Sheet2!A:C,2,false))</f>
        <v>https://assets.roomstogo.com/product/stearns-and-foster-estate-firm-tight-top-twin-xl-mattress_50048036_image-item</v>
      </c>
      <c r="S46" s="8" t="str">
        <f>IFERROR(VLOOKUP(A46,Sheet3!B:H,7,false),VLOOKUP(D46,Sheet2!A:C,3,false))</f>
        <v>https://assets.roomstogo.com/product/stearns-and-foster-estate-firm-tight-top-twin-xl-mattress_50048036_alt-image-1</v>
      </c>
      <c r="T46" s="11" t="s">
        <v>1094</v>
      </c>
    </row>
    <row r="47">
      <c r="A47" s="4">
        <v>5.004805E7</v>
      </c>
      <c r="B47" s="5"/>
      <c r="C47" s="5"/>
      <c r="D47" s="1" t="s">
        <v>223</v>
      </c>
      <c r="E47" s="1" t="s">
        <v>224</v>
      </c>
      <c r="F47" s="6">
        <v>2499.0</v>
      </c>
      <c r="G47" s="6">
        <v>2499.0</v>
      </c>
      <c r="H47" s="1" t="s">
        <v>221</v>
      </c>
      <c r="I47" s="1" t="s">
        <v>222</v>
      </c>
      <c r="J47" s="1" t="s">
        <v>31</v>
      </c>
      <c r="K47" s="1" t="s">
        <v>32</v>
      </c>
      <c r="L47" s="1" t="s">
        <v>59</v>
      </c>
      <c r="M47" s="1" t="s">
        <v>34</v>
      </c>
      <c r="N47" s="1" t="s">
        <v>76</v>
      </c>
      <c r="O47" s="1" t="s">
        <v>42</v>
      </c>
      <c r="P47" s="1" t="s">
        <v>34</v>
      </c>
      <c r="Q47" s="1" t="s">
        <v>77</v>
      </c>
      <c r="R47" s="8" t="str">
        <f>IFERROR(VLOOKUP(A47,Sheet3!B:H,6,false),VLOOKUP(D47,Sheet2!A:C,2,false))</f>
        <v>https://assets.roomstogo.com/product/stearns-and-foster-estate-firm-pillow-top-twin-xl-mattress_50048050_image-item</v>
      </c>
      <c r="S47" s="8" t="str">
        <f>IFERROR(VLOOKUP(A47,Sheet3!B:H,7,false),VLOOKUP(D47,Sheet2!A:C,3,false))</f>
        <v>https://assets.roomstogo.com/product/stearns-and-foster-estate-firm-pillow-top-twin-xl-mattress_50048050_alt-image-1</v>
      </c>
      <c r="T47" s="11" t="s">
        <v>1095</v>
      </c>
    </row>
    <row r="48">
      <c r="A48" s="4">
        <v>5.0048276E7</v>
      </c>
      <c r="B48" s="9">
        <v>1.0</v>
      </c>
      <c r="C48" s="9">
        <v>5.0</v>
      </c>
      <c r="D48" s="1" t="s">
        <v>227</v>
      </c>
      <c r="E48" s="1" t="s">
        <v>228</v>
      </c>
      <c r="F48" s="6">
        <v>4099.0</v>
      </c>
      <c r="G48" s="6">
        <v>4099.0</v>
      </c>
      <c r="H48" s="1" t="s">
        <v>221</v>
      </c>
      <c r="I48" s="1" t="s">
        <v>229</v>
      </c>
      <c r="J48" s="1" t="s">
        <v>31</v>
      </c>
      <c r="K48" s="1" t="s">
        <v>32</v>
      </c>
      <c r="L48" s="1" t="s">
        <v>59</v>
      </c>
      <c r="M48" s="1" t="s">
        <v>42</v>
      </c>
      <c r="N48" s="1" t="s">
        <v>35</v>
      </c>
      <c r="O48" s="1" t="s">
        <v>50</v>
      </c>
      <c r="P48" s="1" t="s">
        <v>42</v>
      </c>
      <c r="Q48" s="1" t="s">
        <v>37</v>
      </c>
      <c r="R48" s="8" t="str">
        <f>IFERROR(VLOOKUP(A48,Sheet3!B:H,6,false),VLOOKUP(D48,Sheet2!A:C,2,false))</f>
        <v>https://assets.roomstogo.com/product/stearns-and-foster-lux-estate-elite-medium-pillow-top-twin-xl-mattress_50048276_image-item</v>
      </c>
      <c r="S48" s="8" t="str">
        <f>IFERROR(VLOOKUP(A48,Sheet3!B:H,7,false),VLOOKUP(D48,Sheet2!A:C,3,false))</f>
        <v>https://assets.roomstogo.com/product/stearns-and-foster-lux-estate-elite-medium-pillow-top-twin-xl-mattress_50048276_alt-image-1</v>
      </c>
      <c r="T48" s="11" t="s">
        <v>1096</v>
      </c>
    </row>
    <row r="49">
      <c r="A49" s="4">
        <v>5.007011E7</v>
      </c>
      <c r="B49" s="9">
        <v>9006.0</v>
      </c>
      <c r="C49" s="9">
        <v>4.32</v>
      </c>
      <c r="D49" s="1" t="s">
        <v>232</v>
      </c>
      <c r="E49" s="1" t="s">
        <v>233</v>
      </c>
      <c r="F49" s="6">
        <v>1548.0</v>
      </c>
      <c r="G49" s="6">
        <v>1935.0</v>
      </c>
      <c r="H49" s="1" t="s">
        <v>234</v>
      </c>
      <c r="I49" s="7"/>
      <c r="J49" s="1" t="s">
        <v>31</v>
      </c>
      <c r="K49" s="1" t="s">
        <v>32</v>
      </c>
      <c r="L49" s="1" t="s">
        <v>59</v>
      </c>
      <c r="M49" s="1" t="s">
        <v>42</v>
      </c>
      <c r="N49" s="1" t="s">
        <v>35</v>
      </c>
      <c r="O49" s="1" t="s">
        <v>42</v>
      </c>
      <c r="P49" s="1" t="s">
        <v>34</v>
      </c>
      <c r="Q49" s="1" t="s">
        <v>37</v>
      </c>
      <c r="R49" s="8" t="str">
        <f>IFERROR(VLOOKUP(A49,Sheet3!B:H,6,false),VLOOKUP(D49,Sheet2!A:C,2,false))</f>
        <v>https://assets.roomstogo.com/product/helix-midnight-luxe-twin-xl-mattress_50070110_image-item</v>
      </c>
      <c r="S49" s="8" t="str">
        <f>IFERROR(VLOOKUP(A49,Sheet3!B:H,7,false),VLOOKUP(D49,Sheet2!A:C,3,false))</f>
        <v>https://assets.roomstogo.com/product/helix-midnight-luxe-twin-xl-mattress_50070110_alt-image-1</v>
      </c>
      <c r="T49" s="11" t="s">
        <v>1097</v>
      </c>
    </row>
    <row r="50">
      <c r="A50" s="4">
        <v>5.0070122E7</v>
      </c>
      <c r="B50" s="9">
        <v>501.0</v>
      </c>
      <c r="C50" s="9">
        <v>4.22</v>
      </c>
      <c r="D50" s="1" t="s">
        <v>237</v>
      </c>
      <c r="E50" s="1" t="s">
        <v>238</v>
      </c>
      <c r="F50" s="6">
        <v>2199.0</v>
      </c>
      <c r="G50" s="6">
        <v>2748.75</v>
      </c>
      <c r="H50" s="1" t="s">
        <v>234</v>
      </c>
      <c r="I50" s="7"/>
      <c r="J50" s="1" t="s">
        <v>31</v>
      </c>
      <c r="K50" s="1" t="s">
        <v>32</v>
      </c>
      <c r="L50" s="1" t="s">
        <v>59</v>
      </c>
      <c r="M50" s="1" t="s">
        <v>50</v>
      </c>
      <c r="N50" s="1" t="s">
        <v>35</v>
      </c>
      <c r="O50" s="1" t="s">
        <v>42</v>
      </c>
      <c r="P50" s="1" t="s">
        <v>42</v>
      </c>
      <c r="Q50" s="1" t="s">
        <v>37</v>
      </c>
      <c r="R50" s="8" t="str">
        <f>IFERROR(VLOOKUP(A50,Sheet3!B:H,6,false),VLOOKUP(D50,Sheet2!A:C,2,false))</f>
        <v>https://assets.roomstogo.com/product/helix-midnight-elite-twin-xl-mattress_50070122_image-item</v>
      </c>
      <c r="S50" s="8" t="str">
        <f>IFERROR(VLOOKUP(A50,Sheet3!B:H,7,false),VLOOKUP(D50,Sheet2!A:C,3,false))</f>
        <v>https://assets.roomstogo.com/product/helix-midnight-elite-twin-xl-mattress_50070122_alt-image-1</v>
      </c>
      <c r="T50" s="11" t="s">
        <v>1098</v>
      </c>
    </row>
    <row r="51">
      <c r="A51" s="4">
        <v>5.0100545E7</v>
      </c>
      <c r="B51" s="9">
        <v>81.0</v>
      </c>
      <c r="C51" s="9">
        <v>4.23</v>
      </c>
      <c r="D51" s="1" t="s">
        <v>28</v>
      </c>
      <c r="E51" s="1" t="s">
        <v>241</v>
      </c>
      <c r="F51" s="6">
        <v>799.0</v>
      </c>
      <c r="G51" s="6">
        <v>999.0</v>
      </c>
      <c r="H51" s="1" t="s">
        <v>30</v>
      </c>
      <c r="I51" s="7"/>
      <c r="J51" s="1" t="s">
        <v>31</v>
      </c>
      <c r="K51" s="1" t="s">
        <v>242</v>
      </c>
      <c r="L51" s="1" t="s">
        <v>33</v>
      </c>
      <c r="M51" s="1" t="s">
        <v>34</v>
      </c>
      <c r="N51" s="1" t="s">
        <v>35</v>
      </c>
      <c r="O51" s="1" t="s">
        <v>34</v>
      </c>
      <c r="P51" s="1" t="s">
        <v>36</v>
      </c>
      <c r="Q51" s="1" t="s">
        <v>37</v>
      </c>
      <c r="R51" s="8" t="str">
        <f>IFERROR(VLOOKUP(A51,Sheet3!B:H,6,false),VLOOKUP(D51,Sheet2!A:C,2,false))</f>
        <v>https://assets.roomstogo.com/product/casper-cloud-one-twin-xl-mattress_50000543_image-item</v>
      </c>
      <c r="S51" s="8" t="str">
        <f>IFERROR(VLOOKUP(A51,Sheet3!B:H,7,false),VLOOKUP(D51,Sheet2!A:C,3,false))</f>
        <v>https://assets.roomstogo.com/product/casper-cloud-one-twin-xl-mattress_50000543_alt-image-1</v>
      </c>
      <c r="T51" s="11" t="s">
        <v>1099</v>
      </c>
    </row>
    <row r="52">
      <c r="A52" s="4">
        <v>5.0100684E7</v>
      </c>
      <c r="B52" s="5"/>
      <c r="C52" s="5"/>
      <c r="D52" s="1" t="s">
        <v>52</v>
      </c>
      <c r="E52" s="1" t="s">
        <v>243</v>
      </c>
      <c r="F52" s="6">
        <v>649.0</v>
      </c>
      <c r="G52" s="6">
        <v>749.0</v>
      </c>
      <c r="H52" s="1" t="s">
        <v>30</v>
      </c>
      <c r="I52" s="1" t="s">
        <v>244</v>
      </c>
      <c r="J52" s="1" t="s">
        <v>31</v>
      </c>
      <c r="K52" s="1" t="s">
        <v>242</v>
      </c>
      <c r="L52" s="1" t="s">
        <v>33</v>
      </c>
      <c r="M52" s="1" t="s">
        <v>36</v>
      </c>
      <c r="N52" s="1" t="s">
        <v>35</v>
      </c>
      <c r="O52" s="1" t="s">
        <v>36</v>
      </c>
      <c r="P52" s="1" t="s">
        <v>36</v>
      </c>
      <c r="Q52" s="1" t="s">
        <v>37</v>
      </c>
      <c r="R52" s="8" t="str">
        <f>IFERROR(VLOOKUP(A52,Sheet3!B:H,6,false),VLOOKUP(D52,Sheet2!A:C,2,false))</f>
        <v>https://assets.roomstogo.com/product/casper-onyx-20-twin-xl-mattress_50000682_image-item</v>
      </c>
      <c r="S52" s="8" t="str">
        <f>IFERROR(VLOOKUP(A52,Sheet3!B:H,7,false),VLOOKUP(D52,Sheet2!A:C,3,false))</f>
        <v>https://assets.roomstogo.com/product/casper-onyx-20-twin-xl-mattress_50000682_alt-image-1</v>
      </c>
      <c r="T52" s="11" t="s">
        <v>1100</v>
      </c>
    </row>
    <row r="53">
      <c r="A53" s="4">
        <v>5.0101775E7</v>
      </c>
      <c r="B53" s="5"/>
      <c r="C53" s="5"/>
      <c r="D53" s="1" t="s">
        <v>56</v>
      </c>
      <c r="E53" s="1" t="s">
        <v>245</v>
      </c>
      <c r="F53" s="6">
        <v>977.0</v>
      </c>
      <c r="G53" s="6">
        <v>2999.0</v>
      </c>
      <c r="H53" s="1" t="s">
        <v>58</v>
      </c>
      <c r="I53" s="7"/>
      <c r="J53" s="7"/>
      <c r="K53" s="1" t="s">
        <v>242</v>
      </c>
      <c r="L53" s="1" t="s">
        <v>59</v>
      </c>
      <c r="M53" s="1" t="s">
        <v>42</v>
      </c>
      <c r="N53" s="1" t="s">
        <v>35</v>
      </c>
      <c r="O53" s="1" t="s">
        <v>42</v>
      </c>
      <c r="P53" s="1" t="s">
        <v>34</v>
      </c>
      <c r="Q53" s="1" t="s">
        <v>37</v>
      </c>
      <c r="R53" s="8" t="str">
        <f>IFERROR(VLOOKUP(A53,Sheet3!B:H,6,false),VLOOKUP(D53,Sheet2!A:C,2,false))</f>
        <v>https://assets.roomstogo.com/product/kingsdown-smart-match-20-twin-xl-mattress_50001773_image-item</v>
      </c>
      <c r="S53" s="8" t="str">
        <f>IFERROR(VLOOKUP(A53,Sheet3!B:H,7,false),VLOOKUP(D53,Sheet2!A:C,3,false))</f>
        <v>https://assets.roomstogo.com/product/kingsdown-smart-match-20-twin-xl-mattress_50001773_alt-image-1</v>
      </c>
      <c r="T53" s="11" t="s">
        <v>1101</v>
      </c>
    </row>
    <row r="54">
      <c r="A54" s="4">
        <v>5.010226E7</v>
      </c>
      <c r="B54" s="9">
        <v>43.0</v>
      </c>
      <c r="C54" s="9">
        <v>4.37</v>
      </c>
      <c r="D54" s="1" t="s">
        <v>248</v>
      </c>
      <c r="E54" s="1" t="s">
        <v>249</v>
      </c>
      <c r="F54" s="6">
        <v>238.0</v>
      </c>
      <c r="G54" s="6">
        <v>249.99</v>
      </c>
      <c r="H54" s="1" t="s">
        <v>58</v>
      </c>
      <c r="I54" s="1" t="s">
        <v>250</v>
      </c>
      <c r="J54" s="1" t="s">
        <v>134</v>
      </c>
      <c r="K54" s="1" t="s">
        <v>242</v>
      </c>
      <c r="L54" s="1" t="s">
        <v>59</v>
      </c>
      <c r="M54" s="1" t="s">
        <v>36</v>
      </c>
      <c r="N54" s="1" t="s">
        <v>35</v>
      </c>
      <c r="O54" s="1" t="s">
        <v>251</v>
      </c>
      <c r="P54" s="1" t="s">
        <v>36</v>
      </c>
      <c r="Q54" s="1" t="s">
        <v>37</v>
      </c>
      <c r="R54" s="8" t="str">
        <f>IFERROR(VLOOKUP(A54,Sheet3!B:H,6,false),VLOOKUP(D54,Sheet2!A:C,2,false))</f>
        <v>https://assets.roomstogo.com/product/kingsdown-turnbull-twin-mattress_50102260_image-item</v>
      </c>
      <c r="S54" s="8" t="str">
        <f>IFERROR(VLOOKUP(A54,Sheet3!B:H,7,false),VLOOKUP(D54,Sheet2!A:C,3,false))</f>
        <v>https://assets.roomstogo.com/product/kingsdown-turnbull-twin-mattress_50102260_alt-image-1</v>
      </c>
      <c r="T54" s="11" t="s">
        <v>1102</v>
      </c>
    </row>
    <row r="55">
      <c r="A55" s="4">
        <v>5.0102284E7</v>
      </c>
      <c r="B55" s="9">
        <v>26.0</v>
      </c>
      <c r="C55" s="9">
        <v>4.46</v>
      </c>
      <c r="D55" s="1" t="s">
        <v>254</v>
      </c>
      <c r="E55" s="1" t="s">
        <v>255</v>
      </c>
      <c r="F55" s="6">
        <v>298.0</v>
      </c>
      <c r="G55" s="6">
        <v>349.99</v>
      </c>
      <c r="H55" s="1" t="s">
        <v>58</v>
      </c>
      <c r="I55" s="1" t="s">
        <v>256</v>
      </c>
      <c r="J55" s="1" t="s">
        <v>134</v>
      </c>
      <c r="K55" s="1" t="s">
        <v>242</v>
      </c>
      <c r="L55" s="1" t="s">
        <v>59</v>
      </c>
      <c r="M55" s="1" t="s">
        <v>34</v>
      </c>
      <c r="N55" s="1" t="s">
        <v>35</v>
      </c>
      <c r="O55" s="1" t="s">
        <v>42</v>
      </c>
      <c r="P55" s="1" t="s">
        <v>36</v>
      </c>
      <c r="Q55" s="1" t="s">
        <v>37</v>
      </c>
      <c r="R55" s="8" t="str">
        <f>IFERROR(VLOOKUP(A55,Sheet3!B:H,6,false),VLOOKUP(D55,Sheet2!A:C,2,false))</f>
        <v>https://assets.roomstogo.com/product/kingsdown-hawke-twin-mattress_50102284_image-item</v>
      </c>
      <c r="S55" s="8" t="str">
        <f>IFERROR(VLOOKUP(A55,Sheet3!B:H,7,false),VLOOKUP(D55,Sheet2!A:C,3,false))</f>
        <v>https://assets.roomstogo.com/product/kingsdown-hawke-twin-mattress_50102284_alt-image-1</v>
      </c>
      <c r="T55" s="11" t="s">
        <v>1103</v>
      </c>
    </row>
    <row r="56">
      <c r="A56" s="4">
        <v>5.0102296E7</v>
      </c>
      <c r="B56" s="9">
        <v>9.0</v>
      </c>
      <c r="C56" s="9">
        <v>4.56</v>
      </c>
      <c r="D56" s="1" t="s">
        <v>259</v>
      </c>
      <c r="E56" s="1" t="s">
        <v>260</v>
      </c>
      <c r="F56" s="6">
        <v>377.0</v>
      </c>
      <c r="G56" s="6">
        <v>449.99</v>
      </c>
      <c r="H56" s="1" t="s">
        <v>58</v>
      </c>
      <c r="I56" s="1" t="s">
        <v>261</v>
      </c>
      <c r="J56" s="1" t="s">
        <v>134</v>
      </c>
      <c r="K56" s="1" t="s">
        <v>242</v>
      </c>
      <c r="L56" s="1" t="s">
        <v>33</v>
      </c>
      <c r="M56" s="1" t="s">
        <v>42</v>
      </c>
      <c r="N56" s="1" t="s">
        <v>49</v>
      </c>
      <c r="O56" s="1" t="s">
        <v>34</v>
      </c>
      <c r="P56" s="1" t="s">
        <v>36</v>
      </c>
      <c r="Q56" s="1" t="s">
        <v>51</v>
      </c>
      <c r="R56" s="8" t="str">
        <f>IFERROR(VLOOKUP(A56,Sheet3!B:H,6,false),VLOOKUP(D56,Sheet2!A:C,2,false))</f>
        <v>https://assets.roomstogo.com/product/kingsdown-grenson-twin-mattress_50102296_image-item</v>
      </c>
      <c r="S56" s="8" t="str">
        <f>IFERROR(VLOOKUP(A56,Sheet3!B:H,7,false),VLOOKUP(D56,Sheet2!A:C,3,false))</f>
        <v>https://assets.roomstogo.com/product/kingsdown-grenson-twin-mattress_50102296_alt-image-1</v>
      </c>
      <c r="T56" s="11" t="s">
        <v>1104</v>
      </c>
    </row>
    <row r="57">
      <c r="A57" s="4">
        <v>5.0107462E7</v>
      </c>
      <c r="B57" s="5"/>
      <c r="C57" s="5"/>
      <c r="D57" s="1" t="s">
        <v>62</v>
      </c>
      <c r="E57" s="1" t="s">
        <v>262</v>
      </c>
      <c r="F57" s="6">
        <v>1699.0</v>
      </c>
      <c r="G57" s="6">
        <v>1699.0</v>
      </c>
      <c r="H57" s="1" t="s">
        <v>64</v>
      </c>
      <c r="I57" s="1" t="s">
        <v>65</v>
      </c>
      <c r="J57" s="1" t="s">
        <v>31</v>
      </c>
      <c r="K57" s="1" t="s">
        <v>242</v>
      </c>
      <c r="L57" s="1" t="s">
        <v>33</v>
      </c>
      <c r="M57" s="1" t="s">
        <v>42</v>
      </c>
      <c r="N57" s="1" t="s">
        <v>35</v>
      </c>
      <c r="O57" s="1" t="s">
        <v>42</v>
      </c>
      <c r="P57" s="1" t="s">
        <v>42</v>
      </c>
      <c r="Q57" s="1" t="s">
        <v>37</v>
      </c>
      <c r="R57" s="8" t="str">
        <f>IFERROR(VLOOKUP(A57,Sheet3!B:H,6,false),VLOOKUP(D57,Sheet2!A:C,2,false))</f>
        <v>https://assets.roomstogo.com/product/tempur-pedic-adapt-20-medium-twin-xl-mattress_50007460_image-item</v>
      </c>
      <c r="S57" s="8" t="str">
        <f>IFERROR(VLOOKUP(A57,Sheet3!B:H,7,false),VLOOKUP(D57,Sheet2!A:C,3,false))</f>
        <v>https://assets.roomstogo.com/product/tempur-pedic-adapt-20-medium-twin-xl-mattress_50007460_alt-image-1</v>
      </c>
      <c r="T57" s="11" t="s">
        <v>1105</v>
      </c>
    </row>
    <row r="58">
      <c r="A58" s="4">
        <v>5.0107474E7</v>
      </c>
      <c r="B58" s="5"/>
      <c r="C58" s="5"/>
      <c r="D58" s="1" t="s">
        <v>68</v>
      </c>
      <c r="E58" s="1" t="s">
        <v>263</v>
      </c>
      <c r="F58" s="6">
        <v>1999.0</v>
      </c>
      <c r="G58" s="6">
        <v>1999.0</v>
      </c>
      <c r="H58" s="1" t="s">
        <v>64</v>
      </c>
      <c r="I58" s="1" t="s">
        <v>70</v>
      </c>
      <c r="J58" s="1" t="s">
        <v>31</v>
      </c>
      <c r="K58" s="1" t="s">
        <v>242</v>
      </c>
      <c r="L58" s="1" t="s">
        <v>41</v>
      </c>
      <c r="M58" s="1" t="s">
        <v>42</v>
      </c>
      <c r="N58" s="1" t="s">
        <v>35</v>
      </c>
      <c r="O58" s="1" t="s">
        <v>42</v>
      </c>
      <c r="P58" s="1" t="s">
        <v>42</v>
      </c>
      <c r="Q58" s="1" t="s">
        <v>37</v>
      </c>
      <c r="R58" s="8" t="str">
        <f>IFERROR(VLOOKUP(A58,Sheet3!B:H,6,false),VLOOKUP(D58,Sheet2!A:C,2,false))</f>
        <v>https://assets.roomstogo.com/product/tempur-pedic-adapt-20-medium-hybrid-twin-xl-mattress_50007472_image-item</v>
      </c>
      <c r="S58" s="8" t="str">
        <f>IFERROR(VLOOKUP(A58,Sheet3!B:H,7,false),VLOOKUP(D58,Sheet2!A:C,3,false))</f>
        <v>https://assets.roomstogo.com/product/tempur-pedic-adapt-20-medium-hybrid-twin-xl-mattress_50007472_alt-image-1</v>
      </c>
      <c r="T58" s="11" t="s">
        <v>1106</v>
      </c>
    </row>
    <row r="59">
      <c r="A59" s="4">
        <v>5.0107486E7</v>
      </c>
      <c r="B59" s="5"/>
      <c r="C59" s="5"/>
      <c r="D59" s="1" t="s">
        <v>73</v>
      </c>
      <c r="E59" s="1" t="s">
        <v>264</v>
      </c>
      <c r="F59" s="6">
        <v>2899.0</v>
      </c>
      <c r="G59" s="6">
        <v>2899.0</v>
      </c>
      <c r="H59" s="1" t="s">
        <v>64</v>
      </c>
      <c r="I59" s="1" t="s">
        <v>75</v>
      </c>
      <c r="J59" s="1" t="s">
        <v>31</v>
      </c>
      <c r="K59" s="1" t="s">
        <v>242</v>
      </c>
      <c r="L59" s="1" t="s">
        <v>33</v>
      </c>
      <c r="M59" s="1" t="s">
        <v>42</v>
      </c>
      <c r="N59" s="1" t="s">
        <v>76</v>
      </c>
      <c r="O59" s="1" t="s">
        <v>50</v>
      </c>
      <c r="P59" s="1" t="s">
        <v>42</v>
      </c>
      <c r="Q59" s="1" t="s">
        <v>77</v>
      </c>
      <c r="R59" s="8" t="str">
        <f>IFERROR(VLOOKUP(A59,Sheet3!B:H,6,false),VLOOKUP(D59,Sheet2!A:C,2,false))</f>
        <v>https://assets.roomstogo.com/product/tempur-pedic-proadapt-20-firm-twin-xl-mattress_50007484_image-item</v>
      </c>
      <c r="S59" s="8" t="str">
        <f>IFERROR(VLOOKUP(A59,Sheet3!B:H,7,false),VLOOKUP(D59,Sheet2!A:C,3,false))</f>
        <v>https://assets.roomstogo.com/product/tempur-pedic-proadapt-20-firm-twin-xl-mattress_50007484_alt-image-1</v>
      </c>
      <c r="T59" s="11" t="s">
        <v>1107</v>
      </c>
    </row>
    <row r="60">
      <c r="A60" s="4">
        <v>5.0107525E7</v>
      </c>
      <c r="B60" s="5"/>
      <c r="C60" s="5"/>
      <c r="D60" s="1" t="s">
        <v>85</v>
      </c>
      <c r="E60" s="1" t="s">
        <v>265</v>
      </c>
      <c r="F60" s="6">
        <v>2899.0</v>
      </c>
      <c r="G60" s="6">
        <v>2899.0</v>
      </c>
      <c r="H60" s="1" t="s">
        <v>64</v>
      </c>
      <c r="I60" s="1" t="s">
        <v>75</v>
      </c>
      <c r="J60" s="1" t="s">
        <v>31</v>
      </c>
      <c r="K60" s="1" t="s">
        <v>242</v>
      </c>
      <c r="L60" s="1" t="s">
        <v>33</v>
      </c>
      <c r="M60" s="1" t="s">
        <v>42</v>
      </c>
      <c r="N60" s="1" t="s">
        <v>35</v>
      </c>
      <c r="O60" s="1" t="s">
        <v>50</v>
      </c>
      <c r="P60" s="1" t="s">
        <v>42</v>
      </c>
      <c r="Q60" s="1" t="s">
        <v>37</v>
      </c>
      <c r="R60" s="8" t="str">
        <f>IFERROR(VLOOKUP(A60,Sheet3!B:H,6,false),VLOOKUP(D60,Sheet2!A:C,2,false))</f>
        <v>https://assets.roomstogo.com/product/tempur-pedic-proadapt-20-medium-twin-xl-mattress_50007523_image-item</v>
      </c>
      <c r="S60" s="8" t="str">
        <f>IFERROR(VLOOKUP(A60,Sheet3!B:H,7,false),VLOOKUP(D60,Sheet2!A:C,3,false))</f>
        <v>https://assets.roomstogo.com/product/tempur-pedic-proadapt-20-medium-twin-xl-mattress_50007523_alt-image-1</v>
      </c>
      <c r="T60" s="11" t="s">
        <v>1108</v>
      </c>
    </row>
    <row r="61">
      <c r="A61" s="4">
        <v>5.0107537E7</v>
      </c>
      <c r="B61" s="5"/>
      <c r="C61" s="5"/>
      <c r="D61" s="1" t="s">
        <v>89</v>
      </c>
      <c r="E61" s="1" t="s">
        <v>266</v>
      </c>
      <c r="F61" s="6">
        <v>2899.0</v>
      </c>
      <c r="G61" s="6">
        <v>2899.0</v>
      </c>
      <c r="H61" s="1" t="s">
        <v>64</v>
      </c>
      <c r="I61" s="1" t="s">
        <v>91</v>
      </c>
      <c r="J61" s="1" t="s">
        <v>31</v>
      </c>
      <c r="K61" s="1" t="s">
        <v>242</v>
      </c>
      <c r="L61" s="1" t="s">
        <v>33</v>
      </c>
      <c r="M61" s="1" t="s">
        <v>50</v>
      </c>
      <c r="N61" s="1" t="s">
        <v>49</v>
      </c>
      <c r="O61" s="1" t="s">
        <v>50</v>
      </c>
      <c r="P61" s="1" t="s">
        <v>42</v>
      </c>
      <c r="Q61" s="1" t="s">
        <v>51</v>
      </c>
      <c r="R61" s="8" t="str">
        <f>IFERROR(VLOOKUP(A61,Sheet3!B:H,6,false),VLOOKUP(D61,Sheet2!A:C,2,false))</f>
        <v>https://assets.roomstogo.com/product/tempur-pedic-proadapt-20-soft-twin-xl-mattress_50007535_image-item</v>
      </c>
      <c r="S61" s="8" t="str">
        <f>IFERROR(VLOOKUP(A61,Sheet3!B:H,7,false),VLOOKUP(D61,Sheet2!A:C,3,false))</f>
        <v>https://assets.roomstogo.com/product/tempur-pedic-proadapt-20-soft-twin-xl-mattress_50007535_alt-image-1</v>
      </c>
      <c r="T61" s="11" t="s">
        <v>1109</v>
      </c>
    </row>
    <row r="62">
      <c r="A62" s="4">
        <v>5.0107551E7</v>
      </c>
      <c r="B62" s="5"/>
      <c r="C62" s="5"/>
      <c r="D62" s="1" t="s">
        <v>94</v>
      </c>
      <c r="E62" s="1" t="s">
        <v>267</v>
      </c>
      <c r="F62" s="6">
        <v>2899.0</v>
      </c>
      <c r="G62" s="6">
        <v>2899.0</v>
      </c>
      <c r="H62" s="1" t="s">
        <v>64</v>
      </c>
      <c r="I62" s="1" t="s">
        <v>96</v>
      </c>
      <c r="J62" s="1" t="s">
        <v>31</v>
      </c>
      <c r="K62" s="1" t="s">
        <v>242</v>
      </c>
      <c r="L62" s="1" t="s">
        <v>41</v>
      </c>
      <c r="M62" s="1" t="s">
        <v>42</v>
      </c>
      <c r="N62" s="1" t="s">
        <v>35</v>
      </c>
      <c r="O62" s="1" t="s">
        <v>50</v>
      </c>
      <c r="P62" s="1" t="s">
        <v>42</v>
      </c>
      <c r="Q62" s="1" t="s">
        <v>37</v>
      </c>
      <c r="R62" s="8" t="str">
        <f>IFERROR(VLOOKUP(A62,Sheet3!B:H,6,false),VLOOKUP(D62,Sheet2!A:C,2,false))</f>
        <v>https://assets.roomstogo.com/product/tempur-pedic-proadapt-20-medium-hybrid-twin-xl-mattress_50007559_image-item</v>
      </c>
      <c r="S62" s="8" t="str">
        <f>IFERROR(VLOOKUP(A62,Sheet3!B:H,7,false),VLOOKUP(D62,Sheet2!A:C,3,false))</f>
        <v>https://assets.roomstogo.com/product/tempur-pedic-proadapt-20-medium-hybrid-twin-xl-mattress_50007559_alt-image-1</v>
      </c>
      <c r="T62" s="11" t="s">
        <v>1110</v>
      </c>
    </row>
    <row r="63">
      <c r="A63" s="4">
        <v>5.0109872E7</v>
      </c>
      <c r="B63" s="5"/>
      <c r="C63" s="5"/>
      <c r="D63" s="1" t="s">
        <v>112</v>
      </c>
      <c r="E63" s="1" t="s">
        <v>268</v>
      </c>
      <c r="F63" s="6">
        <v>597.0</v>
      </c>
      <c r="G63" s="6">
        <v>799.0</v>
      </c>
      <c r="H63" s="1" t="s">
        <v>114</v>
      </c>
      <c r="I63" s="7"/>
      <c r="J63" s="1" t="s">
        <v>31</v>
      </c>
      <c r="K63" s="1" t="s">
        <v>242</v>
      </c>
      <c r="L63" s="1" t="s">
        <v>41</v>
      </c>
      <c r="M63" s="1" t="s">
        <v>34</v>
      </c>
      <c r="N63" s="1" t="s">
        <v>35</v>
      </c>
      <c r="O63" s="1" t="s">
        <v>34</v>
      </c>
      <c r="P63" s="1" t="s">
        <v>34</v>
      </c>
      <c r="Q63" s="1" t="s">
        <v>37</v>
      </c>
      <c r="R63" s="8" t="str">
        <f>IFERROR(VLOOKUP(A63,Sheet3!B:H,6,false),VLOOKUP(D63,Sheet2!A:C,2,false))</f>
        <v>https://assets.roomstogo.com/product/tuft-needle-stitch-tn31-twin-xl-mattress_50009870_image-item</v>
      </c>
      <c r="S63" s="8" t="str">
        <f>IFERROR(VLOOKUP(A63,Sheet3!B:H,7,false),VLOOKUP(D63,Sheet2!A:C,3,false))</f>
        <v>https://assets.roomstogo.com/product/tuft-needle-stitch-tn31-twin-xl-mattress_50009870_alt-image-1</v>
      </c>
      <c r="T63" s="11" t="s">
        <v>1111</v>
      </c>
    </row>
    <row r="64">
      <c r="A64" s="4">
        <v>5.0109884E7</v>
      </c>
      <c r="B64" s="5"/>
      <c r="C64" s="5"/>
      <c r="D64" s="1" t="s">
        <v>115</v>
      </c>
      <c r="E64" s="1" t="s">
        <v>269</v>
      </c>
      <c r="F64" s="6">
        <v>695.0</v>
      </c>
      <c r="G64" s="6">
        <v>1299.0</v>
      </c>
      <c r="H64" s="1" t="s">
        <v>114</v>
      </c>
      <c r="I64" s="7"/>
      <c r="J64" s="1" t="s">
        <v>31</v>
      </c>
      <c r="K64" s="1" t="s">
        <v>242</v>
      </c>
      <c r="L64" s="1" t="s">
        <v>41</v>
      </c>
      <c r="M64" s="1" t="s">
        <v>42</v>
      </c>
      <c r="N64" s="1" t="s">
        <v>76</v>
      </c>
      <c r="O64" s="1" t="s">
        <v>42</v>
      </c>
      <c r="P64" s="1" t="s">
        <v>42</v>
      </c>
      <c r="Q64" s="1" t="s">
        <v>77</v>
      </c>
      <c r="R64" s="8" t="str">
        <f>IFERROR(VLOOKUP(A64,Sheet3!B:H,6,false),VLOOKUP(D64,Sheet2!A:C,2,false))</f>
        <v>https://assets.roomstogo.com/product/tuft-needle-stitch-tn51-twin-xl-mattress_50009882_image-item</v>
      </c>
      <c r="S64" s="8" t="str">
        <f>IFERROR(VLOOKUP(A64,Sheet3!B:H,7,false),VLOOKUP(D64,Sheet2!A:C,3,false))</f>
        <v>https://assets.roomstogo.com/product/tuft-needle-stitch-tn51-twin-xl-mattress_50009882_alt-image-1</v>
      </c>
      <c r="T64" s="11" t="s">
        <v>1112</v>
      </c>
    </row>
    <row r="65">
      <c r="A65" s="4">
        <v>5.0109909E7</v>
      </c>
      <c r="B65" s="5"/>
      <c r="C65" s="5"/>
      <c r="D65" s="1" t="s">
        <v>117</v>
      </c>
      <c r="E65" s="1" t="s">
        <v>270</v>
      </c>
      <c r="F65" s="6">
        <v>1497.0</v>
      </c>
      <c r="G65" s="6">
        <v>1999.0</v>
      </c>
      <c r="H65" s="1" t="s">
        <v>114</v>
      </c>
      <c r="I65" s="7"/>
      <c r="J65" s="1" t="s">
        <v>31</v>
      </c>
      <c r="K65" s="1" t="s">
        <v>242</v>
      </c>
      <c r="L65" s="1" t="s">
        <v>41</v>
      </c>
      <c r="M65" s="1" t="s">
        <v>50</v>
      </c>
      <c r="N65" s="1" t="s">
        <v>49</v>
      </c>
      <c r="O65" s="1" t="s">
        <v>42</v>
      </c>
      <c r="P65" s="1" t="s">
        <v>42</v>
      </c>
      <c r="Q65" s="1" t="s">
        <v>51</v>
      </c>
      <c r="R65" s="8" t="str">
        <f>IFERROR(VLOOKUP(A65,Sheet3!B:H,6,false),VLOOKUP(D65,Sheet2!A:C,2,false))</f>
        <v>https://assets.roomstogo.com/product/tuft-needle-stitch-tn91-twin-xl-mattress_50009907_image-item</v>
      </c>
      <c r="S65" s="8" t="str">
        <f>IFERROR(VLOOKUP(A65,Sheet3!B:H,7,false),VLOOKUP(D65,Sheet2!A:C,3,false))</f>
        <v>https://assets.roomstogo.com/product/tuft-needle-stitch-tn91-twin-xl-mattress_50009907_alt-image-1</v>
      </c>
      <c r="T65" s="11" t="s">
        <v>1113</v>
      </c>
    </row>
    <row r="66">
      <c r="A66" s="4">
        <v>5.0109923E7</v>
      </c>
      <c r="B66" s="5"/>
      <c r="C66" s="5"/>
      <c r="D66" s="1" t="s">
        <v>271</v>
      </c>
      <c r="E66" s="1" t="s">
        <v>272</v>
      </c>
      <c r="F66" s="6">
        <v>477.0</v>
      </c>
      <c r="G66" s="6">
        <v>499.0</v>
      </c>
      <c r="H66" s="1" t="s">
        <v>114</v>
      </c>
      <c r="I66" s="1" t="s">
        <v>273</v>
      </c>
      <c r="J66" s="1" t="s">
        <v>134</v>
      </c>
      <c r="K66" s="1" t="s">
        <v>242</v>
      </c>
      <c r="L66" s="1" t="s">
        <v>33</v>
      </c>
      <c r="M66" s="1" t="s">
        <v>36</v>
      </c>
      <c r="N66" s="1" t="s">
        <v>35</v>
      </c>
      <c r="O66" s="1" t="s">
        <v>36</v>
      </c>
      <c r="P66" s="1" t="s">
        <v>36</v>
      </c>
      <c r="Q66" s="1" t="s">
        <v>37</v>
      </c>
      <c r="R66" s="8" t="str">
        <f>IFERROR(VLOOKUP(A66,Sheet3!B:H,6,false),VLOOKUP(D66,Sheet2!A:C,2,false))</f>
        <v>https://assets.roomstogo.com/product/tuft-needle-kids-glee-twin-mattress_50109923_image-item</v>
      </c>
      <c r="S66" s="8" t="str">
        <f>IFERROR(VLOOKUP(A66,Sheet3!B:H,7,false),VLOOKUP(D66,Sheet2!A:C,3,false))</f>
        <v>https://assets.roomstogo.com/product/tuft-needle-kids-glee-twin-mattress_50109923_alt-image-1</v>
      </c>
      <c r="T66" s="11" t="s">
        <v>1114</v>
      </c>
    </row>
    <row r="67">
      <c r="A67" s="4">
        <v>5.0109935E7</v>
      </c>
      <c r="B67" s="9">
        <v>9.0</v>
      </c>
      <c r="C67" s="9">
        <v>4.89</v>
      </c>
      <c r="D67" s="1" t="s">
        <v>119</v>
      </c>
      <c r="E67" s="1" t="s">
        <v>276</v>
      </c>
      <c r="F67" s="6">
        <v>527.0</v>
      </c>
      <c r="G67" s="6">
        <v>649.0</v>
      </c>
      <c r="H67" s="1" t="s">
        <v>114</v>
      </c>
      <c r="I67" s="1" t="s">
        <v>121</v>
      </c>
      <c r="J67" s="1" t="s">
        <v>31</v>
      </c>
      <c r="K67" s="1" t="s">
        <v>242</v>
      </c>
      <c r="L67" s="1" t="s">
        <v>33</v>
      </c>
      <c r="M67" s="1" t="s">
        <v>36</v>
      </c>
      <c r="N67" s="1" t="s">
        <v>76</v>
      </c>
      <c r="O67" s="1" t="s">
        <v>36</v>
      </c>
      <c r="P67" s="1" t="s">
        <v>36</v>
      </c>
      <c r="Q67" s="1" t="s">
        <v>77</v>
      </c>
      <c r="R67" s="8" t="str">
        <f>IFERROR(VLOOKUP(A67,Sheet3!B:H,6,false),VLOOKUP(D67,Sheet2!A:C,2,false))</f>
        <v>https://assets.roomstogo.com/product/tuft-needle-tn1-twin-xl-mattress_50009933_image-item</v>
      </c>
      <c r="S67" s="8" t="str">
        <f>IFERROR(VLOOKUP(A67,Sheet3!B:H,7,false),VLOOKUP(D67,Sheet2!A:C,3,false))</f>
        <v>https://assets.roomstogo.com/product/tuft-needle-tn1-twin-xl-mattress_50009933_alt-image-1</v>
      </c>
      <c r="T67" s="11" t="s">
        <v>1115</v>
      </c>
    </row>
    <row r="68">
      <c r="A68" s="4">
        <v>5.0110572E7</v>
      </c>
      <c r="B68" s="9">
        <v>8.0</v>
      </c>
      <c r="C68" s="9">
        <v>4.88</v>
      </c>
      <c r="D68" s="1" t="s">
        <v>122</v>
      </c>
      <c r="E68" s="1" t="s">
        <v>279</v>
      </c>
      <c r="F68" s="6">
        <v>397.0</v>
      </c>
      <c r="G68" s="6">
        <v>899.0</v>
      </c>
      <c r="H68" s="1" t="s">
        <v>124</v>
      </c>
      <c r="I68" s="7"/>
      <c r="J68" s="1" t="s">
        <v>31</v>
      </c>
      <c r="K68" s="1" t="s">
        <v>242</v>
      </c>
      <c r="L68" s="1" t="s">
        <v>33</v>
      </c>
      <c r="M68" s="1" t="s">
        <v>34</v>
      </c>
      <c r="N68" s="1" t="s">
        <v>35</v>
      </c>
      <c r="O68" s="1" t="s">
        <v>34</v>
      </c>
      <c r="P68" s="1" t="s">
        <v>34</v>
      </c>
      <c r="Q68" s="1" t="s">
        <v>37</v>
      </c>
      <c r="R68" s="8" t="str">
        <f>IFERROR(VLOOKUP(A68,Sheet3!B:H,6,false),VLOOKUP(D68,Sheet2!A:C,2,false))</f>
        <v>https://assets.roomstogo.com/product/molecule-core-twin-xl-mattress_50010570_image-item</v>
      </c>
      <c r="S68" s="8" t="str">
        <f>IFERROR(VLOOKUP(A68,Sheet3!B:H,7,false),VLOOKUP(D68,Sheet2!A:C,3,false))</f>
        <v>https://assets.roomstogo.com/product/molecule-core-twin-xl-mattress_50010570_alt-image-1</v>
      </c>
      <c r="T68" s="11" t="s">
        <v>1116</v>
      </c>
    </row>
    <row r="69">
      <c r="A69" s="4">
        <v>5.0110673E7</v>
      </c>
      <c r="B69" s="9">
        <v>192.0</v>
      </c>
      <c r="C69" s="9">
        <v>4.4</v>
      </c>
      <c r="D69" s="1" t="s">
        <v>127</v>
      </c>
      <c r="E69" s="1" t="s">
        <v>280</v>
      </c>
      <c r="F69" s="6">
        <v>595.0</v>
      </c>
      <c r="G69" s="6">
        <v>799.99</v>
      </c>
      <c r="H69" s="1" t="s">
        <v>129</v>
      </c>
      <c r="I69" s="1" t="s">
        <v>130</v>
      </c>
      <c r="J69" s="1" t="s">
        <v>31</v>
      </c>
      <c r="K69" s="1" t="s">
        <v>242</v>
      </c>
      <c r="L69" s="1" t="s">
        <v>41</v>
      </c>
      <c r="M69" s="1" t="s">
        <v>34</v>
      </c>
      <c r="N69" s="1" t="s">
        <v>35</v>
      </c>
      <c r="O69" s="1" t="s">
        <v>34</v>
      </c>
      <c r="P69" s="1" t="s">
        <v>34</v>
      </c>
      <c r="Q69" s="1" t="s">
        <v>37</v>
      </c>
      <c r="R69" s="8" t="str">
        <f>IFERROR(VLOOKUP(A69,Sheet3!B:H,6,false),VLOOKUP(D69,Sheet2!A:C,2,false))</f>
        <v>https://assets.roomstogo.com/product/beautyrest-select-broad-peak-medium-hybrid-twin-xl-mattress_50010671_image-item</v>
      </c>
      <c r="S69" s="8" t="str">
        <f>IFERROR(VLOOKUP(A69,Sheet3!B:H,7,false),VLOOKUP(D69,Sheet2!A:C,3,false))</f>
        <v>https://assets.roomstogo.com/product/beautyrest-select-broad-peak-medium-hybrid-twin-xl-mattress_50010671_alt-image-1</v>
      </c>
      <c r="T69" s="11" t="s">
        <v>1117</v>
      </c>
    </row>
    <row r="70">
      <c r="A70" s="4">
        <v>5.0110938E7</v>
      </c>
      <c r="B70" s="9">
        <v>8.0</v>
      </c>
      <c r="C70" s="9">
        <v>3.75</v>
      </c>
      <c r="D70" s="1" t="s">
        <v>283</v>
      </c>
      <c r="E70" s="1" t="s">
        <v>284</v>
      </c>
      <c r="F70" s="6">
        <v>177.0</v>
      </c>
      <c r="G70" s="6">
        <v>199.0</v>
      </c>
      <c r="H70" s="1" t="s">
        <v>285</v>
      </c>
      <c r="I70" s="1" t="s">
        <v>286</v>
      </c>
      <c r="J70" s="1" t="s">
        <v>134</v>
      </c>
      <c r="K70" s="1" t="s">
        <v>242</v>
      </c>
      <c r="L70" s="1" t="s">
        <v>33</v>
      </c>
      <c r="M70" s="1" t="s">
        <v>251</v>
      </c>
      <c r="N70" s="1" t="s">
        <v>76</v>
      </c>
      <c r="O70" s="1" t="s">
        <v>36</v>
      </c>
      <c r="P70" s="1" t="s">
        <v>36</v>
      </c>
      <c r="Q70" s="1" t="s">
        <v>77</v>
      </c>
      <c r="R70" s="8" t="str">
        <f>IFERROR(VLOOKUP(A70,Sheet3!B:H,6,false),VLOOKUP(D70,Sheet2!A:C,2,false))</f>
        <v>https://assets.roomstogo.com/product/simmons-kids-delight-twin-mattress_50110938_image-item</v>
      </c>
      <c r="S70" s="8" t="str">
        <f>IFERROR(VLOOKUP(A70,Sheet3!B:H,7,false),VLOOKUP(D70,Sheet2!A:C,3,false))</f>
        <v>https://assets.roomstogo.com/product/simmons-kids-delight-twin-mattress_50110938_alt-image-1</v>
      </c>
      <c r="T70" s="11" t="s">
        <v>1118</v>
      </c>
    </row>
    <row r="71">
      <c r="A71" s="4">
        <v>5.011094E7</v>
      </c>
      <c r="B71" s="9">
        <v>3.0</v>
      </c>
      <c r="C71" s="9">
        <v>4.33</v>
      </c>
      <c r="D71" s="1" t="s">
        <v>289</v>
      </c>
      <c r="E71" s="1" t="s">
        <v>290</v>
      </c>
      <c r="F71" s="6">
        <v>277.0</v>
      </c>
      <c r="G71" s="6">
        <v>299.0</v>
      </c>
      <c r="H71" s="1" t="s">
        <v>285</v>
      </c>
      <c r="I71" s="1" t="s">
        <v>291</v>
      </c>
      <c r="J71" s="1" t="s">
        <v>134</v>
      </c>
      <c r="K71" s="1" t="s">
        <v>242</v>
      </c>
      <c r="L71" s="1" t="s">
        <v>33</v>
      </c>
      <c r="M71" s="1" t="s">
        <v>34</v>
      </c>
      <c r="N71" s="1" t="s">
        <v>35</v>
      </c>
      <c r="O71" s="1" t="s">
        <v>36</v>
      </c>
      <c r="P71" s="1" t="s">
        <v>36</v>
      </c>
      <c r="Q71" s="1" t="s">
        <v>37</v>
      </c>
      <c r="R71" s="8" t="str">
        <f>IFERROR(VLOOKUP(A71,Sheet3!B:H,6,false),VLOOKUP(D71,Sheet2!A:C,2,false))</f>
        <v>https://assets.roomstogo.com/product/simmons-kids-glad-twin-mattress_50110940_image-item</v>
      </c>
      <c r="S71" s="8" t="str">
        <f>IFERROR(VLOOKUP(A71,Sheet3!B:H,7,false),VLOOKUP(D71,Sheet2!A:C,3,false))</f>
        <v>https://assets.roomstogo.com/product/simmons-kids-glad-twin-mattress_50110940_alt-image-1</v>
      </c>
      <c r="T71" s="11" t="s">
        <v>1119</v>
      </c>
    </row>
    <row r="72">
      <c r="A72" s="4">
        <v>5.0110952E7</v>
      </c>
      <c r="B72" s="9">
        <v>9.0</v>
      </c>
      <c r="C72" s="9">
        <v>4.22</v>
      </c>
      <c r="D72" s="1" t="s">
        <v>294</v>
      </c>
      <c r="E72" s="1" t="s">
        <v>295</v>
      </c>
      <c r="F72" s="6">
        <v>327.0</v>
      </c>
      <c r="G72" s="6">
        <v>349.0</v>
      </c>
      <c r="H72" s="1" t="s">
        <v>285</v>
      </c>
      <c r="I72" s="1" t="s">
        <v>296</v>
      </c>
      <c r="J72" s="1" t="s">
        <v>134</v>
      </c>
      <c r="K72" s="1" t="s">
        <v>242</v>
      </c>
      <c r="L72" s="1" t="s">
        <v>59</v>
      </c>
      <c r="M72" s="1" t="s">
        <v>34</v>
      </c>
      <c r="N72" s="1" t="s">
        <v>76</v>
      </c>
      <c r="O72" s="1" t="s">
        <v>36</v>
      </c>
      <c r="P72" s="1" t="s">
        <v>34</v>
      </c>
      <c r="Q72" s="1" t="s">
        <v>77</v>
      </c>
      <c r="R72" s="8" t="str">
        <f>IFERROR(VLOOKUP(A72,Sheet3!B:H,6,false),VLOOKUP(D72,Sheet2!A:C,2,false))</f>
        <v>https://assets.roomstogo.com/product/simmons-kids-happy-twin-mattress_50110952_image-item</v>
      </c>
      <c r="S72" s="8" t="str">
        <f>IFERROR(VLOOKUP(A72,Sheet3!B:H,7,false),VLOOKUP(D72,Sheet2!A:C,3,false))</f>
        <v>https://assets.roomstogo.com/product/simmons-kids-happy-twin-mattress_50110952_alt-image-1</v>
      </c>
      <c r="T72" s="11" t="s">
        <v>1120</v>
      </c>
    </row>
    <row r="73">
      <c r="A73" s="4">
        <v>5.0111055E7</v>
      </c>
      <c r="B73" s="5"/>
      <c r="C73" s="5"/>
      <c r="D73" s="1" t="s">
        <v>131</v>
      </c>
      <c r="E73" s="1" t="s">
        <v>297</v>
      </c>
      <c r="F73" s="6">
        <v>345.0</v>
      </c>
      <c r="G73" s="6">
        <v>449.99</v>
      </c>
      <c r="H73" s="1" t="s">
        <v>133</v>
      </c>
      <c r="I73" s="1" t="s">
        <v>298</v>
      </c>
      <c r="J73" s="1" t="s">
        <v>134</v>
      </c>
      <c r="K73" s="1" t="s">
        <v>242</v>
      </c>
      <c r="L73" s="1" t="s">
        <v>59</v>
      </c>
      <c r="M73" s="1" t="s">
        <v>36</v>
      </c>
      <c r="N73" s="1" t="s">
        <v>49</v>
      </c>
      <c r="O73" s="1" t="s">
        <v>42</v>
      </c>
      <c r="P73" s="1" t="s">
        <v>36</v>
      </c>
      <c r="Q73" s="1" t="s">
        <v>51</v>
      </c>
      <c r="R73" s="8" t="str">
        <f>IFERROR(VLOOKUP(A73,Sheet3!B:H,6,false),VLOOKUP(D73,Sheet2!A:C,2,false))</f>
        <v>https://assets.roomstogo.com/product/tommy-bahama-bay-dreamer-twin-mattress_50111055_image-item</v>
      </c>
      <c r="S73" s="8" t="str">
        <f>IFERROR(VLOOKUP(A73,Sheet3!B:H,7,false),VLOOKUP(D73,Sheet2!A:C,3,false))</f>
        <v>https://assets.roomstogo.com/product/tommy-bahama-bay-dreamer-twin-mattress_50111055_alt-image-1</v>
      </c>
      <c r="T73" s="11" t="s">
        <v>1121</v>
      </c>
    </row>
    <row r="74">
      <c r="A74" s="4">
        <v>5.0111067E7</v>
      </c>
      <c r="B74" s="9">
        <v>8.0</v>
      </c>
      <c r="C74" s="9">
        <v>4.75</v>
      </c>
      <c r="D74" s="1" t="s">
        <v>135</v>
      </c>
      <c r="E74" s="1" t="s">
        <v>301</v>
      </c>
      <c r="F74" s="6">
        <v>395.0</v>
      </c>
      <c r="G74" s="6">
        <v>499.99</v>
      </c>
      <c r="H74" s="1" t="s">
        <v>133</v>
      </c>
      <c r="I74" s="1" t="s">
        <v>302</v>
      </c>
      <c r="J74" s="1" t="s">
        <v>134</v>
      </c>
      <c r="K74" s="1" t="s">
        <v>242</v>
      </c>
      <c r="L74" s="1" t="s">
        <v>41</v>
      </c>
      <c r="M74" s="1" t="s">
        <v>36</v>
      </c>
      <c r="N74" s="1" t="s">
        <v>76</v>
      </c>
      <c r="O74" s="1" t="s">
        <v>42</v>
      </c>
      <c r="P74" s="1" t="s">
        <v>36</v>
      </c>
      <c r="Q74" s="1" t="s">
        <v>77</v>
      </c>
      <c r="R74" s="8" t="str">
        <f>IFERROR(VLOOKUP(A74,Sheet3!B:H,6,false),VLOOKUP(D74,Sheet2!A:C,2,false))</f>
        <v>https://assets.roomstogo.com/product/tommy-bahama-make-waves-twin-mattress_50111067_image-item</v>
      </c>
      <c r="S74" s="8" t="str">
        <f>IFERROR(VLOOKUP(A74,Sheet3!B:H,7,false),VLOOKUP(D74,Sheet2!A:C,3,false))</f>
        <v>https://assets.roomstogo.com/product/tommy-bahama-make-waves-twin-mattress_50111067_alt-image-1</v>
      </c>
      <c r="T74" s="11" t="s">
        <v>1122</v>
      </c>
    </row>
    <row r="75">
      <c r="A75" s="4">
        <v>5.0111079E7</v>
      </c>
      <c r="B75" s="5"/>
      <c r="C75" s="5"/>
      <c r="D75" s="1" t="s">
        <v>137</v>
      </c>
      <c r="E75" s="1" t="s">
        <v>303</v>
      </c>
      <c r="F75" s="6">
        <v>495.0</v>
      </c>
      <c r="G75" s="6">
        <v>599.99</v>
      </c>
      <c r="H75" s="1" t="s">
        <v>133</v>
      </c>
      <c r="I75" s="1" t="s">
        <v>304</v>
      </c>
      <c r="J75" s="1" t="s">
        <v>134</v>
      </c>
      <c r="K75" s="1" t="s">
        <v>242</v>
      </c>
      <c r="L75" s="1" t="s">
        <v>59</v>
      </c>
      <c r="M75" s="1" t="s">
        <v>36</v>
      </c>
      <c r="N75" s="1" t="s">
        <v>35</v>
      </c>
      <c r="O75" s="1" t="s">
        <v>42</v>
      </c>
      <c r="P75" s="1" t="s">
        <v>36</v>
      </c>
      <c r="Q75" s="1" t="s">
        <v>37</v>
      </c>
      <c r="R75" s="8" t="str">
        <f>IFERROR(VLOOKUP(A75,Sheet3!B:H,6,false),VLOOKUP(D75,Sheet2!A:C,2,false))</f>
        <v>https://assets.roomstogo.com/product/tommy-bahama-seaside-serenity-twin-mattress_50111079_image-item</v>
      </c>
      <c r="S75" s="8" t="str">
        <f>IFERROR(VLOOKUP(A75,Sheet3!B:H,7,false),VLOOKUP(D75,Sheet2!A:C,3,false))</f>
        <v>https://assets.roomstogo.com/product/tommy-bahama-seaside-serenity-twin-mattress_50111079_alt-image-1</v>
      </c>
      <c r="T75" s="11" t="s">
        <v>1123</v>
      </c>
    </row>
    <row r="76">
      <c r="A76" s="4">
        <v>5.0111144E7</v>
      </c>
      <c r="B76" s="9">
        <v>7.0</v>
      </c>
      <c r="C76" s="9">
        <v>3.86</v>
      </c>
      <c r="D76" s="1" t="s">
        <v>307</v>
      </c>
      <c r="E76" s="1" t="s">
        <v>308</v>
      </c>
      <c r="F76" s="6">
        <v>99.0</v>
      </c>
      <c r="G76" s="6">
        <v>199.99</v>
      </c>
      <c r="H76" s="1" t="s">
        <v>309</v>
      </c>
      <c r="I76" s="1" t="s">
        <v>310</v>
      </c>
      <c r="J76" s="1" t="s">
        <v>134</v>
      </c>
      <c r="K76" s="1" t="s">
        <v>242</v>
      </c>
      <c r="L76" s="1" t="s">
        <v>33</v>
      </c>
      <c r="M76" s="1" t="s">
        <v>36</v>
      </c>
      <c r="N76" s="1" t="s">
        <v>35</v>
      </c>
      <c r="O76" s="1" t="s">
        <v>251</v>
      </c>
      <c r="P76" s="1" t="s">
        <v>251</v>
      </c>
      <c r="Q76" s="1" t="s">
        <v>37</v>
      </c>
      <c r="R76" s="8" t="str">
        <f>IFERROR(VLOOKUP(A76,Sheet3!B:H,6,false),VLOOKUP(D76,Sheet2!A:C,2,false))</f>
        <v>https://assets.roomstogo.com/product/therapedic-alder-twin-mattress_50111144_image-item</v>
      </c>
      <c r="S76" s="8" t="str">
        <f>IFERROR(VLOOKUP(A76,Sheet3!B:H,7,false),VLOOKUP(D76,Sheet2!A:C,3,false))</f>
        <v>https://assets.roomstogo.com/product/therapedic-alder-twin-mattress_50111144_alt-image-1</v>
      </c>
      <c r="T76" s="11" t="s">
        <v>1124</v>
      </c>
    </row>
    <row r="77">
      <c r="A77" s="4">
        <v>5.0111168E7</v>
      </c>
      <c r="B77" s="9">
        <v>5.0</v>
      </c>
      <c r="C77" s="9">
        <v>5.0</v>
      </c>
      <c r="D77" s="1" t="s">
        <v>313</v>
      </c>
      <c r="E77" s="1" t="s">
        <v>314</v>
      </c>
      <c r="F77" s="6">
        <v>377.0</v>
      </c>
      <c r="G77" s="6">
        <v>399.99</v>
      </c>
      <c r="H77" s="1" t="s">
        <v>309</v>
      </c>
      <c r="I77" s="1" t="s">
        <v>315</v>
      </c>
      <c r="J77" s="1" t="s">
        <v>134</v>
      </c>
      <c r="K77" s="1" t="s">
        <v>242</v>
      </c>
      <c r="L77" s="1" t="s">
        <v>33</v>
      </c>
      <c r="M77" s="1" t="s">
        <v>34</v>
      </c>
      <c r="N77" s="1" t="s">
        <v>49</v>
      </c>
      <c r="O77" s="1" t="s">
        <v>36</v>
      </c>
      <c r="P77" s="1" t="s">
        <v>36</v>
      </c>
      <c r="Q77" s="1" t="s">
        <v>51</v>
      </c>
      <c r="R77" s="8" t="str">
        <f>IFERROR(VLOOKUP(A77,Sheet3!B:H,6,false),VLOOKUP(D77,Sheet2!A:C,2,false))</f>
        <v>https://assets.roomstogo.com/product/therapedic-creekmore-twin-mattress_50111168_image-item</v>
      </c>
      <c r="S77" s="8" t="str">
        <f>IFERROR(VLOOKUP(A77,Sheet3!B:H,7,false),VLOOKUP(D77,Sheet2!A:C,3,false))</f>
        <v>https://assets.roomstogo.com/product/therapedic-creekmore-twin-mattress_50111168_alt-image-1</v>
      </c>
      <c r="T77" s="11" t="s">
        <v>1125</v>
      </c>
    </row>
    <row r="78">
      <c r="A78" s="4">
        <v>5.011117E7</v>
      </c>
      <c r="B78" s="9">
        <v>15.0</v>
      </c>
      <c r="C78" s="9">
        <v>4.2</v>
      </c>
      <c r="D78" s="1" t="s">
        <v>318</v>
      </c>
      <c r="E78" s="1" t="s">
        <v>319</v>
      </c>
      <c r="F78" s="6">
        <v>427.0</v>
      </c>
      <c r="G78" s="6">
        <v>449.99</v>
      </c>
      <c r="H78" s="1" t="s">
        <v>309</v>
      </c>
      <c r="I78" s="1" t="s">
        <v>320</v>
      </c>
      <c r="J78" s="1" t="s">
        <v>134</v>
      </c>
      <c r="K78" s="1" t="s">
        <v>242</v>
      </c>
      <c r="L78" s="1" t="s">
        <v>33</v>
      </c>
      <c r="M78" s="1" t="s">
        <v>42</v>
      </c>
      <c r="N78" s="1" t="s">
        <v>35</v>
      </c>
      <c r="O78" s="1" t="s">
        <v>251</v>
      </c>
      <c r="P78" s="1" t="s">
        <v>36</v>
      </c>
      <c r="Q78" s="1" t="s">
        <v>37</v>
      </c>
      <c r="R78" s="8" t="str">
        <f>IFERROR(VLOOKUP(A78,Sheet3!B:H,6,false),VLOOKUP(D78,Sheet2!A:C,2,false))</f>
        <v>https://assets.roomstogo.com/product/therapedic-flourish-2-sided-twin-mattress_50111170_image-item</v>
      </c>
      <c r="S78" s="8" t="str">
        <f>IFERROR(VLOOKUP(A78,Sheet3!B:H,7,false),VLOOKUP(D78,Sheet2!A:C,3,false))</f>
        <v>https://assets.roomstogo.com/product/therapedic-flourish-2-sided-twin-mattress_50111170_alt-image-1</v>
      </c>
      <c r="T78" s="11" t="s">
        <v>1126</v>
      </c>
    </row>
    <row r="79">
      <c r="A79" s="4">
        <v>5.0111233E7</v>
      </c>
      <c r="B79" s="9">
        <v>90.0</v>
      </c>
      <c r="C79" s="9">
        <v>4.6</v>
      </c>
      <c r="D79" s="1" t="s">
        <v>323</v>
      </c>
      <c r="E79" s="1" t="s">
        <v>324</v>
      </c>
      <c r="F79" s="6">
        <v>277.0</v>
      </c>
      <c r="G79" s="6">
        <v>299.99</v>
      </c>
      <c r="H79" s="1" t="s">
        <v>309</v>
      </c>
      <c r="I79" s="1" t="s">
        <v>325</v>
      </c>
      <c r="J79" s="1" t="s">
        <v>134</v>
      </c>
      <c r="K79" s="1" t="s">
        <v>242</v>
      </c>
      <c r="L79" s="1" t="s">
        <v>59</v>
      </c>
      <c r="M79" s="1" t="s">
        <v>34</v>
      </c>
      <c r="N79" s="1" t="s">
        <v>49</v>
      </c>
      <c r="O79" s="1" t="s">
        <v>42</v>
      </c>
      <c r="P79" s="1" t="s">
        <v>36</v>
      </c>
      <c r="Q79" s="1" t="s">
        <v>51</v>
      </c>
      <c r="R79" s="8" t="str">
        <f>IFERROR(VLOOKUP(A79,Sheet3!B:H,6,false),VLOOKUP(D79,Sheet2!A:C,2,false))</f>
        <v>https://assets.roomstogo.com/product/therapedic-hamell-twin-mattress_50111233_image-item</v>
      </c>
      <c r="S79" s="8" t="str">
        <f>IFERROR(VLOOKUP(A79,Sheet3!B:H,7,false),VLOOKUP(D79,Sheet2!A:C,3,false))</f>
        <v>https://assets.roomstogo.com/product/therapedic-hamell-twin-mattress_50111233_alt-image-1</v>
      </c>
      <c r="T79" s="11" t="s">
        <v>1127</v>
      </c>
    </row>
    <row r="80">
      <c r="A80" s="4">
        <v>5.0111269E7</v>
      </c>
      <c r="B80" s="9">
        <v>33.0</v>
      </c>
      <c r="C80" s="9">
        <v>4.55</v>
      </c>
      <c r="D80" s="1" t="s">
        <v>328</v>
      </c>
      <c r="E80" s="1" t="s">
        <v>329</v>
      </c>
      <c r="F80" s="6">
        <v>327.0</v>
      </c>
      <c r="G80" s="6">
        <v>349.99</v>
      </c>
      <c r="H80" s="1" t="s">
        <v>309</v>
      </c>
      <c r="I80" s="1" t="s">
        <v>330</v>
      </c>
      <c r="J80" s="1" t="s">
        <v>134</v>
      </c>
      <c r="K80" s="1" t="s">
        <v>242</v>
      </c>
      <c r="L80" s="1" t="s">
        <v>59</v>
      </c>
      <c r="M80" s="1" t="s">
        <v>34</v>
      </c>
      <c r="N80" s="1" t="s">
        <v>35</v>
      </c>
      <c r="O80" s="1" t="s">
        <v>34</v>
      </c>
      <c r="P80" s="1" t="s">
        <v>251</v>
      </c>
      <c r="Q80" s="1" t="s">
        <v>37</v>
      </c>
      <c r="R80" s="8" t="str">
        <f>IFERROR(VLOOKUP(A80,Sheet3!B:H,6,false),VLOOKUP(D80,Sheet2!A:C,2,false))</f>
        <v>https://assets.roomstogo.com/product/therapedic-impreza-twin-mattress_50111269_image-item</v>
      </c>
      <c r="S80" s="8" t="str">
        <f>IFERROR(VLOOKUP(A80,Sheet3!B:H,7,false),VLOOKUP(D80,Sheet2!A:C,3,false))</f>
        <v>https://assets.roomstogo.com/product/therapedic-impreza-twin-mattress_50111269_alt-image-1</v>
      </c>
      <c r="T80" s="11" t="s">
        <v>1128</v>
      </c>
    </row>
    <row r="81">
      <c r="A81" s="4">
        <v>5.0111346E7</v>
      </c>
      <c r="B81" s="5"/>
      <c r="C81" s="5"/>
      <c r="D81" s="1" t="s">
        <v>141</v>
      </c>
      <c r="E81" s="1" t="s">
        <v>331</v>
      </c>
      <c r="F81" s="6">
        <v>597.0</v>
      </c>
      <c r="G81" s="6">
        <v>799.99</v>
      </c>
      <c r="H81" s="1" t="s">
        <v>143</v>
      </c>
      <c r="I81" s="7"/>
      <c r="J81" s="1" t="s">
        <v>31</v>
      </c>
      <c r="K81" s="1" t="s">
        <v>242</v>
      </c>
      <c r="L81" s="1" t="s">
        <v>59</v>
      </c>
      <c r="M81" s="1" t="s">
        <v>36</v>
      </c>
      <c r="N81" s="1" t="s">
        <v>76</v>
      </c>
      <c r="O81" s="1" t="s">
        <v>34</v>
      </c>
      <c r="P81" s="1" t="s">
        <v>36</v>
      </c>
      <c r="Q81" s="1" t="s">
        <v>144</v>
      </c>
      <c r="R81" s="8" t="str">
        <f>IFERROR(VLOOKUP(A81,Sheet3!B:H,6,false),VLOOKUP(D81,Sheet2!A:C,2,false))</f>
        <v>https://assets.roomstogo.com/product/therapedic-forester-twin-xl-mattress_50011344_image-item</v>
      </c>
      <c r="S81" s="8" t="str">
        <f>IFERROR(VLOOKUP(A81,Sheet3!B:H,7,false),VLOOKUP(D81,Sheet2!A:C,3,false))</f>
        <v>https://assets.roomstogo.com/product/therapedic-forester-twin-xl-mattress_50011344_alt-image-1</v>
      </c>
      <c r="T81" s="11" t="s">
        <v>1129</v>
      </c>
    </row>
    <row r="82">
      <c r="A82" s="4">
        <v>5.011136E7</v>
      </c>
      <c r="B82" s="9">
        <v>20.0</v>
      </c>
      <c r="C82" s="9">
        <v>4.3</v>
      </c>
      <c r="D82" s="1" t="s">
        <v>145</v>
      </c>
      <c r="E82" s="1" t="s">
        <v>334</v>
      </c>
      <c r="F82" s="6">
        <v>497.0</v>
      </c>
      <c r="G82" s="6">
        <v>599.99</v>
      </c>
      <c r="H82" s="1" t="s">
        <v>143</v>
      </c>
      <c r="I82" s="7"/>
      <c r="J82" s="1" t="s">
        <v>31</v>
      </c>
      <c r="K82" s="1" t="s">
        <v>242</v>
      </c>
      <c r="L82" s="1" t="s">
        <v>59</v>
      </c>
      <c r="M82" s="1" t="s">
        <v>36</v>
      </c>
      <c r="N82" s="1" t="s">
        <v>35</v>
      </c>
      <c r="O82" s="1" t="s">
        <v>36</v>
      </c>
      <c r="P82" s="1" t="s">
        <v>34</v>
      </c>
      <c r="Q82" s="1" t="s">
        <v>37</v>
      </c>
      <c r="R82" s="8" t="str">
        <f>IFERROR(VLOOKUP(A82,Sheet3!B:H,6,false),VLOOKUP(D82,Sheet2!A:C,2,false))</f>
        <v>https://assets.roomstogo.com/product/therapedic-darlington-twin-xl-mattress_50011368_image-item</v>
      </c>
      <c r="S82" s="8" t="str">
        <f>IFERROR(VLOOKUP(A82,Sheet3!B:H,7,false),VLOOKUP(D82,Sheet2!A:C,3,false))</f>
        <v>https://assets.roomstogo.com/product/therapedic-darlington-twin-xl-mattress_50011368_alt-image-1</v>
      </c>
      <c r="T82" s="11" t="s">
        <v>1130</v>
      </c>
    </row>
    <row r="83">
      <c r="A83" s="4">
        <v>5.0122212E7</v>
      </c>
      <c r="B83" s="9">
        <v>28.0</v>
      </c>
      <c r="C83" s="9">
        <v>4.71</v>
      </c>
      <c r="D83" s="1" t="s">
        <v>163</v>
      </c>
      <c r="E83" s="1" t="s">
        <v>335</v>
      </c>
      <c r="F83" s="6">
        <v>347.0</v>
      </c>
      <c r="G83" s="6">
        <v>649.99</v>
      </c>
      <c r="H83" s="1" t="s">
        <v>165</v>
      </c>
      <c r="I83" s="1" t="s">
        <v>166</v>
      </c>
      <c r="J83" s="1" t="s">
        <v>31</v>
      </c>
      <c r="K83" s="1" t="s">
        <v>242</v>
      </c>
      <c r="L83" s="1" t="s">
        <v>41</v>
      </c>
      <c r="M83" s="1" t="s">
        <v>36</v>
      </c>
      <c r="N83" s="1" t="s">
        <v>35</v>
      </c>
      <c r="O83" s="1" t="s">
        <v>34</v>
      </c>
      <c r="P83" s="1" t="s">
        <v>36</v>
      </c>
      <c r="Q83" s="1" t="s">
        <v>37</v>
      </c>
      <c r="R83" s="8" t="str">
        <f>IFERROR(VLOOKUP(A83,Sheet3!B:H,6,false),VLOOKUP(D83,Sheet2!A:C,2,false))</f>
        <v>https://assets.roomstogo.com/product/beauty-sleep-oceana-mist-medium-hybrid-twin-xl-mattress_50022210_image-item</v>
      </c>
      <c r="S83" s="8" t="str">
        <f>IFERROR(VLOOKUP(A83,Sheet3!B:H,7,false),VLOOKUP(D83,Sheet2!A:C,3,false))</f>
        <v>https://assets.roomstogo.com/product/beauty-sleep-oceana-mist-medium-hybrid-twin-xl-mattress_50022210_alt-image-8</v>
      </c>
      <c r="T83" s="11" t="s">
        <v>1131</v>
      </c>
    </row>
    <row r="84">
      <c r="A84" s="4">
        <v>5.0125749E7</v>
      </c>
      <c r="B84" s="5"/>
      <c r="C84" s="5"/>
      <c r="D84" s="1" t="s">
        <v>169</v>
      </c>
      <c r="E84" s="1" t="s">
        <v>336</v>
      </c>
      <c r="F84" s="6">
        <v>1299.0</v>
      </c>
      <c r="G84" s="6">
        <v>1299.0</v>
      </c>
      <c r="H84" s="1" t="s">
        <v>171</v>
      </c>
      <c r="I84" s="1" t="s">
        <v>172</v>
      </c>
      <c r="J84" s="1" t="s">
        <v>31</v>
      </c>
      <c r="K84" s="1" t="s">
        <v>242</v>
      </c>
      <c r="L84" s="1" t="s">
        <v>59</v>
      </c>
      <c r="M84" s="1" t="s">
        <v>42</v>
      </c>
      <c r="N84" s="1" t="s">
        <v>49</v>
      </c>
      <c r="O84" s="1" t="s">
        <v>42</v>
      </c>
      <c r="P84" s="1" t="s">
        <v>42</v>
      </c>
      <c r="Q84" s="1" t="s">
        <v>51</v>
      </c>
      <c r="R84" s="8" t="str">
        <f>IFERROR(VLOOKUP(A84,Sheet3!B:H,6,false),VLOOKUP(D84,Sheet2!A:C,2,false))</f>
        <v>https://assets.roomstogo.com/product/beautyrest-world-class-level-three-plush-twin-xl-mattress_50025747_image-item</v>
      </c>
      <c r="S84" s="8" t="str">
        <f>IFERROR(VLOOKUP(A84,Sheet3!B:H,7,false),VLOOKUP(D84,Sheet2!A:C,3,false))</f>
        <v>https://assets.roomstogo.com/product/beautyrest-world-class-level-three-plush-twin-xl-mattress_50025747_alt-image-13</v>
      </c>
      <c r="T84" s="11" t="s">
        <v>1132</v>
      </c>
    </row>
    <row r="85">
      <c r="A85" s="4">
        <v>5.0125751E7</v>
      </c>
      <c r="B85" s="5"/>
      <c r="C85" s="5"/>
      <c r="D85" s="1" t="s">
        <v>173</v>
      </c>
      <c r="E85" s="1" t="s">
        <v>337</v>
      </c>
      <c r="F85" s="6">
        <v>1499.0</v>
      </c>
      <c r="G85" s="6">
        <v>1499.0</v>
      </c>
      <c r="H85" s="1" t="s">
        <v>171</v>
      </c>
      <c r="I85" s="1" t="s">
        <v>175</v>
      </c>
      <c r="J85" s="1" t="s">
        <v>31</v>
      </c>
      <c r="K85" s="1" t="s">
        <v>242</v>
      </c>
      <c r="L85" s="1" t="s">
        <v>59</v>
      </c>
      <c r="M85" s="1" t="s">
        <v>42</v>
      </c>
      <c r="N85" s="1" t="s">
        <v>35</v>
      </c>
      <c r="O85" s="1" t="s">
        <v>42</v>
      </c>
      <c r="P85" s="1" t="s">
        <v>42</v>
      </c>
      <c r="Q85" s="1" t="s">
        <v>37</v>
      </c>
      <c r="R85" s="8" t="str">
        <f>IFERROR(VLOOKUP(A85,Sheet3!B:H,6,false),VLOOKUP(D85,Sheet2!A:C,2,false))</f>
        <v>https://assets.roomstogo.com/product/beautyrest-world-class-level-three-medium-pillow-top-twin-xl-mattress_50025759_image-item</v>
      </c>
      <c r="S85" s="8" t="str">
        <f>IFERROR(VLOOKUP(A85,Sheet3!B:H,7,false),VLOOKUP(D85,Sheet2!A:C,3,false))</f>
        <v>https://assets.roomstogo.com/product/beautyrest-world-class-level-three-medium-pillow-top-twin-xl-mattress_50025759_alt-image-13</v>
      </c>
      <c r="T85" s="11" t="s">
        <v>1133</v>
      </c>
    </row>
    <row r="86">
      <c r="A86" s="4">
        <v>5.0125802E7</v>
      </c>
      <c r="B86" s="5"/>
      <c r="C86" s="5"/>
      <c r="D86" s="1" t="s">
        <v>176</v>
      </c>
      <c r="E86" s="1" t="s">
        <v>338</v>
      </c>
      <c r="F86" s="6">
        <v>1799.0</v>
      </c>
      <c r="G86" s="6">
        <v>1799.0</v>
      </c>
      <c r="H86" s="1" t="s">
        <v>171</v>
      </c>
      <c r="I86" s="1" t="s">
        <v>178</v>
      </c>
      <c r="J86" s="1" t="s">
        <v>31</v>
      </c>
      <c r="K86" s="1" t="s">
        <v>242</v>
      </c>
      <c r="L86" s="1" t="s">
        <v>59</v>
      </c>
      <c r="M86" s="1" t="s">
        <v>50</v>
      </c>
      <c r="N86" s="1" t="s">
        <v>49</v>
      </c>
      <c r="O86" s="1" t="s">
        <v>42</v>
      </c>
      <c r="P86" s="1" t="s">
        <v>42</v>
      </c>
      <c r="Q86" s="1" t="s">
        <v>51</v>
      </c>
      <c r="R86" s="8" t="str">
        <f>IFERROR(VLOOKUP(A86,Sheet3!B:H,6,false),VLOOKUP(D86,Sheet2!A:C,2,false))</f>
        <v>https://assets.roomstogo.com/product/beautyrest-world-class-level-four-plush-pillow-top-twin-xl-mattress_50025800_image-item</v>
      </c>
      <c r="S86" s="8" t="str">
        <f>IFERROR(VLOOKUP(A86,Sheet3!B:H,7,false),VLOOKUP(D86,Sheet2!A:C,3,false))</f>
        <v>https://assets.roomstogo.com/product/beautyrest-world-class-level-four-plush-pillow-top-twin-xl-mattress_50025800_alt-image-13</v>
      </c>
      <c r="T86" s="11" t="s">
        <v>1134</v>
      </c>
    </row>
    <row r="87">
      <c r="A87" s="4">
        <v>5.0128959E7</v>
      </c>
      <c r="B87" s="5"/>
      <c r="C87" s="5"/>
      <c r="D87" s="1" t="s">
        <v>179</v>
      </c>
      <c r="E87" s="1" t="s">
        <v>339</v>
      </c>
      <c r="F87" s="6">
        <v>797.0</v>
      </c>
      <c r="G87" s="6">
        <v>1399.0</v>
      </c>
      <c r="H87" s="1" t="s">
        <v>181</v>
      </c>
      <c r="I87" s="7"/>
      <c r="J87" s="1" t="s">
        <v>31</v>
      </c>
      <c r="K87" s="1" t="s">
        <v>242</v>
      </c>
      <c r="L87" s="1" t="s">
        <v>59</v>
      </c>
      <c r="M87" s="1" t="s">
        <v>42</v>
      </c>
      <c r="N87" s="1" t="s">
        <v>49</v>
      </c>
      <c r="O87" s="1" t="s">
        <v>34</v>
      </c>
      <c r="P87" s="1" t="s">
        <v>34</v>
      </c>
      <c r="Q87" s="1" t="s">
        <v>182</v>
      </c>
      <c r="R87" s="8" t="str">
        <f>IFERROR(VLOOKUP(A87,Sheet3!B:H,6,false),VLOOKUP(D87,Sheet2!A:C,2,false))</f>
        <v>https://assets.roomstogo.com/product/sealy-correct-comfort-kerry-park-twin-xl-mattress_50028957_image-item</v>
      </c>
      <c r="S87" s="8" t="str">
        <f>IFERROR(VLOOKUP(A87,Sheet3!B:H,7,false),VLOOKUP(D87,Sheet2!A:C,3,false))</f>
        <v>https://assets.roomstogo.com/product/sealy-correct-comfort-kerry-park-twin-xl-mattress_50028957_alt-image-1</v>
      </c>
      <c r="T87" s="11" t="s">
        <v>1135</v>
      </c>
    </row>
    <row r="88">
      <c r="A88" s="4">
        <v>5.0128961E7</v>
      </c>
      <c r="B88" s="5"/>
      <c r="C88" s="5"/>
      <c r="D88" s="1" t="s">
        <v>185</v>
      </c>
      <c r="E88" s="1" t="s">
        <v>340</v>
      </c>
      <c r="F88" s="6">
        <v>595.0</v>
      </c>
      <c r="G88" s="6">
        <v>699.0</v>
      </c>
      <c r="H88" s="1" t="s">
        <v>181</v>
      </c>
      <c r="I88" s="7"/>
      <c r="J88" s="1" t="s">
        <v>31</v>
      </c>
      <c r="K88" s="1" t="s">
        <v>242</v>
      </c>
      <c r="L88" s="1" t="s">
        <v>33</v>
      </c>
      <c r="M88" s="1" t="s">
        <v>34</v>
      </c>
      <c r="N88" s="1" t="s">
        <v>35</v>
      </c>
      <c r="O88" s="1" t="s">
        <v>34</v>
      </c>
      <c r="P88" s="1" t="s">
        <v>36</v>
      </c>
      <c r="Q88" s="1" t="s">
        <v>37</v>
      </c>
      <c r="R88" s="8" t="str">
        <f>IFERROR(VLOOKUP(A88,Sheet3!B:H,6,false),VLOOKUP(D88,Sheet2!A:C,2,false))</f>
        <v>https://assets.roomstogo.com/product/sealy-correct-comfort-bradford-hill-twin-xl-mattress_50028969_image-item</v>
      </c>
      <c r="S88" s="8" t="str">
        <f>IFERROR(VLOOKUP(A88,Sheet3!B:H,7,false),VLOOKUP(D88,Sheet2!A:C,3,false))</f>
        <v>https://assets.roomstogo.com/product/sealy-correct-comfort-bradford-hill-twin-xl-mattress_50028969_alt-image-1</v>
      </c>
      <c r="T88" s="11" t="s">
        <v>1136</v>
      </c>
    </row>
    <row r="89">
      <c r="A89" s="4">
        <v>5.0129177E7</v>
      </c>
      <c r="B89" s="9">
        <v>6.0</v>
      </c>
      <c r="C89" s="9">
        <v>4.17</v>
      </c>
      <c r="D89" s="1" t="s">
        <v>189</v>
      </c>
      <c r="E89" s="1" t="s">
        <v>343</v>
      </c>
      <c r="F89" s="6">
        <v>577.0</v>
      </c>
      <c r="G89" s="6">
        <v>699.0</v>
      </c>
      <c r="H89" s="1" t="s">
        <v>191</v>
      </c>
      <c r="I89" s="1" t="s">
        <v>192</v>
      </c>
      <c r="J89" s="1" t="s">
        <v>31</v>
      </c>
      <c r="K89" s="1" t="s">
        <v>242</v>
      </c>
      <c r="L89" s="1" t="s">
        <v>59</v>
      </c>
      <c r="M89" s="1" t="s">
        <v>36</v>
      </c>
      <c r="N89" s="1" t="s">
        <v>35</v>
      </c>
      <c r="O89" s="1" t="s">
        <v>36</v>
      </c>
      <c r="P89" s="1" t="s">
        <v>36</v>
      </c>
      <c r="Q89" s="1" t="s">
        <v>37</v>
      </c>
      <c r="R89" s="8" t="str">
        <f>IFERROR(VLOOKUP(A89,Sheet3!B:H,6,false),VLOOKUP(D89,Sheet2!A:C,2,false))</f>
        <v>https://assets.roomstogo.com/product/sealy-posturepedic-brierwood-twin-xl-mattress_50029175_image-item</v>
      </c>
      <c r="S89" s="8" t="str">
        <f>IFERROR(VLOOKUP(A89,Sheet3!B:H,7,false),VLOOKUP(D89,Sheet2!A:C,3,false))</f>
        <v>https://assets.roomstogo.com/product/sealy-posturepedic-brierwood-twin-xl-mattress_50029175_alt-image-1</v>
      </c>
      <c r="T89" s="11" t="s">
        <v>1137</v>
      </c>
    </row>
    <row r="90">
      <c r="A90" s="4">
        <v>5.0129204E7</v>
      </c>
      <c r="B90" s="5"/>
      <c r="C90" s="5"/>
      <c r="D90" s="1" t="s">
        <v>193</v>
      </c>
      <c r="E90" s="1" t="s">
        <v>344</v>
      </c>
      <c r="F90" s="6">
        <v>897.0</v>
      </c>
      <c r="G90" s="6">
        <v>1099.0</v>
      </c>
      <c r="H90" s="1" t="s">
        <v>195</v>
      </c>
      <c r="I90" s="1" t="s">
        <v>196</v>
      </c>
      <c r="J90" s="1" t="s">
        <v>31</v>
      </c>
      <c r="K90" s="1" t="s">
        <v>242</v>
      </c>
      <c r="L90" s="1" t="s">
        <v>59</v>
      </c>
      <c r="M90" s="1" t="s">
        <v>34</v>
      </c>
      <c r="N90" s="1" t="s">
        <v>35</v>
      </c>
      <c r="O90" s="1" t="s">
        <v>34</v>
      </c>
      <c r="P90" s="1" t="s">
        <v>36</v>
      </c>
      <c r="Q90" s="1" t="s">
        <v>37</v>
      </c>
      <c r="R90" s="8" t="str">
        <f>IFERROR(VLOOKUP(A90,Sheet3!B:H,6,false),VLOOKUP(D90,Sheet2!A:C,2,false))</f>
        <v>https://assets.roomstogo.com/product/sealy-posturepedic-castle-rock-twin-xl-mattress_50029202_image-item</v>
      </c>
      <c r="S90" s="8" t="str">
        <f>IFERROR(VLOOKUP(A90,Sheet3!B:H,7,false),VLOOKUP(D90,Sheet2!A:C,3,false))</f>
        <v>https://assets.roomstogo.com/product/sealy-posturepedic-castle-rock-twin-xl-mattress_50029202_alt-image-1</v>
      </c>
      <c r="T90" s="11" t="s">
        <v>1138</v>
      </c>
    </row>
    <row r="91">
      <c r="A91" s="4">
        <v>5.0129216E7</v>
      </c>
      <c r="B91" s="5"/>
      <c r="C91" s="5"/>
      <c r="D91" s="1" t="s">
        <v>197</v>
      </c>
      <c r="E91" s="1" t="s">
        <v>345</v>
      </c>
      <c r="F91" s="6">
        <v>977.0</v>
      </c>
      <c r="G91" s="6">
        <v>1199.0</v>
      </c>
      <c r="H91" s="1" t="s">
        <v>199</v>
      </c>
      <c r="I91" s="1" t="s">
        <v>200</v>
      </c>
      <c r="J91" s="1" t="s">
        <v>31</v>
      </c>
      <c r="K91" s="1" t="s">
        <v>242</v>
      </c>
      <c r="L91" s="1" t="s">
        <v>59</v>
      </c>
      <c r="M91" s="1" t="s">
        <v>34</v>
      </c>
      <c r="N91" s="1" t="s">
        <v>35</v>
      </c>
      <c r="O91" s="1" t="s">
        <v>42</v>
      </c>
      <c r="P91" s="1" t="s">
        <v>34</v>
      </c>
      <c r="Q91" s="1" t="s">
        <v>37</v>
      </c>
      <c r="R91" s="8" t="str">
        <f>IFERROR(VLOOKUP(A91,Sheet3!B:H,6,false),VLOOKUP(D91,Sheet2!A:C,2,false))</f>
        <v>https://assets.roomstogo.com/product/sealy-posturepedic-pebblebrook-twin-xl-mattress_50029214_image-item</v>
      </c>
      <c r="S91" s="8" t="str">
        <f>IFERROR(VLOOKUP(A91,Sheet3!B:H,7,false),VLOOKUP(D91,Sheet2!A:C,3,false))</f>
        <v>https://assets.roomstogo.com/product/sealy-posturepedic-pebblebrook-twin-xl-mattress_50029214_alt-image-1</v>
      </c>
      <c r="T91" s="11" t="s">
        <v>1139</v>
      </c>
    </row>
    <row r="92">
      <c r="A92" s="4">
        <v>5.0134116E7</v>
      </c>
      <c r="B92" s="9">
        <v>13.0</v>
      </c>
      <c r="C92" s="9">
        <v>3.92</v>
      </c>
      <c r="D92" s="1" t="s">
        <v>348</v>
      </c>
      <c r="E92" s="1" t="s">
        <v>349</v>
      </c>
      <c r="F92" s="6">
        <v>699.0</v>
      </c>
      <c r="G92" s="6">
        <v>799.0</v>
      </c>
      <c r="H92" s="1" t="s">
        <v>64</v>
      </c>
      <c r="I92" s="1" t="s">
        <v>350</v>
      </c>
      <c r="J92" s="1" t="s">
        <v>134</v>
      </c>
      <c r="K92" s="1" t="s">
        <v>242</v>
      </c>
      <c r="L92" s="1" t="s">
        <v>33</v>
      </c>
      <c r="M92" s="1" t="s">
        <v>50</v>
      </c>
      <c r="N92" s="1" t="s">
        <v>35</v>
      </c>
      <c r="O92" s="1" t="s">
        <v>50</v>
      </c>
      <c r="P92" s="1" t="s">
        <v>36</v>
      </c>
      <c r="Q92" s="1" t="s">
        <v>37</v>
      </c>
      <c r="R92" s="8" t="str">
        <f>IFERROR(VLOOKUP(A92,Sheet3!B:H,6,false),VLOOKUP(D92,Sheet2!A:C,2,false))</f>
        <v>https://assets.roomstogo.com/product/tempur-kids-twin-mattress_50134116_image-item</v>
      </c>
      <c r="S92" s="8" t="str">
        <f>IFERROR(VLOOKUP(A92,Sheet3!B:H,7,false),VLOOKUP(D92,Sheet2!A:C,3,false))</f>
        <v>https://assets.roomstogo.com/product/tempur-kids-project-z-twin-mattress_50134116_alt-image-1</v>
      </c>
      <c r="T92" s="11" t="s">
        <v>1140</v>
      </c>
    </row>
    <row r="93">
      <c r="A93" s="4">
        <v>5.015257E7</v>
      </c>
      <c r="B93" s="9">
        <v>3.0</v>
      </c>
      <c r="C93" s="9">
        <v>5.0</v>
      </c>
      <c r="D93" s="1" t="s">
        <v>352</v>
      </c>
      <c r="E93" s="1" t="s">
        <v>353</v>
      </c>
      <c r="F93" s="6">
        <v>277.0</v>
      </c>
      <c r="G93" s="6">
        <v>299.99</v>
      </c>
      <c r="H93" s="1" t="s">
        <v>354</v>
      </c>
      <c r="I93" s="1" t="s">
        <v>355</v>
      </c>
      <c r="J93" s="1" t="s">
        <v>134</v>
      </c>
      <c r="K93" s="1" t="s">
        <v>242</v>
      </c>
      <c r="L93" s="1" t="s">
        <v>59</v>
      </c>
      <c r="M93" s="1" t="s">
        <v>36</v>
      </c>
      <c r="N93" s="1" t="s">
        <v>35</v>
      </c>
      <c r="O93" s="1" t="s">
        <v>36</v>
      </c>
      <c r="P93" s="1" t="s">
        <v>36</v>
      </c>
      <c r="Q93" s="1" t="s">
        <v>37</v>
      </c>
      <c r="R93" s="8" t="str">
        <f>IFERROR(VLOOKUP(A93,Sheet3!B:H,6,false),VLOOKUP(D93,Sheet2!A:C,2,false))</f>
        <v>https://assets.roomstogo.com/product/sealy-kids-z-305-twin-mattress_50152570_image-item</v>
      </c>
      <c r="S93" s="8" t="str">
        <f>IFERROR(VLOOKUP(A93,Sheet3!B:H,7,false),VLOOKUP(D93,Sheet2!A:C,3,false))</f>
        <v>https://assets.roomstogo.com/product/sealy-kids-z-305-twin-mattress_50152570_alt-image-1</v>
      </c>
      <c r="T93" s="11" t="s">
        <v>1141</v>
      </c>
    </row>
    <row r="94">
      <c r="A94" s="4">
        <v>5.0152582E7</v>
      </c>
      <c r="B94" s="5"/>
      <c r="C94" s="5"/>
      <c r="D94" s="1" t="s">
        <v>356</v>
      </c>
      <c r="E94" s="1" t="s">
        <v>357</v>
      </c>
      <c r="F94" s="6">
        <v>327.0</v>
      </c>
      <c r="G94" s="6">
        <v>349.99</v>
      </c>
      <c r="H94" s="1" t="s">
        <v>354</v>
      </c>
      <c r="I94" s="1" t="s">
        <v>358</v>
      </c>
      <c r="J94" s="1" t="s">
        <v>134</v>
      </c>
      <c r="K94" s="1" t="s">
        <v>242</v>
      </c>
      <c r="L94" s="1" t="s">
        <v>59</v>
      </c>
      <c r="M94" s="1" t="s">
        <v>34</v>
      </c>
      <c r="N94" s="1" t="s">
        <v>49</v>
      </c>
      <c r="O94" s="1" t="s">
        <v>34</v>
      </c>
      <c r="P94" s="1" t="s">
        <v>42</v>
      </c>
      <c r="Q94" s="1" t="s">
        <v>51</v>
      </c>
      <c r="R94" s="8" t="str">
        <f>IFERROR(VLOOKUP(A94,Sheet3!B:H,6,false),VLOOKUP(D94,Sheet2!A:C,2,false))</f>
        <v>https://assets.roomstogo.com/product/sealy-kids-z-505-twin-mattress_50152582_image-item</v>
      </c>
      <c r="S94" s="8" t="str">
        <f>IFERROR(VLOOKUP(A94,Sheet3!B:H,7,false),VLOOKUP(D94,Sheet2!A:C,3,false))</f>
        <v>https://assets.roomstogo.com/product/sealy-kids-z-505-twin-mattress_50152582_alt-image-1</v>
      </c>
      <c r="T94" s="11" t="s">
        <v>1142</v>
      </c>
    </row>
    <row r="95">
      <c r="A95" s="4">
        <v>5.0170047E7</v>
      </c>
      <c r="B95" s="9">
        <v>1.0</v>
      </c>
      <c r="C95" s="9">
        <v>5.0</v>
      </c>
      <c r="D95" s="1" t="s">
        <v>361</v>
      </c>
      <c r="E95" s="1" t="s">
        <v>362</v>
      </c>
      <c r="F95" s="6">
        <v>599.0</v>
      </c>
      <c r="G95" s="6">
        <v>748.75</v>
      </c>
      <c r="H95" s="1" t="s">
        <v>234</v>
      </c>
      <c r="I95" s="7"/>
      <c r="J95" s="1" t="s">
        <v>134</v>
      </c>
      <c r="K95" s="1" t="s">
        <v>242</v>
      </c>
      <c r="L95" s="1" t="s">
        <v>59</v>
      </c>
      <c r="M95" s="1" t="s">
        <v>42</v>
      </c>
      <c r="N95" s="1" t="s">
        <v>35</v>
      </c>
      <c r="O95" s="1" t="s">
        <v>50</v>
      </c>
      <c r="P95" s="1" t="s">
        <v>34</v>
      </c>
      <c r="Q95" s="1" t="s">
        <v>363</v>
      </c>
      <c r="R95" s="8" t="str">
        <f>IFERROR(VLOOKUP(A95,Sheet3!B:H,6,false),VLOOKUP(D95,Sheet2!A:C,2,false))</f>
        <v>https://assets.roomstogo.com/product/helix-kids-twin-mattress_50170047_image-item</v>
      </c>
      <c r="S95" s="8" t="str">
        <f>IFERROR(VLOOKUP(A95,Sheet3!B:H,7,false),VLOOKUP(D95,Sheet2!A:C,3,false))</f>
        <v>https://assets.roomstogo.com/product/helix-kids-twin-mattress_50170047_alt-image-6</v>
      </c>
      <c r="T95" s="11" t="s">
        <v>1143</v>
      </c>
    </row>
    <row r="96">
      <c r="A96" s="4">
        <v>5.0170112E7</v>
      </c>
      <c r="B96" s="5"/>
      <c r="C96" s="5"/>
      <c r="D96" s="1" t="s">
        <v>232</v>
      </c>
      <c r="E96" s="1" t="s">
        <v>364</v>
      </c>
      <c r="F96" s="6">
        <v>1348.0</v>
      </c>
      <c r="G96" s="6">
        <v>1685.0</v>
      </c>
      <c r="H96" s="1" t="s">
        <v>234</v>
      </c>
      <c r="I96" s="7"/>
      <c r="J96" s="1" t="s">
        <v>31</v>
      </c>
      <c r="K96" s="1" t="s">
        <v>242</v>
      </c>
      <c r="L96" s="1" t="s">
        <v>59</v>
      </c>
      <c r="M96" s="1" t="s">
        <v>42</v>
      </c>
      <c r="N96" s="1" t="s">
        <v>35</v>
      </c>
      <c r="O96" s="1" t="s">
        <v>42</v>
      </c>
      <c r="P96" s="1" t="s">
        <v>34</v>
      </c>
      <c r="Q96" s="1" t="s">
        <v>37</v>
      </c>
      <c r="R96" s="8" t="str">
        <f>IFERROR(VLOOKUP(A96,Sheet3!B:H,6,false),VLOOKUP(D96,Sheet2!A:C,2,false))</f>
        <v>https://assets.roomstogo.com/product/helix-midnight-luxe-twin-xl-mattress_50070110_image-item</v>
      </c>
      <c r="S96" s="8" t="str">
        <f>IFERROR(VLOOKUP(A96,Sheet3!B:H,7,false),VLOOKUP(D96,Sheet2!A:C,3,false))</f>
        <v>https://assets.roomstogo.com/product/helix-midnight-luxe-twin-xl-mattress_50070110_alt-image-1</v>
      </c>
      <c r="T96" s="11" t="s">
        <v>1144</v>
      </c>
    </row>
    <row r="97">
      <c r="A97" s="4">
        <v>5.0170124E7</v>
      </c>
      <c r="B97" s="5"/>
      <c r="C97" s="5"/>
      <c r="D97" s="1" t="s">
        <v>237</v>
      </c>
      <c r="E97" s="1" t="s">
        <v>365</v>
      </c>
      <c r="F97" s="6">
        <v>1999.0</v>
      </c>
      <c r="G97" s="6">
        <v>2498.75</v>
      </c>
      <c r="H97" s="1" t="s">
        <v>234</v>
      </c>
      <c r="I97" s="7"/>
      <c r="J97" s="1" t="s">
        <v>31</v>
      </c>
      <c r="K97" s="1" t="s">
        <v>242</v>
      </c>
      <c r="L97" s="1" t="s">
        <v>59</v>
      </c>
      <c r="M97" s="1" t="s">
        <v>50</v>
      </c>
      <c r="N97" s="1" t="s">
        <v>35</v>
      </c>
      <c r="O97" s="1" t="s">
        <v>42</v>
      </c>
      <c r="P97" s="1" t="s">
        <v>42</v>
      </c>
      <c r="Q97" s="1" t="s">
        <v>37</v>
      </c>
      <c r="R97" s="8" t="str">
        <f>IFERROR(VLOOKUP(A97,Sheet3!B:H,6,false),VLOOKUP(D97,Sheet2!A:C,2,false))</f>
        <v>https://assets.roomstogo.com/product/helix-midnight-elite-twin-xl-mattress_50070122_image-item</v>
      </c>
      <c r="S97" s="8" t="str">
        <f>IFERROR(VLOOKUP(A97,Sheet3!B:H,7,false),VLOOKUP(D97,Sheet2!A:C,3,false))</f>
        <v>https://assets.roomstogo.com/product/helix-midnight-elite-twin-xl-mattress_50070122_alt-image-1</v>
      </c>
      <c r="T97" s="11" t="s">
        <v>1145</v>
      </c>
    </row>
    <row r="98">
      <c r="A98" s="4">
        <v>5.0218607E7</v>
      </c>
      <c r="B98" s="9">
        <v>11.0</v>
      </c>
      <c r="C98" s="9">
        <v>4.45</v>
      </c>
      <c r="D98" s="1" t="s">
        <v>369</v>
      </c>
      <c r="E98" s="1" t="s">
        <v>370</v>
      </c>
      <c r="F98" s="6">
        <v>899.0</v>
      </c>
      <c r="G98" s="6">
        <v>899.0</v>
      </c>
      <c r="H98" s="7"/>
      <c r="I98" s="1" t="s">
        <v>371</v>
      </c>
      <c r="J98" s="1" t="s">
        <v>31</v>
      </c>
      <c r="K98" s="1" t="s">
        <v>242</v>
      </c>
      <c r="L98" s="7"/>
      <c r="M98" s="7"/>
      <c r="N98" s="7"/>
      <c r="O98" s="7"/>
      <c r="P98" s="7"/>
      <c r="Q98" s="7"/>
      <c r="R98" s="11" t="str">
        <f>IFERROR(VLOOKUP(A98,Sheet3!B:H,6,false),VLOOKUP(D98,Sheet2!A:C,2,false))</f>
        <v>#N/A</v>
      </c>
      <c r="S98" s="11" t="str">
        <f>IFERROR(VLOOKUP(A98,Sheet3!B:H,7,false),VLOOKUP(D98,Sheet2!A:C,3,false))</f>
        <v>#N/A</v>
      </c>
      <c r="T98" s="11" t="s">
        <v>1146</v>
      </c>
    </row>
    <row r="99">
      <c r="A99" s="4">
        <v>5.0300549E7</v>
      </c>
      <c r="B99" s="9">
        <v>81.0</v>
      </c>
      <c r="C99" s="9">
        <v>4.23</v>
      </c>
      <c r="D99" s="1" t="s">
        <v>28</v>
      </c>
      <c r="E99" s="1" t="s">
        <v>372</v>
      </c>
      <c r="F99" s="6">
        <v>959.0</v>
      </c>
      <c r="G99" s="6">
        <v>1199.0</v>
      </c>
      <c r="H99" s="1" t="s">
        <v>30</v>
      </c>
      <c r="I99" s="7"/>
      <c r="J99" s="1" t="s">
        <v>31</v>
      </c>
      <c r="K99" s="1" t="s">
        <v>373</v>
      </c>
      <c r="L99" s="1" t="s">
        <v>33</v>
      </c>
      <c r="M99" s="1" t="s">
        <v>34</v>
      </c>
      <c r="N99" s="1" t="s">
        <v>35</v>
      </c>
      <c r="O99" s="1" t="s">
        <v>34</v>
      </c>
      <c r="P99" s="1" t="s">
        <v>36</v>
      </c>
      <c r="Q99" s="1" t="s">
        <v>37</v>
      </c>
      <c r="R99" s="8" t="str">
        <f>IFERROR(VLOOKUP(A99,Sheet3!B:H,6,false),VLOOKUP(D99,Sheet2!A:C,2,false))</f>
        <v>https://assets.roomstogo.com/product/casper-cloud-one-twin-xl-mattress_50000543_image-item</v>
      </c>
      <c r="S99" s="8" t="str">
        <f>IFERROR(VLOOKUP(A99,Sheet3!B:H,7,false),VLOOKUP(D99,Sheet2!A:C,3,false))</f>
        <v>https://assets.roomstogo.com/product/casper-cloud-one-twin-xl-mattress_50000543_alt-image-1</v>
      </c>
      <c r="T99" s="11" t="s">
        <v>1147</v>
      </c>
    </row>
    <row r="100">
      <c r="A100" s="4">
        <v>5.0300575E7</v>
      </c>
      <c r="B100" s="5"/>
      <c r="C100" s="5"/>
      <c r="D100" s="1" t="s">
        <v>38</v>
      </c>
      <c r="E100" s="1" t="s">
        <v>374</v>
      </c>
      <c r="F100" s="6">
        <v>1995.0</v>
      </c>
      <c r="G100" s="6">
        <v>2495.0</v>
      </c>
      <c r="H100" s="1" t="s">
        <v>30</v>
      </c>
      <c r="I100" s="1" t="s">
        <v>375</v>
      </c>
      <c r="J100" s="1" t="s">
        <v>31</v>
      </c>
      <c r="K100" s="1" t="s">
        <v>373</v>
      </c>
      <c r="L100" s="1" t="s">
        <v>41</v>
      </c>
      <c r="M100" s="1" t="s">
        <v>34</v>
      </c>
      <c r="N100" s="1" t="s">
        <v>35</v>
      </c>
      <c r="O100" s="1" t="s">
        <v>34</v>
      </c>
      <c r="P100" s="1" t="s">
        <v>42</v>
      </c>
      <c r="Q100" s="1" t="s">
        <v>37</v>
      </c>
      <c r="R100" s="8" t="str">
        <f>IFERROR(VLOOKUP(A100,Sheet3!B:H,6,false),VLOOKUP(D100,Sheet2!A:C,2,false))</f>
        <v>https://assets.roomstogo.com/product/casper-snow-20-twin-xl-mattress_50000579_image-item</v>
      </c>
      <c r="S100" s="8" t="str">
        <f>IFERROR(VLOOKUP(A100,Sheet3!B:H,7,false),VLOOKUP(D100,Sheet2!A:C,3,false))</f>
        <v>https://assets.roomstogo.com/product/casper-snow-20-twin-xl-mattress_50000579_alt-image-1</v>
      </c>
      <c r="T100" s="11" t="s">
        <v>1148</v>
      </c>
    </row>
    <row r="101">
      <c r="A101" s="4">
        <v>5.0300587E7</v>
      </c>
      <c r="B101" s="9">
        <v>380.0</v>
      </c>
      <c r="C101" s="9">
        <v>4.42</v>
      </c>
      <c r="D101" s="1" t="s">
        <v>46</v>
      </c>
      <c r="E101" s="1" t="s">
        <v>376</v>
      </c>
      <c r="F101" s="6">
        <v>2995.0</v>
      </c>
      <c r="G101" s="6">
        <v>3795.0</v>
      </c>
      <c r="H101" s="1" t="s">
        <v>30</v>
      </c>
      <c r="I101" s="1" t="s">
        <v>48</v>
      </c>
      <c r="J101" s="1" t="s">
        <v>31</v>
      </c>
      <c r="K101" s="1" t="s">
        <v>373</v>
      </c>
      <c r="L101" s="1" t="s">
        <v>41</v>
      </c>
      <c r="M101" s="1" t="s">
        <v>42</v>
      </c>
      <c r="N101" s="1" t="s">
        <v>49</v>
      </c>
      <c r="O101" s="1" t="s">
        <v>34</v>
      </c>
      <c r="P101" s="1" t="s">
        <v>50</v>
      </c>
      <c r="Q101" s="1" t="s">
        <v>51</v>
      </c>
      <c r="R101" s="8" t="str">
        <f>IFERROR(VLOOKUP(A101,Sheet3!B:H,6,false),VLOOKUP(D101,Sheet2!A:C,2,false))</f>
        <v>https://assets.roomstogo.com/product/casper-snow-max-twin-xl-mattress_50000581_image-item</v>
      </c>
      <c r="S101" s="8" t="str">
        <f>IFERROR(VLOOKUP(A101,Sheet3!B:H,7,false),VLOOKUP(D101,Sheet2!A:C,3,false))</f>
        <v>https://assets.roomstogo.com/product/casper-snow-max-twin-xl-mattress_50000581_alt-image-1</v>
      </c>
      <c r="T101" s="11" t="s">
        <v>1149</v>
      </c>
    </row>
    <row r="102">
      <c r="A102" s="4">
        <v>5.0300688E7</v>
      </c>
      <c r="B102" s="9">
        <v>6.0</v>
      </c>
      <c r="C102" s="9">
        <v>3.67</v>
      </c>
      <c r="D102" s="1" t="s">
        <v>52</v>
      </c>
      <c r="E102" s="1" t="s">
        <v>379</v>
      </c>
      <c r="F102" s="6">
        <v>749.0</v>
      </c>
      <c r="G102" s="6">
        <v>849.0</v>
      </c>
      <c r="H102" s="1" t="s">
        <v>30</v>
      </c>
      <c r="I102" s="1" t="s">
        <v>244</v>
      </c>
      <c r="J102" s="1" t="s">
        <v>31</v>
      </c>
      <c r="K102" s="1" t="s">
        <v>373</v>
      </c>
      <c r="L102" s="1" t="s">
        <v>33</v>
      </c>
      <c r="M102" s="1" t="s">
        <v>36</v>
      </c>
      <c r="N102" s="1" t="s">
        <v>35</v>
      </c>
      <c r="O102" s="1" t="s">
        <v>36</v>
      </c>
      <c r="P102" s="1" t="s">
        <v>36</v>
      </c>
      <c r="Q102" s="1" t="s">
        <v>37</v>
      </c>
      <c r="R102" s="8" t="str">
        <f>IFERROR(VLOOKUP(A102,Sheet3!B:H,6,false),VLOOKUP(D102,Sheet2!A:C,2,false))</f>
        <v>https://assets.roomstogo.com/product/casper-onyx-20-twin-xl-mattress_50000682_image-item</v>
      </c>
      <c r="S102" s="8" t="str">
        <f>IFERROR(VLOOKUP(A102,Sheet3!B:H,7,false),VLOOKUP(D102,Sheet2!A:C,3,false))</f>
        <v>https://assets.roomstogo.com/product/casper-onyx-20-twin-xl-mattress_50000682_alt-image-1</v>
      </c>
      <c r="T102" s="11" t="s">
        <v>1150</v>
      </c>
    </row>
    <row r="103">
      <c r="A103" s="4">
        <v>5.0301779E7</v>
      </c>
      <c r="B103" s="5"/>
      <c r="C103" s="5"/>
      <c r="D103" s="1" t="s">
        <v>56</v>
      </c>
      <c r="E103" s="1" t="s">
        <v>380</v>
      </c>
      <c r="F103" s="6">
        <v>1177.0</v>
      </c>
      <c r="G103" s="6">
        <v>3599.0</v>
      </c>
      <c r="H103" s="1" t="s">
        <v>58</v>
      </c>
      <c r="I103" s="7"/>
      <c r="J103" s="7"/>
      <c r="K103" s="1" t="s">
        <v>373</v>
      </c>
      <c r="L103" s="1" t="s">
        <v>59</v>
      </c>
      <c r="M103" s="1" t="s">
        <v>42</v>
      </c>
      <c r="N103" s="1" t="s">
        <v>35</v>
      </c>
      <c r="O103" s="1" t="s">
        <v>42</v>
      </c>
      <c r="P103" s="1" t="s">
        <v>34</v>
      </c>
      <c r="Q103" s="1" t="s">
        <v>37</v>
      </c>
      <c r="R103" s="8" t="str">
        <f>IFERROR(VLOOKUP(A103,Sheet3!B:H,6,false),VLOOKUP(D103,Sheet2!A:C,2,false))</f>
        <v>https://assets.roomstogo.com/product/kingsdown-smart-match-20-twin-xl-mattress_50001773_image-item</v>
      </c>
      <c r="S103" s="8" t="str">
        <f>IFERROR(VLOOKUP(A103,Sheet3!B:H,7,false),VLOOKUP(D103,Sheet2!A:C,3,false))</f>
        <v>https://assets.roomstogo.com/product/kingsdown-smart-match-20-twin-xl-mattress_50001773_alt-image-1</v>
      </c>
      <c r="T103" s="11" t="s">
        <v>1151</v>
      </c>
    </row>
    <row r="104">
      <c r="A104" s="4">
        <v>5.0302264E7</v>
      </c>
      <c r="B104" s="9">
        <v>43.0</v>
      </c>
      <c r="C104" s="9">
        <v>4.37</v>
      </c>
      <c r="D104" s="1" t="s">
        <v>248</v>
      </c>
      <c r="E104" s="1" t="s">
        <v>381</v>
      </c>
      <c r="F104" s="6">
        <v>338.0</v>
      </c>
      <c r="G104" s="6">
        <v>349.99</v>
      </c>
      <c r="H104" s="1" t="s">
        <v>58</v>
      </c>
      <c r="I104" s="1" t="s">
        <v>250</v>
      </c>
      <c r="J104" s="1" t="s">
        <v>134</v>
      </c>
      <c r="K104" s="1" t="s">
        <v>373</v>
      </c>
      <c r="L104" s="1" t="s">
        <v>59</v>
      </c>
      <c r="M104" s="1" t="s">
        <v>36</v>
      </c>
      <c r="N104" s="1" t="s">
        <v>35</v>
      </c>
      <c r="O104" s="1" t="s">
        <v>251</v>
      </c>
      <c r="P104" s="1" t="s">
        <v>36</v>
      </c>
      <c r="Q104" s="1" t="s">
        <v>37</v>
      </c>
      <c r="R104" s="8" t="str">
        <f>IFERROR(VLOOKUP(A104,Sheet3!B:H,6,false),VLOOKUP(D104,Sheet2!A:C,2,false))</f>
        <v>https://assets.roomstogo.com/product/kingsdown-turnbull-twin-mattress_50102260_image-item</v>
      </c>
      <c r="S104" s="8" t="str">
        <f>IFERROR(VLOOKUP(A104,Sheet3!B:H,7,false),VLOOKUP(D104,Sheet2!A:C,3,false))</f>
        <v>https://assets.roomstogo.com/product/kingsdown-turnbull-twin-mattress_50102260_alt-image-1</v>
      </c>
      <c r="T104" s="11" t="s">
        <v>1152</v>
      </c>
    </row>
    <row r="105">
      <c r="A105" s="4">
        <v>5.0302288E7</v>
      </c>
      <c r="B105" s="9">
        <v>26.0</v>
      </c>
      <c r="C105" s="9">
        <v>4.46</v>
      </c>
      <c r="D105" s="1" t="s">
        <v>254</v>
      </c>
      <c r="E105" s="1" t="s">
        <v>382</v>
      </c>
      <c r="F105" s="6">
        <v>398.0</v>
      </c>
      <c r="G105" s="6">
        <v>499.99</v>
      </c>
      <c r="H105" s="1" t="s">
        <v>58</v>
      </c>
      <c r="I105" s="1" t="s">
        <v>256</v>
      </c>
      <c r="J105" s="1" t="s">
        <v>134</v>
      </c>
      <c r="K105" s="1" t="s">
        <v>373</v>
      </c>
      <c r="L105" s="1" t="s">
        <v>59</v>
      </c>
      <c r="M105" s="1" t="s">
        <v>34</v>
      </c>
      <c r="N105" s="1" t="s">
        <v>35</v>
      </c>
      <c r="O105" s="1" t="s">
        <v>42</v>
      </c>
      <c r="P105" s="1" t="s">
        <v>36</v>
      </c>
      <c r="Q105" s="1" t="s">
        <v>37</v>
      </c>
      <c r="R105" s="8" t="str">
        <f>IFERROR(VLOOKUP(A105,Sheet3!B:H,6,false),VLOOKUP(D105,Sheet2!A:C,2,false))</f>
        <v>https://assets.roomstogo.com/product/kingsdown-hawke-twin-mattress_50102284_image-item</v>
      </c>
      <c r="S105" s="8" t="str">
        <f>IFERROR(VLOOKUP(A105,Sheet3!B:H,7,false),VLOOKUP(D105,Sheet2!A:C,3,false))</f>
        <v>https://assets.roomstogo.com/product/kingsdown-hawke-twin-mattress_50102284_alt-image-1</v>
      </c>
      <c r="T105" s="11" t="s">
        <v>1153</v>
      </c>
    </row>
    <row r="106">
      <c r="A106" s="4">
        <v>5.030229E7</v>
      </c>
      <c r="B106" s="9">
        <v>9.0</v>
      </c>
      <c r="C106" s="9">
        <v>4.56</v>
      </c>
      <c r="D106" s="1" t="s">
        <v>259</v>
      </c>
      <c r="E106" s="1" t="s">
        <v>383</v>
      </c>
      <c r="F106" s="6">
        <v>527.0</v>
      </c>
      <c r="G106" s="6">
        <v>599.99</v>
      </c>
      <c r="H106" s="1" t="s">
        <v>58</v>
      </c>
      <c r="I106" s="1" t="s">
        <v>261</v>
      </c>
      <c r="J106" s="1" t="s">
        <v>134</v>
      </c>
      <c r="K106" s="1" t="s">
        <v>373</v>
      </c>
      <c r="L106" s="1" t="s">
        <v>33</v>
      </c>
      <c r="M106" s="1" t="s">
        <v>42</v>
      </c>
      <c r="N106" s="1" t="s">
        <v>49</v>
      </c>
      <c r="O106" s="1" t="s">
        <v>34</v>
      </c>
      <c r="P106" s="1" t="s">
        <v>36</v>
      </c>
      <c r="Q106" s="1" t="s">
        <v>51</v>
      </c>
      <c r="R106" s="8" t="str">
        <f>IFERROR(VLOOKUP(A106,Sheet3!B:H,6,false),VLOOKUP(D106,Sheet2!A:C,2,false))</f>
        <v>https://assets.roomstogo.com/product/kingsdown-grenson-twin-mattress_50102296_image-item</v>
      </c>
      <c r="S106" s="8" t="str">
        <f>IFERROR(VLOOKUP(A106,Sheet3!B:H,7,false),VLOOKUP(D106,Sheet2!A:C,3,false))</f>
        <v>https://assets.roomstogo.com/product/kingsdown-grenson-twin-mattress_50102296_alt-image-1</v>
      </c>
      <c r="T106" s="11" t="s">
        <v>1154</v>
      </c>
    </row>
    <row r="107">
      <c r="A107" s="4">
        <v>5.0307466E7</v>
      </c>
      <c r="B107" s="9">
        <v>346.0</v>
      </c>
      <c r="C107" s="9">
        <v>4.43</v>
      </c>
      <c r="D107" s="1" t="s">
        <v>62</v>
      </c>
      <c r="E107" s="1" t="s">
        <v>384</v>
      </c>
      <c r="F107" s="6">
        <v>2049.0</v>
      </c>
      <c r="G107" s="6">
        <v>2049.0</v>
      </c>
      <c r="H107" s="1" t="s">
        <v>64</v>
      </c>
      <c r="I107" s="1" t="s">
        <v>65</v>
      </c>
      <c r="J107" s="1" t="s">
        <v>31</v>
      </c>
      <c r="K107" s="1" t="s">
        <v>373</v>
      </c>
      <c r="L107" s="1" t="s">
        <v>33</v>
      </c>
      <c r="M107" s="1" t="s">
        <v>42</v>
      </c>
      <c r="N107" s="1" t="s">
        <v>35</v>
      </c>
      <c r="O107" s="1" t="s">
        <v>42</v>
      </c>
      <c r="P107" s="1" t="s">
        <v>42</v>
      </c>
      <c r="Q107" s="1" t="s">
        <v>37</v>
      </c>
      <c r="R107" s="8" t="str">
        <f>IFERROR(VLOOKUP(A107,Sheet3!B:H,6,false),VLOOKUP(D107,Sheet2!A:C,2,false))</f>
        <v>https://assets.roomstogo.com/product/tempur-pedic-adapt-20-medium-twin-xl-mattress_50007460_image-item</v>
      </c>
      <c r="S107" s="8" t="str">
        <f>IFERROR(VLOOKUP(A107,Sheet3!B:H,7,false),VLOOKUP(D107,Sheet2!A:C,3,false))</f>
        <v>https://assets.roomstogo.com/product/tempur-pedic-adapt-20-medium-twin-xl-mattress_50007460_alt-image-1</v>
      </c>
      <c r="T107" s="11" t="s">
        <v>1155</v>
      </c>
    </row>
    <row r="108">
      <c r="A108" s="4">
        <v>5.0307478E7</v>
      </c>
      <c r="B108" s="5"/>
      <c r="C108" s="5"/>
      <c r="D108" s="1" t="s">
        <v>68</v>
      </c>
      <c r="E108" s="1" t="s">
        <v>385</v>
      </c>
      <c r="F108" s="6">
        <v>2349.0</v>
      </c>
      <c r="G108" s="6">
        <v>2349.0</v>
      </c>
      <c r="H108" s="1" t="s">
        <v>64</v>
      </c>
      <c r="I108" s="1" t="s">
        <v>70</v>
      </c>
      <c r="J108" s="1" t="s">
        <v>31</v>
      </c>
      <c r="K108" s="1" t="s">
        <v>373</v>
      </c>
      <c r="L108" s="1" t="s">
        <v>41</v>
      </c>
      <c r="M108" s="1" t="s">
        <v>42</v>
      </c>
      <c r="N108" s="1" t="s">
        <v>35</v>
      </c>
      <c r="O108" s="1" t="s">
        <v>42</v>
      </c>
      <c r="P108" s="1" t="s">
        <v>42</v>
      </c>
      <c r="Q108" s="1" t="s">
        <v>37</v>
      </c>
      <c r="R108" s="8" t="str">
        <f>IFERROR(VLOOKUP(A108,Sheet3!B:H,6,false),VLOOKUP(D108,Sheet2!A:C,2,false))</f>
        <v>https://assets.roomstogo.com/product/tempur-pedic-adapt-20-medium-hybrid-twin-xl-mattress_50007472_image-item</v>
      </c>
      <c r="S108" s="8" t="str">
        <f>IFERROR(VLOOKUP(A108,Sheet3!B:H,7,false),VLOOKUP(D108,Sheet2!A:C,3,false))</f>
        <v>https://assets.roomstogo.com/product/tempur-pedic-adapt-20-medium-hybrid-twin-xl-mattress_50007472_alt-image-1</v>
      </c>
      <c r="T108" s="11" t="s">
        <v>1156</v>
      </c>
    </row>
    <row r="109">
      <c r="A109" s="4">
        <v>5.030748E7</v>
      </c>
      <c r="B109" s="5"/>
      <c r="C109" s="5"/>
      <c r="D109" s="1" t="s">
        <v>73</v>
      </c>
      <c r="E109" s="1" t="s">
        <v>386</v>
      </c>
      <c r="F109" s="6">
        <v>3249.0</v>
      </c>
      <c r="G109" s="6">
        <v>3249.0</v>
      </c>
      <c r="H109" s="1" t="s">
        <v>64</v>
      </c>
      <c r="I109" s="1" t="s">
        <v>75</v>
      </c>
      <c r="J109" s="1" t="s">
        <v>31</v>
      </c>
      <c r="K109" s="1" t="s">
        <v>373</v>
      </c>
      <c r="L109" s="1" t="s">
        <v>33</v>
      </c>
      <c r="M109" s="1" t="s">
        <v>42</v>
      </c>
      <c r="N109" s="1" t="s">
        <v>76</v>
      </c>
      <c r="O109" s="1" t="s">
        <v>50</v>
      </c>
      <c r="P109" s="1" t="s">
        <v>42</v>
      </c>
      <c r="Q109" s="1" t="s">
        <v>77</v>
      </c>
      <c r="R109" s="8" t="str">
        <f>IFERROR(VLOOKUP(A109,Sheet3!B:H,6,false),VLOOKUP(D109,Sheet2!A:C,2,false))</f>
        <v>https://assets.roomstogo.com/product/tempur-pedic-proadapt-20-firm-twin-xl-mattress_50007484_image-item</v>
      </c>
      <c r="S109" s="8" t="str">
        <f>IFERROR(VLOOKUP(A109,Sheet3!B:H,7,false),VLOOKUP(D109,Sheet2!A:C,3,false))</f>
        <v>https://assets.roomstogo.com/product/tempur-pedic-proadapt-20-firm-twin-xl-mattress_50007484_alt-image-1</v>
      </c>
      <c r="T109" s="11" t="s">
        <v>1157</v>
      </c>
    </row>
    <row r="110">
      <c r="A110" s="4">
        <v>5.0307529E7</v>
      </c>
      <c r="B110" s="5"/>
      <c r="C110" s="5"/>
      <c r="D110" s="1" t="s">
        <v>85</v>
      </c>
      <c r="E110" s="1" t="s">
        <v>387</v>
      </c>
      <c r="F110" s="6">
        <v>3249.0</v>
      </c>
      <c r="G110" s="6">
        <v>3249.0</v>
      </c>
      <c r="H110" s="1" t="s">
        <v>64</v>
      </c>
      <c r="I110" s="1" t="s">
        <v>75</v>
      </c>
      <c r="J110" s="1" t="s">
        <v>31</v>
      </c>
      <c r="K110" s="1" t="s">
        <v>373</v>
      </c>
      <c r="L110" s="1" t="s">
        <v>33</v>
      </c>
      <c r="M110" s="1" t="s">
        <v>42</v>
      </c>
      <c r="N110" s="1" t="s">
        <v>35</v>
      </c>
      <c r="O110" s="1" t="s">
        <v>50</v>
      </c>
      <c r="P110" s="1" t="s">
        <v>42</v>
      </c>
      <c r="Q110" s="1" t="s">
        <v>37</v>
      </c>
      <c r="R110" s="8" t="str">
        <f>IFERROR(VLOOKUP(A110,Sheet3!B:H,6,false),VLOOKUP(D110,Sheet2!A:C,2,false))</f>
        <v>https://assets.roomstogo.com/product/tempur-pedic-proadapt-20-medium-twin-xl-mattress_50007523_image-item</v>
      </c>
      <c r="S110" s="8" t="str">
        <f>IFERROR(VLOOKUP(A110,Sheet3!B:H,7,false),VLOOKUP(D110,Sheet2!A:C,3,false))</f>
        <v>https://assets.roomstogo.com/product/tempur-pedic-proadapt-20-medium-twin-xl-mattress_50007523_alt-image-1</v>
      </c>
      <c r="T110" s="11" t="s">
        <v>1158</v>
      </c>
    </row>
    <row r="111">
      <c r="A111" s="4">
        <v>5.0307531E7</v>
      </c>
      <c r="B111" s="5"/>
      <c r="C111" s="5"/>
      <c r="D111" s="1" t="s">
        <v>89</v>
      </c>
      <c r="E111" s="1" t="s">
        <v>388</v>
      </c>
      <c r="F111" s="6">
        <v>3249.0</v>
      </c>
      <c r="G111" s="6">
        <v>3249.0</v>
      </c>
      <c r="H111" s="1" t="s">
        <v>64</v>
      </c>
      <c r="I111" s="1" t="s">
        <v>91</v>
      </c>
      <c r="J111" s="1" t="s">
        <v>31</v>
      </c>
      <c r="K111" s="1" t="s">
        <v>373</v>
      </c>
      <c r="L111" s="1" t="s">
        <v>33</v>
      </c>
      <c r="M111" s="1" t="s">
        <v>50</v>
      </c>
      <c r="N111" s="1" t="s">
        <v>49</v>
      </c>
      <c r="O111" s="1" t="s">
        <v>50</v>
      </c>
      <c r="P111" s="1" t="s">
        <v>42</v>
      </c>
      <c r="Q111" s="1" t="s">
        <v>51</v>
      </c>
      <c r="R111" s="8" t="str">
        <f>IFERROR(VLOOKUP(A111,Sheet3!B:H,6,false),VLOOKUP(D111,Sheet2!A:C,2,false))</f>
        <v>https://assets.roomstogo.com/product/tempur-pedic-proadapt-20-soft-twin-xl-mattress_50007535_image-item</v>
      </c>
      <c r="S111" s="8" t="str">
        <f>IFERROR(VLOOKUP(A111,Sheet3!B:H,7,false),VLOOKUP(D111,Sheet2!A:C,3,false))</f>
        <v>https://assets.roomstogo.com/product/tempur-pedic-proadapt-20-soft-twin-xl-mattress_50007535_alt-image-1</v>
      </c>
      <c r="T111" s="11" t="s">
        <v>1159</v>
      </c>
    </row>
    <row r="112">
      <c r="A112" s="4">
        <v>5.0307555E7</v>
      </c>
      <c r="B112" s="9">
        <v>975.0</v>
      </c>
      <c r="C112" s="9">
        <v>4.38</v>
      </c>
      <c r="D112" s="1" t="s">
        <v>94</v>
      </c>
      <c r="E112" s="1" t="s">
        <v>389</v>
      </c>
      <c r="F112" s="6">
        <v>3249.0</v>
      </c>
      <c r="G112" s="6">
        <v>3249.0</v>
      </c>
      <c r="H112" s="1" t="s">
        <v>64</v>
      </c>
      <c r="I112" s="1" t="s">
        <v>390</v>
      </c>
      <c r="J112" s="1" t="s">
        <v>31</v>
      </c>
      <c r="K112" s="1" t="s">
        <v>373</v>
      </c>
      <c r="L112" s="1" t="s">
        <v>41</v>
      </c>
      <c r="M112" s="1" t="s">
        <v>42</v>
      </c>
      <c r="N112" s="1" t="s">
        <v>35</v>
      </c>
      <c r="O112" s="1" t="s">
        <v>50</v>
      </c>
      <c r="P112" s="1" t="s">
        <v>42</v>
      </c>
      <c r="Q112" s="1" t="s">
        <v>37</v>
      </c>
      <c r="R112" s="8" t="str">
        <f>IFERROR(VLOOKUP(A112,Sheet3!B:H,6,false),VLOOKUP(D112,Sheet2!A:C,2,false))</f>
        <v>https://assets.roomstogo.com/product/tempur-pedic-proadapt-20-medium-hybrid-twin-xl-mattress_50007559_image-item</v>
      </c>
      <c r="S112" s="8" t="str">
        <f>IFERROR(VLOOKUP(A112,Sheet3!B:H,7,false),VLOOKUP(D112,Sheet2!A:C,3,false))</f>
        <v>https://assets.roomstogo.com/product/tempur-pedic-proadapt-20-medium-hybrid-twin-xl-mattress_50007559_alt-image-1</v>
      </c>
      <c r="T112" s="11" t="s">
        <v>1160</v>
      </c>
    </row>
    <row r="113">
      <c r="A113" s="4">
        <v>5.0309876E7</v>
      </c>
      <c r="B113" s="9">
        <v>10.0</v>
      </c>
      <c r="C113" s="9">
        <v>4.0</v>
      </c>
      <c r="D113" s="1" t="s">
        <v>112</v>
      </c>
      <c r="E113" s="1" t="s">
        <v>393</v>
      </c>
      <c r="F113" s="6">
        <v>897.0</v>
      </c>
      <c r="G113" s="6">
        <v>1099.0</v>
      </c>
      <c r="H113" s="1" t="s">
        <v>114</v>
      </c>
      <c r="I113" s="7"/>
      <c r="J113" s="1" t="s">
        <v>31</v>
      </c>
      <c r="K113" s="1" t="s">
        <v>373</v>
      </c>
      <c r="L113" s="1" t="s">
        <v>41</v>
      </c>
      <c r="M113" s="1" t="s">
        <v>34</v>
      </c>
      <c r="N113" s="1" t="s">
        <v>35</v>
      </c>
      <c r="O113" s="1" t="s">
        <v>34</v>
      </c>
      <c r="P113" s="1" t="s">
        <v>34</v>
      </c>
      <c r="Q113" s="1" t="s">
        <v>37</v>
      </c>
      <c r="R113" s="8" t="str">
        <f>IFERROR(VLOOKUP(A113,Sheet3!B:H,6,false),VLOOKUP(D113,Sheet2!A:C,2,false))</f>
        <v>https://assets.roomstogo.com/product/tuft-needle-stitch-tn31-twin-xl-mattress_50009870_image-item</v>
      </c>
      <c r="S113" s="8" t="str">
        <f>IFERROR(VLOOKUP(A113,Sheet3!B:H,7,false),VLOOKUP(D113,Sheet2!A:C,3,false))</f>
        <v>https://assets.roomstogo.com/product/tuft-needle-stitch-tn31-twin-xl-mattress_50009870_alt-image-1</v>
      </c>
      <c r="T113" s="11" t="s">
        <v>1161</v>
      </c>
    </row>
    <row r="114">
      <c r="A114" s="4">
        <v>5.0309888E7</v>
      </c>
      <c r="B114" s="9">
        <v>11.0</v>
      </c>
      <c r="C114" s="9">
        <v>3.91</v>
      </c>
      <c r="D114" s="1" t="s">
        <v>115</v>
      </c>
      <c r="E114" s="1" t="s">
        <v>396</v>
      </c>
      <c r="F114" s="6">
        <v>995.0</v>
      </c>
      <c r="G114" s="6">
        <v>1599.0</v>
      </c>
      <c r="H114" s="1" t="s">
        <v>114</v>
      </c>
      <c r="I114" s="7"/>
      <c r="J114" s="1" t="s">
        <v>31</v>
      </c>
      <c r="K114" s="1" t="s">
        <v>373</v>
      </c>
      <c r="L114" s="1" t="s">
        <v>41</v>
      </c>
      <c r="M114" s="1" t="s">
        <v>42</v>
      </c>
      <c r="N114" s="1" t="s">
        <v>76</v>
      </c>
      <c r="O114" s="1" t="s">
        <v>42</v>
      </c>
      <c r="P114" s="1" t="s">
        <v>42</v>
      </c>
      <c r="Q114" s="1" t="s">
        <v>77</v>
      </c>
      <c r="R114" s="8" t="str">
        <f>IFERROR(VLOOKUP(A114,Sheet3!B:H,6,false),VLOOKUP(D114,Sheet2!A:C,2,false))</f>
        <v>https://assets.roomstogo.com/product/tuft-needle-stitch-tn51-twin-xl-mattress_50009882_image-item</v>
      </c>
      <c r="S114" s="8" t="str">
        <f>IFERROR(VLOOKUP(A114,Sheet3!B:H,7,false),VLOOKUP(D114,Sheet2!A:C,3,false))</f>
        <v>https://assets.roomstogo.com/product/tuft-needle-stitch-tn51-twin-xl-mattress_50009882_alt-image-1</v>
      </c>
      <c r="T114" s="11" t="s">
        <v>1162</v>
      </c>
    </row>
    <row r="115">
      <c r="A115" s="4">
        <v>5.0309903E7</v>
      </c>
      <c r="B115" s="5"/>
      <c r="C115" s="5"/>
      <c r="D115" s="1" t="s">
        <v>117</v>
      </c>
      <c r="E115" s="1" t="s">
        <v>397</v>
      </c>
      <c r="F115" s="6">
        <v>1797.0</v>
      </c>
      <c r="G115" s="6">
        <v>2299.0</v>
      </c>
      <c r="H115" s="1" t="s">
        <v>114</v>
      </c>
      <c r="I115" s="7"/>
      <c r="J115" s="1" t="s">
        <v>31</v>
      </c>
      <c r="K115" s="1" t="s">
        <v>373</v>
      </c>
      <c r="L115" s="1" t="s">
        <v>41</v>
      </c>
      <c r="M115" s="1" t="s">
        <v>50</v>
      </c>
      <c r="N115" s="1" t="s">
        <v>49</v>
      </c>
      <c r="O115" s="1" t="s">
        <v>42</v>
      </c>
      <c r="P115" s="1" t="s">
        <v>42</v>
      </c>
      <c r="Q115" s="1" t="s">
        <v>51</v>
      </c>
      <c r="R115" s="8" t="str">
        <f>IFERROR(VLOOKUP(A115,Sheet3!B:H,6,false),VLOOKUP(D115,Sheet2!A:C,2,false))</f>
        <v>https://assets.roomstogo.com/product/tuft-needle-stitch-tn91-twin-xl-mattress_50009907_image-item</v>
      </c>
      <c r="S115" s="8" t="str">
        <f>IFERROR(VLOOKUP(A115,Sheet3!B:H,7,false),VLOOKUP(D115,Sheet2!A:C,3,false))</f>
        <v>https://assets.roomstogo.com/product/tuft-needle-stitch-tn91-twin-xl-mattress_50009907_alt-image-1</v>
      </c>
      <c r="T115" s="11" t="s">
        <v>1163</v>
      </c>
    </row>
    <row r="116">
      <c r="A116" s="4">
        <v>5.0309927E7</v>
      </c>
      <c r="B116" s="9">
        <v>3.0</v>
      </c>
      <c r="C116" s="9">
        <v>3.33</v>
      </c>
      <c r="D116" s="1" t="s">
        <v>271</v>
      </c>
      <c r="E116" s="1" t="s">
        <v>400</v>
      </c>
      <c r="F116" s="6">
        <v>577.0</v>
      </c>
      <c r="G116" s="6">
        <v>599.0</v>
      </c>
      <c r="H116" s="1" t="s">
        <v>114</v>
      </c>
      <c r="I116" s="1" t="s">
        <v>273</v>
      </c>
      <c r="J116" s="1" t="s">
        <v>134</v>
      </c>
      <c r="K116" s="1" t="s">
        <v>373</v>
      </c>
      <c r="L116" s="1" t="s">
        <v>33</v>
      </c>
      <c r="M116" s="1" t="s">
        <v>36</v>
      </c>
      <c r="N116" s="1" t="s">
        <v>35</v>
      </c>
      <c r="O116" s="1" t="s">
        <v>36</v>
      </c>
      <c r="P116" s="1" t="s">
        <v>36</v>
      </c>
      <c r="Q116" s="1" t="s">
        <v>37</v>
      </c>
      <c r="R116" s="8" t="str">
        <f>IFERROR(VLOOKUP(A116,Sheet3!B:H,6,false),VLOOKUP(D116,Sheet2!A:C,2,false))</f>
        <v>https://assets.roomstogo.com/product/tuft-needle-kids-glee-twin-mattress_50109923_image-item</v>
      </c>
      <c r="S116" s="8" t="str">
        <f>IFERROR(VLOOKUP(A116,Sheet3!B:H,7,false),VLOOKUP(D116,Sheet2!A:C,3,false))</f>
        <v>https://assets.roomstogo.com/product/tuft-needle-kids-glee-twin-mattress_50109923_alt-image-1</v>
      </c>
      <c r="T116" s="11" t="s">
        <v>1164</v>
      </c>
    </row>
    <row r="117">
      <c r="A117" s="4">
        <v>5.0309939E7</v>
      </c>
      <c r="B117" s="9">
        <v>9.0</v>
      </c>
      <c r="C117" s="9">
        <v>4.89</v>
      </c>
      <c r="D117" s="1" t="s">
        <v>119</v>
      </c>
      <c r="E117" s="1" t="s">
        <v>401</v>
      </c>
      <c r="F117" s="6">
        <v>677.0</v>
      </c>
      <c r="G117" s="6">
        <v>799.0</v>
      </c>
      <c r="H117" s="1" t="s">
        <v>114</v>
      </c>
      <c r="I117" s="1" t="s">
        <v>121</v>
      </c>
      <c r="J117" s="1" t="s">
        <v>31</v>
      </c>
      <c r="K117" s="1" t="s">
        <v>373</v>
      </c>
      <c r="L117" s="1" t="s">
        <v>33</v>
      </c>
      <c r="M117" s="1" t="s">
        <v>36</v>
      </c>
      <c r="N117" s="1" t="s">
        <v>76</v>
      </c>
      <c r="O117" s="1" t="s">
        <v>36</v>
      </c>
      <c r="P117" s="1" t="s">
        <v>36</v>
      </c>
      <c r="Q117" s="1" t="s">
        <v>77</v>
      </c>
      <c r="R117" s="8" t="str">
        <f>IFERROR(VLOOKUP(A117,Sheet3!B:H,6,false),VLOOKUP(D117,Sheet2!A:C,2,false))</f>
        <v>https://assets.roomstogo.com/product/tuft-needle-tn1-twin-xl-mattress_50009933_image-item</v>
      </c>
      <c r="S117" s="8" t="str">
        <f>IFERROR(VLOOKUP(A117,Sheet3!B:H,7,false),VLOOKUP(D117,Sheet2!A:C,3,false))</f>
        <v>https://assets.roomstogo.com/product/tuft-needle-tn1-twin-xl-mattress_50009933_alt-image-1</v>
      </c>
      <c r="T117" s="11" t="s">
        <v>1165</v>
      </c>
    </row>
    <row r="118">
      <c r="A118" s="4">
        <v>5.0310576E7</v>
      </c>
      <c r="B118" s="5"/>
      <c r="C118" s="5"/>
      <c r="D118" s="1" t="s">
        <v>122</v>
      </c>
      <c r="E118" s="1" t="s">
        <v>402</v>
      </c>
      <c r="F118" s="6">
        <v>477.0</v>
      </c>
      <c r="G118" s="6">
        <v>979.0</v>
      </c>
      <c r="H118" s="1" t="s">
        <v>124</v>
      </c>
      <c r="I118" s="7"/>
      <c r="J118" s="1" t="s">
        <v>31</v>
      </c>
      <c r="K118" s="1" t="s">
        <v>373</v>
      </c>
      <c r="L118" s="1" t="s">
        <v>33</v>
      </c>
      <c r="M118" s="1" t="s">
        <v>34</v>
      </c>
      <c r="N118" s="1" t="s">
        <v>35</v>
      </c>
      <c r="O118" s="1" t="s">
        <v>34</v>
      </c>
      <c r="P118" s="1" t="s">
        <v>34</v>
      </c>
      <c r="Q118" s="1" t="s">
        <v>37</v>
      </c>
      <c r="R118" s="8" t="str">
        <f>IFERROR(VLOOKUP(A118,Sheet3!B:H,6,false),VLOOKUP(D118,Sheet2!A:C,2,false))</f>
        <v>https://assets.roomstogo.com/product/molecule-core-twin-xl-mattress_50010570_image-item</v>
      </c>
      <c r="S118" s="8" t="str">
        <f>IFERROR(VLOOKUP(A118,Sheet3!B:H,7,false),VLOOKUP(D118,Sheet2!A:C,3,false))</f>
        <v>https://assets.roomstogo.com/product/molecule-core-twin-xl-mattress_50010570_alt-image-1</v>
      </c>
      <c r="T118" s="11" t="s">
        <v>1166</v>
      </c>
    </row>
    <row r="119">
      <c r="A119" s="4">
        <v>5.0310677E7</v>
      </c>
      <c r="B119" s="9">
        <v>192.0</v>
      </c>
      <c r="C119" s="9">
        <v>4.4</v>
      </c>
      <c r="D119" s="1" t="s">
        <v>127</v>
      </c>
      <c r="E119" s="1" t="s">
        <v>403</v>
      </c>
      <c r="F119" s="6">
        <v>695.0</v>
      </c>
      <c r="G119" s="6">
        <v>899.99</v>
      </c>
      <c r="H119" s="1" t="s">
        <v>129</v>
      </c>
      <c r="I119" s="1" t="s">
        <v>130</v>
      </c>
      <c r="J119" s="1" t="s">
        <v>31</v>
      </c>
      <c r="K119" s="1" t="s">
        <v>373</v>
      </c>
      <c r="L119" s="1" t="s">
        <v>41</v>
      </c>
      <c r="M119" s="1" t="s">
        <v>34</v>
      </c>
      <c r="N119" s="1" t="s">
        <v>35</v>
      </c>
      <c r="O119" s="1" t="s">
        <v>34</v>
      </c>
      <c r="P119" s="1" t="s">
        <v>34</v>
      </c>
      <c r="Q119" s="1" t="s">
        <v>37</v>
      </c>
      <c r="R119" s="8" t="str">
        <f>IFERROR(VLOOKUP(A119,Sheet3!B:H,6,false),VLOOKUP(D119,Sheet2!A:C,2,false))</f>
        <v>https://assets.roomstogo.com/product/beautyrest-select-broad-peak-medium-hybrid-twin-xl-mattress_50010671_image-item</v>
      </c>
      <c r="S119" s="8" t="str">
        <f>IFERROR(VLOOKUP(A119,Sheet3!B:H,7,false),VLOOKUP(D119,Sheet2!A:C,3,false))</f>
        <v>https://assets.roomstogo.com/product/beautyrest-select-broad-peak-medium-hybrid-twin-xl-mattress_50010671_alt-image-1</v>
      </c>
      <c r="T119" s="11" t="s">
        <v>1167</v>
      </c>
    </row>
    <row r="120">
      <c r="A120" s="4">
        <v>5.0310932E7</v>
      </c>
      <c r="B120" s="9">
        <v>8.0</v>
      </c>
      <c r="C120" s="9">
        <v>3.75</v>
      </c>
      <c r="D120" s="1" t="s">
        <v>283</v>
      </c>
      <c r="E120" s="1" t="s">
        <v>404</v>
      </c>
      <c r="F120" s="6">
        <v>277.0</v>
      </c>
      <c r="G120" s="6">
        <v>299.0</v>
      </c>
      <c r="H120" s="1" t="s">
        <v>285</v>
      </c>
      <c r="I120" s="1" t="s">
        <v>286</v>
      </c>
      <c r="J120" s="1" t="s">
        <v>134</v>
      </c>
      <c r="K120" s="1" t="s">
        <v>373</v>
      </c>
      <c r="L120" s="1" t="s">
        <v>33</v>
      </c>
      <c r="M120" s="1" t="s">
        <v>251</v>
      </c>
      <c r="N120" s="1" t="s">
        <v>76</v>
      </c>
      <c r="O120" s="1" t="s">
        <v>36</v>
      </c>
      <c r="P120" s="1" t="s">
        <v>36</v>
      </c>
      <c r="Q120" s="1" t="s">
        <v>77</v>
      </c>
      <c r="R120" s="8" t="str">
        <f>IFERROR(VLOOKUP(A120,Sheet3!B:H,6,false),VLOOKUP(D120,Sheet2!A:C,2,false))</f>
        <v>https://assets.roomstogo.com/product/simmons-kids-delight-twin-mattress_50110938_image-item</v>
      </c>
      <c r="S120" s="8" t="str">
        <f>IFERROR(VLOOKUP(A120,Sheet3!B:H,7,false),VLOOKUP(D120,Sheet2!A:C,3,false))</f>
        <v>https://assets.roomstogo.com/product/simmons-kids-delight-twin-mattress_50110938_alt-image-1</v>
      </c>
      <c r="T120" s="11" t="s">
        <v>1168</v>
      </c>
    </row>
    <row r="121">
      <c r="A121" s="4">
        <v>5.0310944E7</v>
      </c>
      <c r="B121" s="9">
        <v>3.0</v>
      </c>
      <c r="C121" s="9">
        <v>4.33</v>
      </c>
      <c r="D121" s="1" t="s">
        <v>289</v>
      </c>
      <c r="E121" s="1" t="s">
        <v>405</v>
      </c>
      <c r="F121" s="6">
        <v>377.0</v>
      </c>
      <c r="G121" s="6">
        <v>399.0</v>
      </c>
      <c r="H121" s="1" t="s">
        <v>285</v>
      </c>
      <c r="I121" s="1" t="s">
        <v>291</v>
      </c>
      <c r="J121" s="1" t="s">
        <v>134</v>
      </c>
      <c r="K121" s="1" t="s">
        <v>373</v>
      </c>
      <c r="L121" s="1" t="s">
        <v>33</v>
      </c>
      <c r="M121" s="1" t="s">
        <v>34</v>
      </c>
      <c r="N121" s="1" t="s">
        <v>35</v>
      </c>
      <c r="O121" s="1" t="s">
        <v>36</v>
      </c>
      <c r="P121" s="1" t="s">
        <v>36</v>
      </c>
      <c r="Q121" s="1" t="s">
        <v>37</v>
      </c>
      <c r="R121" s="8" t="str">
        <f>IFERROR(VLOOKUP(A121,Sheet3!B:H,6,false),VLOOKUP(D121,Sheet2!A:C,2,false))</f>
        <v>https://assets.roomstogo.com/product/simmons-kids-glad-twin-mattress_50110940_image-item</v>
      </c>
      <c r="S121" s="8" t="str">
        <f>IFERROR(VLOOKUP(A121,Sheet3!B:H,7,false),VLOOKUP(D121,Sheet2!A:C,3,false))</f>
        <v>https://assets.roomstogo.com/product/simmons-kids-glad-twin-mattress_50110940_alt-image-1</v>
      </c>
      <c r="T121" s="11" t="s">
        <v>1169</v>
      </c>
    </row>
    <row r="122">
      <c r="A122" s="4">
        <v>5.0310956E7</v>
      </c>
      <c r="B122" s="9">
        <v>9.0</v>
      </c>
      <c r="C122" s="9">
        <v>4.22</v>
      </c>
      <c r="D122" s="1" t="s">
        <v>294</v>
      </c>
      <c r="E122" s="1" t="s">
        <v>406</v>
      </c>
      <c r="F122" s="6">
        <v>427.0</v>
      </c>
      <c r="G122" s="6">
        <v>449.0</v>
      </c>
      <c r="H122" s="1" t="s">
        <v>285</v>
      </c>
      <c r="I122" s="1" t="s">
        <v>296</v>
      </c>
      <c r="J122" s="1" t="s">
        <v>134</v>
      </c>
      <c r="K122" s="1" t="s">
        <v>373</v>
      </c>
      <c r="L122" s="1" t="s">
        <v>59</v>
      </c>
      <c r="M122" s="1" t="s">
        <v>34</v>
      </c>
      <c r="N122" s="1" t="s">
        <v>76</v>
      </c>
      <c r="O122" s="1" t="s">
        <v>36</v>
      </c>
      <c r="P122" s="1" t="s">
        <v>34</v>
      </c>
      <c r="Q122" s="1" t="s">
        <v>77</v>
      </c>
      <c r="R122" s="8" t="str">
        <f>IFERROR(VLOOKUP(A122,Sheet3!B:H,6,false),VLOOKUP(D122,Sheet2!A:C,2,false))</f>
        <v>https://assets.roomstogo.com/product/simmons-kids-happy-twin-mattress_50110952_image-item</v>
      </c>
      <c r="S122" s="8" t="str">
        <f>IFERROR(VLOOKUP(A122,Sheet3!B:H,7,false),VLOOKUP(D122,Sheet2!A:C,3,false))</f>
        <v>https://assets.roomstogo.com/product/simmons-kids-happy-twin-mattress_50110952_alt-image-1</v>
      </c>
      <c r="T122" s="11" t="s">
        <v>1170</v>
      </c>
    </row>
    <row r="123">
      <c r="A123" s="4">
        <v>5.0311059E7</v>
      </c>
      <c r="B123" s="9">
        <v>3.0</v>
      </c>
      <c r="C123" s="9">
        <v>4.67</v>
      </c>
      <c r="D123" s="1" t="s">
        <v>131</v>
      </c>
      <c r="E123" s="1" t="s">
        <v>409</v>
      </c>
      <c r="F123" s="6">
        <v>495.0</v>
      </c>
      <c r="G123" s="6">
        <v>599.99</v>
      </c>
      <c r="H123" s="1" t="s">
        <v>133</v>
      </c>
      <c r="I123" s="1" t="s">
        <v>298</v>
      </c>
      <c r="J123" s="1" t="s">
        <v>134</v>
      </c>
      <c r="K123" s="1" t="s">
        <v>373</v>
      </c>
      <c r="L123" s="1" t="s">
        <v>59</v>
      </c>
      <c r="M123" s="1" t="s">
        <v>36</v>
      </c>
      <c r="N123" s="1" t="s">
        <v>49</v>
      </c>
      <c r="O123" s="1" t="s">
        <v>42</v>
      </c>
      <c r="P123" s="1" t="s">
        <v>36</v>
      </c>
      <c r="Q123" s="1" t="s">
        <v>51</v>
      </c>
      <c r="R123" s="8" t="str">
        <f>IFERROR(VLOOKUP(A123,Sheet3!B:H,6,false),VLOOKUP(D123,Sheet2!A:C,2,false))</f>
        <v>https://assets.roomstogo.com/product/tommy-bahama-bay-dreamer-twin-mattress_50111055_image-item</v>
      </c>
      <c r="S123" s="8" t="str">
        <f>IFERROR(VLOOKUP(A123,Sheet3!B:H,7,false),VLOOKUP(D123,Sheet2!A:C,3,false))</f>
        <v>https://assets.roomstogo.com/product/tommy-bahama-bay-dreamer-twin-mattress_50111055_alt-image-1</v>
      </c>
      <c r="T123" s="11" t="s">
        <v>1171</v>
      </c>
    </row>
    <row r="124">
      <c r="A124" s="4">
        <v>5.0311061E7</v>
      </c>
      <c r="B124" s="9">
        <v>8.0</v>
      </c>
      <c r="C124" s="9">
        <v>4.75</v>
      </c>
      <c r="D124" s="1" t="s">
        <v>135</v>
      </c>
      <c r="E124" s="1" t="s">
        <v>410</v>
      </c>
      <c r="F124" s="6">
        <v>545.0</v>
      </c>
      <c r="G124" s="6">
        <v>649.99</v>
      </c>
      <c r="H124" s="1" t="s">
        <v>133</v>
      </c>
      <c r="I124" s="1" t="s">
        <v>302</v>
      </c>
      <c r="J124" s="1" t="s">
        <v>134</v>
      </c>
      <c r="K124" s="1" t="s">
        <v>373</v>
      </c>
      <c r="L124" s="1" t="s">
        <v>41</v>
      </c>
      <c r="M124" s="1" t="s">
        <v>36</v>
      </c>
      <c r="N124" s="1" t="s">
        <v>76</v>
      </c>
      <c r="O124" s="1" t="s">
        <v>42</v>
      </c>
      <c r="P124" s="1" t="s">
        <v>36</v>
      </c>
      <c r="Q124" s="1" t="s">
        <v>77</v>
      </c>
      <c r="R124" s="8" t="str">
        <f>IFERROR(VLOOKUP(A124,Sheet3!B:H,6,false),VLOOKUP(D124,Sheet2!A:C,2,false))</f>
        <v>https://assets.roomstogo.com/product/tommy-bahama-make-waves-twin-mattress_50111067_image-item</v>
      </c>
      <c r="S124" s="8" t="str">
        <f>IFERROR(VLOOKUP(A124,Sheet3!B:H,7,false),VLOOKUP(D124,Sheet2!A:C,3,false))</f>
        <v>https://assets.roomstogo.com/product/tommy-bahama-make-waves-twin-mattress_50111067_alt-image-1</v>
      </c>
      <c r="T124" s="11" t="s">
        <v>1172</v>
      </c>
    </row>
    <row r="125">
      <c r="A125" s="4">
        <v>5.0311073E7</v>
      </c>
      <c r="B125" s="9">
        <v>2.0</v>
      </c>
      <c r="C125" s="9">
        <v>5.0</v>
      </c>
      <c r="D125" s="1" t="s">
        <v>137</v>
      </c>
      <c r="E125" s="1" t="s">
        <v>413</v>
      </c>
      <c r="F125" s="6">
        <v>645.0</v>
      </c>
      <c r="G125" s="6">
        <v>749.99</v>
      </c>
      <c r="H125" s="1" t="s">
        <v>133</v>
      </c>
      <c r="I125" s="1" t="s">
        <v>304</v>
      </c>
      <c r="J125" s="1" t="s">
        <v>134</v>
      </c>
      <c r="K125" s="1" t="s">
        <v>373</v>
      </c>
      <c r="L125" s="1" t="s">
        <v>59</v>
      </c>
      <c r="M125" s="1" t="s">
        <v>36</v>
      </c>
      <c r="N125" s="1" t="s">
        <v>35</v>
      </c>
      <c r="O125" s="1" t="s">
        <v>42</v>
      </c>
      <c r="P125" s="1" t="s">
        <v>36</v>
      </c>
      <c r="Q125" s="1" t="s">
        <v>37</v>
      </c>
      <c r="R125" s="8" t="str">
        <f>IFERROR(VLOOKUP(A125,Sheet3!B:H,6,false),VLOOKUP(D125,Sheet2!A:C,2,false))</f>
        <v>https://assets.roomstogo.com/product/tommy-bahama-seaside-serenity-twin-mattress_50111079_image-item</v>
      </c>
      <c r="S125" s="8" t="str">
        <f>IFERROR(VLOOKUP(A125,Sheet3!B:H,7,false),VLOOKUP(D125,Sheet2!A:C,3,false))</f>
        <v>https://assets.roomstogo.com/product/tommy-bahama-seaside-serenity-twin-mattress_50111079_alt-image-1</v>
      </c>
      <c r="T125" s="11" t="s">
        <v>1173</v>
      </c>
    </row>
    <row r="126">
      <c r="A126" s="4">
        <v>5.0311148E7</v>
      </c>
      <c r="B126" s="9">
        <v>7.0</v>
      </c>
      <c r="C126" s="9">
        <v>3.86</v>
      </c>
      <c r="D126" s="1" t="s">
        <v>307</v>
      </c>
      <c r="E126" s="1" t="s">
        <v>414</v>
      </c>
      <c r="F126" s="6">
        <v>199.0</v>
      </c>
      <c r="G126" s="6">
        <v>299.99</v>
      </c>
      <c r="H126" s="1" t="s">
        <v>309</v>
      </c>
      <c r="I126" s="1" t="s">
        <v>310</v>
      </c>
      <c r="J126" s="1" t="s">
        <v>134</v>
      </c>
      <c r="K126" s="1" t="s">
        <v>373</v>
      </c>
      <c r="L126" s="1" t="s">
        <v>33</v>
      </c>
      <c r="M126" s="1" t="s">
        <v>36</v>
      </c>
      <c r="N126" s="1" t="s">
        <v>35</v>
      </c>
      <c r="O126" s="1" t="s">
        <v>251</v>
      </c>
      <c r="P126" s="1" t="s">
        <v>251</v>
      </c>
      <c r="Q126" s="1" t="s">
        <v>37</v>
      </c>
      <c r="R126" s="8" t="str">
        <f>IFERROR(VLOOKUP(A126,Sheet3!B:H,6,false),VLOOKUP(D126,Sheet2!A:C,2,false))</f>
        <v>https://assets.roomstogo.com/product/therapedic-alder-twin-mattress_50111144_image-item</v>
      </c>
      <c r="S126" s="8" t="str">
        <f>IFERROR(VLOOKUP(A126,Sheet3!B:H,7,false),VLOOKUP(D126,Sheet2!A:C,3,false))</f>
        <v>https://assets.roomstogo.com/product/therapedic-alder-twin-mattress_50111144_alt-image-1</v>
      </c>
      <c r="T126" s="11" t="s">
        <v>1174</v>
      </c>
    </row>
    <row r="127">
      <c r="A127" s="4">
        <v>5.0311162E7</v>
      </c>
      <c r="B127" s="9">
        <v>5.0</v>
      </c>
      <c r="C127" s="9">
        <v>5.0</v>
      </c>
      <c r="D127" s="1" t="s">
        <v>313</v>
      </c>
      <c r="E127" s="1" t="s">
        <v>415</v>
      </c>
      <c r="F127" s="6">
        <v>477.0</v>
      </c>
      <c r="G127" s="6">
        <v>499.99</v>
      </c>
      <c r="H127" s="1" t="s">
        <v>309</v>
      </c>
      <c r="I127" s="1" t="s">
        <v>315</v>
      </c>
      <c r="J127" s="1" t="s">
        <v>134</v>
      </c>
      <c r="K127" s="1" t="s">
        <v>373</v>
      </c>
      <c r="L127" s="1" t="s">
        <v>33</v>
      </c>
      <c r="M127" s="1" t="s">
        <v>34</v>
      </c>
      <c r="N127" s="1" t="s">
        <v>49</v>
      </c>
      <c r="O127" s="1" t="s">
        <v>36</v>
      </c>
      <c r="P127" s="1" t="s">
        <v>36</v>
      </c>
      <c r="Q127" s="1" t="s">
        <v>51</v>
      </c>
      <c r="R127" s="8" t="str">
        <f>IFERROR(VLOOKUP(A127,Sheet3!B:H,6,false),VLOOKUP(D127,Sheet2!A:C,2,false))</f>
        <v>https://assets.roomstogo.com/product/therapedic-creekmore-twin-mattress_50111168_image-item</v>
      </c>
      <c r="S127" s="8" t="str">
        <f>IFERROR(VLOOKUP(A127,Sheet3!B:H,7,false),VLOOKUP(D127,Sheet2!A:C,3,false))</f>
        <v>https://assets.roomstogo.com/product/therapedic-creekmore-twin-mattress_50111168_alt-image-1</v>
      </c>
      <c r="T127" s="11" t="s">
        <v>1175</v>
      </c>
    </row>
    <row r="128">
      <c r="A128" s="4">
        <v>5.0311174E7</v>
      </c>
      <c r="B128" s="9">
        <v>15.0</v>
      </c>
      <c r="C128" s="9">
        <v>4.2</v>
      </c>
      <c r="D128" s="1" t="s">
        <v>318</v>
      </c>
      <c r="E128" s="1" t="s">
        <v>416</v>
      </c>
      <c r="F128" s="6">
        <v>627.0</v>
      </c>
      <c r="G128" s="6">
        <v>649.99</v>
      </c>
      <c r="H128" s="1" t="s">
        <v>309</v>
      </c>
      <c r="I128" s="1" t="s">
        <v>320</v>
      </c>
      <c r="J128" s="1" t="s">
        <v>134</v>
      </c>
      <c r="K128" s="1" t="s">
        <v>373</v>
      </c>
      <c r="L128" s="1" t="s">
        <v>33</v>
      </c>
      <c r="M128" s="1" t="s">
        <v>42</v>
      </c>
      <c r="N128" s="1" t="s">
        <v>35</v>
      </c>
      <c r="O128" s="1" t="s">
        <v>251</v>
      </c>
      <c r="P128" s="1" t="s">
        <v>36</v>
      </c>
      <c r="Q128" s="1" t="s">
        <v>37</v>
      </c>
      <c r="R128" s="8" t="str">
        <f>IFERROR(VLOOKUP(A128,Sheet3!B:H,6,false),VLOOKUP(D128,Sheet2!A:C,2,false))</f>
        <v>https://assets.roomstogo.com/product/therapedic-flourish-2-sided-twin-mattress_50111170_image-item</v>
      </c>
      <c r="S128" s="8" t="str">
        <f>IFERROR(VLOOKUP(A128,Sheet3!B:H,7,false),VLOOKUP(D128,Sheet2!A:C,3,false))</f>
        <v>https://assets.roomstogo.com/product/therapedic-flourish-2-sided-twin-mattress_50111170_alt-image-1</v>
      </c>
      <c r="T128" s="11" t="s">
        <v>1176</v>
      </c>
    </row>
    <row r="129">
      <c r="A129" s="4">
        <v>5.0311237E7</v>
      </c>
      <c r="B129" s="9">
        <v>90.0</v>
      </c>
      <c r="C129" s="9">
        <v>4.6</v>
      </c>
      <c r="D129" s="1" t="s">
        <v>323</v>
      </c>
      <c r="E129" s="1" t="s">
        <v>417</v>
      </c>
      <c r="F129" s="6">
        <v>377.0</v>
      </c>
      <c r="G129" s="6">
        <v>399.99</v>
      </c>
      <c r="H129" s="1" t="s">
        <v>309</v>
      </c>
      <c r="I129" s="1" t="s">
        <v>325</v>
      </c>
      <c r="J129" s="1" t="s">
        <v>134</v>
      </c>
      <c r="K129" s="1" t="s">
        <v>373</v>
      </c>
      <c r="L129" s="1" t="s">
        <v>59</v>
      </c>
      <c r="M129" s="1" t="s">
        <v>34</v>
      </c>
      <c r="N129" s="1" t="s">
        <v>49</v>
      </c>
      <c r="O129" s="1" t="s">
        <v>42</v>
      </c>
      <c r="P129" s="1" t="s">
        <v>36</v>
      </c>
      <c r="Q129" s="1" t="s">
        <v>51</v>
      </c>
      <c r="R129" s="8" t="str">
        <f>IFERROR(VLOOKUP(A129,Sheet3!B:H,6,false),VLOOKUP(D129,Sheet2!A:C,2,false))</f>
        <v>https://assets.roomstogo.com/product/therapedic-hamell-twin-mattress_50111233_image-item</v>
      </c>
      <c r="S129" s="8" t="str">
        <f>IFERROR(VLOOKUP(A129,Sheet3!B:H,7,false),VLOOKUP(D129,Sheet2!A:C,3,false))</f>
        <v>https://assets.roomstogo.com/product/therapedic-hamell-twin-mattress_50111233_alt-image-1</v>
      </c>
      <c r="T129" s="11" t="s">
        <v>1177</v>
      </c>
    </row>
    <row r="130">
      <c r="A130" s="4">
        <v>5.0311263E7</v>
      </c>
      <c r="B130" s="9">
        <v>33.0</v>
      </c>
      <c r="C130" s="9">
        <v>4.55</v>
      </c>
      <c r="D130" s="1" t="s">
        <v>328</v>
      </c>
      <c r="E130" s="1" t="s">
        <v>418</v>
      </c>
      <c r="F130" s="6">
        <v>477.0</v>
      </c>
      <c r="G130" s="6">
        <v>499.99</v>
      </c>
      <c r="H130" s="1" t="s">
        <v>309</v>
      </c>
      <c r="I130" s="1" t="s">
        <v>330</v>
      </c>
      <c r="J130" s="1" t="s">
        <v>134</v>
      </c>
      <c r="K130" s="1" t="s">
        <v>373</v>
      </c>
      <c r="L130" s="1" t="s">
        <v>59</v>
      </c>
      <c r="M130" s="1" t="s">
        <v>34</v>
      </c>
      <c r="N130" s="1" t="s">
        <v>35</v>
      </c>
      <c r="O130" s="1" t="s">
        <v>34</v>
      </c>
      <c r="P130" s="1" t="s">
        <v>251</v>
      </c>
      <c r="Q130" s="1" t="s">
        <v>37</v>
      </c>
      <c r="R130" s="8" t="str">
        <f>IFERROR(VLOOKUP(A130,Sheet3!B:H,6,false),VLOOKUP(D130,Sheet2!A:C,2,false))</f>
        <v>https://assets.roomstogo.com/product/therapedic-impreza-twin-mattress_50111269_image-item</v>
      </c>
      <c r="S130" s="8" t="str">
        <f>IFERROR(VLOOKUP(A130,Sheet3!B:H,7,false),VLOOKUP(D130,Sheet2!A:C,3,false))</f>
        <v>https://assets.roomstogo.com/product/therapedic-impreza-twin-mattress_50111269_alt-image-1</v>
      </c>
      <c r="T130" s="11" t="s">
        <v>1178</v>
      </c>
    </row>
    <row r="131">
      <c r="A131" s="4">
        <v>5.031134E7</v>
      </c>
      <c r="B131" s="9">
        <v>10.0</v>
      </c>
      <c r="C131" s="9">
        <v>4.2</v>
      </c>
      <c r="D131" s="1" t="s">
        <v>141</v>
      </c>
      <c r="E131" s="1" t="s">
        <v>419</v>
      </c>
      <c r="F131" s="6">
        <v>677.0</v>
      </c>
      <c r="G131" s="6">
        <v>879.99</v>
      </c>
      <c r="H131" s="1" t="s">
        <v>143</v>
      </c>
      <c r="I131" s="7"/>
      <c r="J131" s="1" t="s">
        <v>31</v>
      </c>
      <c r="K131" s="1" t="s">
        <v>373</v>
      </c>
      <c r="L131" s="1" t="s">
        <v>59</v>
      </c>
      <c r="M131" s="1" t="s">
        <v>36</v>
      </c>
      <c r="N131" s="1" t="s">
        <v>76</v>
      </c>
      <c r="O131" s="1" t="s">
        <v>34</v>
      </c>
      <c r="P131" s="1" t="s">
        <v>36</v>
      </c>
      <c r="Q131" s="1" t="s">
        <v>144</v>
      </c>
      <c r="R131" s="8" t="str">
        <f>IFERROR(VLOOKUP(A131,Sheet3!B:H,6,false),VLOOKUP(D131,Sheet2!A:C,2,false))</f>
        <v>https://assets.roomstogo.com/product/therapedic-forester-twin-xl-mattress_50011344_image-item</v>
      </c>
      <c r="S131" s="8" t="str">
        <f>IFERROR(VLOOKUP(A131,Sheet3!B:H,7,false),VLOOKUP(D131,Sheet2!A:C,3,false))</f>
        <v>https://assets.roomstogo.com/product/therapedic-forester-twin-xl-mattress_50011344_alt-image-1</v>
      </c>
      <c r="T131" s="11" t="s">
        <v>1179</v>
      </c>
    </row>
    <row r="132">
      <c r="A132" s="4">
        <v>5.0311364E7</v>
      </c>
      <c r="B132" s="9">
        <v>20.0</v>
      </c>
      <c r="C132" s="9">
        <v>4.3</v>
      </c>
      <c r="D132" s="1" t="s">
        <v>145</v>
      </c>
      <c r="E132" s="1" t="s">
        <v>420</v>
      </c>
      <c r="F132" s="6">
        <v>577.0</v>
      </c>
      <c r="G132" s="6">
        <v>679.99</v>
      </c>
      <c r="H132" s="1" t="s">
        <v>143</v>
      </c>
      <c r="I132" s="7"/>
      <c r="J132" s="1" t="s">
        <v>31</v>
      </c>
      <c r="K132" s="1" t="s">
        <v>373</v>
      </c>
      <c r="L132" s="1" t="s">
        <v>59</v>
      </c>
      <c r="M132" s="1" t="s">
        <v>36</v>
      </c>
      <c r="N132" s="1" t="s">
        <v>35</v>
      </c>
      <c r="O132" s="1" t="s">
        <v>36</v>
      </c>
      <c r="P132" s="1" t="s">
        <v>34</v>
      </c>
      <c r="Q132" s="1" t="s">
        <v>37</v>
      </c>
      <c r="R132" s="8" t="str">
        <f>IFERROR(VLOOKUP(A132,Sheet3!B:H,6,false),VLOOKUP(D132,Sheet2!A:C,2,false))</f>
        <v>https://assets.roomstogo.com/product/therapedic-darlington-twin-xl-mattress_50011368_image-item</v>
      </c>
      <c r="S132" s="8" t="str">
        <f>IFERROR(VLOOKUP(A132,Sheet3!B:H,7,false),VLOOKUP(D132,Sheet2!A:C,3,false))</f>
        <v>https://assets.roomstogo.com/product/therapedic-darlington-twin-xl-mattress_50011368_alt-image-1</v>
      </c>
      <c r="T132" s="11" t="s">
        <v>1180</v>
      </c>
    </row>
    <row r="133">
      <c r="A133" s="4">
        <v>5.0322216E7</v>
      </c>
      <c r="B133" s="9">
        <v>28.0</v>
      </c>
      <c r="C133" s="9">
        <v>4.71</v>
      </c>
      <c r="D133" s="1" t="s">
        <v>163</v>
      </c>
      <c r="E133" s="1" t="s">
        <v>421</v>
      </c>
      <c r="F133" s="6">
        <v>377.0</v>
      </c>
      <c r="G133" s="6">
        <v>679.99</v>
      </c>
      <c r="H133" s="1" t="s">
        <v>165</v>
      </c>
      <c r="I133" s="1" t="s">
        <v>166</v>
      </c>
      <c r="J133" s="1" t="s">
        <v>31</v>
      </c>
      <c r="K133" s="1" t="s">
        <v>373</v>
      </c>
      <c r="L133" s="1" t="s">
        <v>41</v>
      </c>
      <c r="M133" s="1" t="s">
        <v>36</v>
      </c>
      <c r="N133" s="1" t="s">
        <v>35</v>
      </c>
      <c r="O133" s="1" t="s">
        <v>34</v>
      </c>
      <c r="P133" s="1" t="s">
        <v>36</v>
      </c>
      <c r="Q133" s="1" t="s">
        <v>37</v>
      </c>
      <c r="R133" s="8" t="str">
        <f>IFERROR(VLOOKUP(A133,Sheet3!B:H,6,false),VLOOKUP(D133,Sheet2!A:C,2,false))</f>
        <v>https://assets.roomstogo.com/product/beauty-sleep-oceana-mist-medium-hybrid-twin-xl-mattress_50022210_image-item</v>
      </c>
      <c r="S133" s="8" t="str">
        <f>IFERROR(VLOOKUP(A133,Sheet3!B:H,7,false),VLOOKUP(D133,Sheet2!A:C,3,false))</f>
        <v>https://assets.roomstogo.com/product/beauty-sleep-oceana-mist-medium-hybrid-twin-xl-mattress_50022210_alt-image-8</v>
      </c>
      <c r="T133" s="11" t="s">
        <v>1181</v>
      </c>
    </row>
    <row r="134">
      <c r="A134" s="4">
        <v>5.0325743E7</v>
      </c>
      <c r="B134" s="5"/>
      <c r="C134" s="5"/>
      <c r="D134" s="1" t="s">
        <v>169</v>
      </c>
      <c r="E134" s="1" t="s">
        <v>422</v>
      </c>
      <c r="F134" s="6">
        <v>1379.0</v>
      </c>
      <c r="G134" s="6">
        <v>1379.0</v>
      </c>
      <c r="H134" s="1" t="s">
        <v>171</v>
      </c>
      <c r="I134" s="1" t="s">
        <v>172</v>
      </c>
      <c r="J134" s="1" t="s">
        <v>31</v>
      </c>
      <c r="K134" s="1" t="s">
        <v>373</v>
      </c>
      <c r="L134" s="1" t="s">
        <v>59</v>
      </c>
      <c r="M134" s="1" t="s">
        <v>42</v>
      </c>
      <c r="N134" s="1" t="s">
        <v>49</v>
      </c>
      <c r="O134" s="1" t="s">
        <v>42</v>
      </c>
      <c r="P134" s="1" t="s">
        <v>42</v>
      </c>
      <c r="Q134" s="1" t="s">
        <v>51</v>
      </c>
      <c r="R134" s="8" t="str">
        <f>IFERROR(VLOOKUP(A134,Sheet3!B:H,6,false),VLOOKUP(D134,Sheet2!A:C,2,false))</f>
        <v>https://assets.roomstogo.com/product/beautyrest-world-class-level-three-plush-twin-xl-mattress_50025747_image-item</v>
      </c>
      <c r="S134" s="8" t="str">
        <f>IFERROR(VLOOKUP(A134,Sheet3!B:H,7,false),VLOOKUP(D134,Sheet2!A:C,3,false))</f>
        <v>https://assets.roomstogo.com/product/beautyrest-world-class-level-three-plush-twin-xl-mattress_50025747_alt-image-13</v>
      </c>
      <c r="T134" s="11" t="s">
        <v>1182</v>
      </c>
    </row>
    <row r="135">
      <c r="A135" s="4">
        <v>5.0325755E7</v>
      </c>
      <c r="B135" s="5"/>
      <c r="C135" s="5"/>
      <c r="D135" s="1" t="s">
        <v>173</v>
      </c>
      <c r="E135" s="1" t="s">
        <v>423</v>
      </c>
      <c r="F135" s="6">
        <v>1579.0</v>
      </c>
      <c r="G135" s="6">
        <v>1579.0</v>
      </c>
      <c r="H135" s="1" t="s">
        <v>171</v>
      </c>
      <c r="I135" s="1" t="s">
        <v>175</v>
      </c>
      <c r="J135" s="1" t="s">
        <v>31</v>
      </c>
      <c r="K135" s="1" t="s">
        <v>373</v>
      </c>
      <c r="L135" s="1" t="s">
        <v>59</v>
      </c>
      <c r="M135" s="1" t="s">
        <v>42</v>
      </c>
      <c r="N135" s="1" t="s">
        <v>35</v>
      </c>
      <c r="O135" s="1" t="s">
        <v>42</v>
      </c>
      <c r="P135" s="1" t="s">
        <v>42</v>
      </c>
      <c r="Q135" s="1" t="s">
        <v>37</v>
      </c>
      <c r="R135" s="8" t="str">
        <f>IFERROR(VLOOKUP(A135,Sheet3!B:H,6,false),VLOOKUP(D135,Sheet2!A:C,2,false))</f>
        <v>https://assets.roomstogo.com/product/beautyrest-world-class-level-three-medium-pillow-top-twin-xl-mattress_50025759_image-item</v>
      </c>
      <c r="S135" s="8" t="str">
        <f>IFERROR(VLOOKUP(A135,Sheet3!B:H,7,false),VLOOKUP(D135,Sheet2!A:C,3,false))</f>
        <v>https://assets.roomstogo.com/product/beautyrest-world-class-level-three-medium-pillow-top-twin-xl-mattress_50025759_alt-image-13</v>
      </c>
      <c r="T135" s="11" t="s">
        <v>1183</v>
      </c>
    </row>
    <row r="136">
      <c r="A136" s="4">
        <v>5.0325806E7</v>
      </c>
      <c r="B136" s="5"/>
      <c r="C136" s="5"/>
      <c r="D136" s="1" t="s">
        <v>176</v>
      </c>
      <c r="E136" s="1" t="s">
        <v>424</v>
      </c>
      <c r="F136" s="6">
        <v>1879.0</v>
      </c>
      <c r="G136" s="6">
        <v>1879.0</v>
      </c>
      <c r="H136" s="1" t="s">
        <v>171</v>
      </c>
      <c r="I136" s="1" t="s">
        <v>178</v>
      </c>
      <c r="J136" s="1" t="s">
        <v>31</v>
      </c>
      <c r="K136" s="1" t="s">
        <v>373</v>
      </c>
      <c r="L136" s="1" t="s">
        <v>59</v>
      </c>
      <c r="M136" s="1" t="s">
        <v>50</v>
      </c>
      <c r="N136" s="1" t="s">
        <v>49</v>
      </c>
      <c r="O136" s="1" t="s">
        <v>42</v>
      </c>
      <c r="P136" s="1" t="s">
        <v>42</v>
      </c>
      <c r="Q136" s="1" t="s">
        <v>51</v>
      </c>
      <c r="R136" s="8" t="str">
        <f>IFERROR(VLOOKUP(A136,Sheet3!B:H,6,false),VLOOKUP(D136,Sheet2!A:C,2,false))</f>
        <v>https://assets.roomstogo.com/product/beautyrest-world-class-level-four-plush-pillow-top-twin-xl-mattress_50025800_image-item</v>
      </c>
      <c r="S136" s="8" t="str">
        <f>IFERROR(VLOOKUP(A136,Sheet3!B:H,7,false),VLOOKUP(D136,Sheet2!A:C,3,false))</f>
        <v>https://assets.roomstogo.com/product/beautyrest-world-class-level-four-plush-pillow-top-twin-xl-mattress_50025800_alt-image-13</v>
      </c>
      <c r="T136" s="11" t="s">
        <v>1184</v>
      </c>
    </row>
    <row r="137">
      <c r="A137" s="4">
        <v>5.0328953E7</v>
      </c>
      <c r="B137" s="5"/>
      <c r="C137" s="5"/>
      <c r="D137" s="1" t="s">
        <v>179</v>
      </c>
      <c r="E137" s="1" t="s">
        <v>425</v>
      </c>
      <c r="F137" s="6">
        <v>877.0</v>
      </c>
      <c r="G137" s="6">
        <v>1479.0</v>
      </c>
      <c r="H137" s="1" t="s">
        <v>181</v>
      </c>
      <c r="I137" s="7"/>
      <c r="J137" s="1" t="s">
        <v>31</v>
      </c>
      <c r="K137" s="1" t="s">
        <v>373</v>
      </c>
      <c r="L137" s="1" t="s">
        <v>59</v>
      </c>
      <c r="M137" s="1" t="s">
        <v>42</v>
      </c>
      <c r="N137" s="1" t="s">
        <v>49</v>
      </c>
      <c r="O137" s="1" t="s">
        <v>34</v>
      </c>
      <c r="P137" s="1" t="s">
        <v>34</v>
      </c>
      <c r="Q137" s="1" t="s">
        <v>182</v>
      </c>
      <c r="R137" s="8" t="str">
        <f>IFERROR(VLOOKUP(A137,Sheet3!B:H,6,false),VLOOKUP(D137,Sheet2!A:C,2,false))</f>
        <v>https://assets.roomstogo.com/product/sealy-correct-comfort-kerry-park-twin-xl-mattress_50028957_image-item</v>
      </c>
      <c r="S137" s="8" t="str">
        <f>IFERROR(VLOOKUP(A137,Sheet3!B:H,7,false),VLOOKUP(D137,Sheet2!A:C,3,false))</f>
        <v>https://assets.roomstogo.com/product/sealy-correct-comfort-kerry-park-twin-xl-mattress_50028957_alt-image-1</v>
      </c>
      <c r="T137" s="11" t="s">
        <v>1185</v>
      </c>
    </row>
    <row r="138">
      <c r="A138" s="4">
        <v>5.0328965E7</v>
      </c>
      <c r="B138" s="9">
        <v>12.0</v>
      </c>
      <c r="C138" s="9">
        <v>4.83</v>
      </c>
      <c r="D138" s="1" t="s">
        <v>185</v>
      </c>
      <c r="E138" s="1" t="s">
        <v>426</v>
      </c>
      <c r="F138" s="6">
        <v>645.0</v>
      </c>
      <c r="G138" s="6">
        <v>749.0</v>
      </c>
      <c r="H138" s="1" t="s">
        <v>181</v>
      </c>
      <c r="I138" s="7"/>
      <c r="J138" s="1" t="s">
        <v>31</v>
      </c>
      <c r="K138" s="1" t="s">
        <v>373</v>
      </c>
      <c r="L138" s="1" t="s">
        <v>33</v>
      </c>
      <c r="M138" s="1" t="s">
        <v>34</v>
      </c>
      <c r="N138" s="1" t="s">
        <v>35</v>
      </c>
      <c r="O138" s="1" t="s">
        <v>34</v>
      </c>
      <c r="P138" s="1" t="s">
        <v>36</v>
      </c>
      <c r="Q138" s="1" t="s">
        <v>37</v>
      </c>
      <c r="R138" s="8" t="str">
        <f>IFERROR(VLOOKUP(A138,Sheet3!B:H,6,false),VLOOKUP(D138,Sheet2!A:C,2,false))</f>
        <v>https://assets.roomstogo.com/product/sealy-correct-comfort-bradford-hill-twin-xl-mattress_50028969_image-item</v>
      </c>
      <c r="S138" s="8" t="str">
        <f>IFERROR(VLOOKUP(A138,Sheet3!B:H,7,false),VLOOKUP(D138,Sheet2!A:C,3,false))</f>
        <v>https://assets.roomstogo.com/product/sealy-correct-comfort-bradford-hill-twin-xl-mattress_50028969_alt-image-1</v>
      </c>
      <c r="T138" s="11" t="s">
        <v>1186</v>
      </c>
    </row>
    <row r="139">
      <c r="A139" s="4">
        <v>5.0329171E7</v>
      </c>
      <c r="B139" s="9">
        <v>6.0</v>
      </c>
      <c r="C139" s="9">
        <v>4.17</v>
      </c>
      <c r="D139" s="1" t="s">
        <v>189</v>
      </c>
      <c r="E139" s="1" t="s">
        <v>427</v>
      </c>
      <c r="F139" s="6">
        <v>627.0</v>
      </c>
      <c r="G139" s="6">
        <v>749.0</v>
      </c>
      <c r="H139" s="1" t="s">
        <v>191</v>
      </c>
      <c r="I139" s="1" t="s">
        <v>192</v>
      </c>
      <c r="J139" s="1" t="s">
        <v>31</v>
      </c>
      <c r="K139" s="1" t="s">
        <v>373</v>
      </c>
      <c r="L139" s="1" t="s">
        <v>59</v>
      </c>
      <c r="M139" s="1" t="s">
        <v>36</v>
      </c>
      <c r="N139" s="1" t="s">
        <v>35</v>
      </c>
      <c r="O139" s="1" t="s">
        <v>36</v>
      </c>
      <c r="P139" s="1" t="s">
        <v>36</v>
      </c>
      <c r="Q139" s="1" t="s">
        <v>37</v>
      </c>
      <c r="R139" s="8" t="str">
        <f>IFERROR(VLOOKUP(A139,Sheet3!B:H,6,false),VLOOKUP(D139,Sheet2!A:C,2,false))</f>
        <v>https://assets.roomstogo.com/product/sealy-posturepedic-brierwood-twin-xl-mattress_50029175_image-item</v>
      </c>
      <c r="S139" s="8" t="str">
        <f>IFERROR(VLOOKUP(A139,Sheet3!B:H,7,false),VLOOKUP(D139,Sheet2!A:C,3,false))</f>
        <v>https://assets.roomstogo.com/product/sealy-posturepedic-brierwood-twin-xl-mattress_50029175_alt-image-1</v>
      </c>
      <c r="T139" s="11" t="s">
        <v>1187</v>
      </c>
    </row>
    <row r="140">
      <c r="A140" s="4">
        <v>5.0329208E7</v>
      </c>
      <c r="B140" s="5"/>
      <c r="C140" s="5"/>
      <c r="D140" s="1" t="s">
        <v>193</v>
      </c>
      <c r="E140" s="1" t="s">
        <v>428</v>
      </c>
      <c r="F140" s="6">
        <v>947.0</v>
      </c>
      <c r="G140" s="6">
        <v>1149.0</v>
      </c>
      <c r="H140" s="1" t="s">
        <v>195</v>
      </c>
      <c r="I140" s="1" t="s">
        <v>196</v>
      </c>
      <c r="J140" s="1" t="s">
        <v>31</v>
      </c>
      <c r="K140" s="1" t="s">
        <v>373</v>
      </c>
      <c r="L140" s="1" t="s">
        <v>59</v>
      </c>
      <c r="M140" s="1" t="s">
        <v>34</v>
      </c>
      <c r="N140" s="1" t="s">
        <v>35</v>
      </c>
      <c r="O140" s="1" t="s">
        <v>34</v>
      </c>
      <c r="P140" s="1" t="s">
        <v>36</v>
      </c>
      <c r="Q140" s="1" t="s">
        <v>37</v>
      </c>
      <c r="R140" s="8" t="str">
        <f>IFERROR(VLOOKUP(A140,Sheet3!B:H,6,false),VLOOKUP(D140,Sheet2!A:C,2,false))</f>
        <v>https://assets.roomstogo.com/product/sealy-posturepedic-castle-rock-twin-xl-mattress_50029202_image-item</v>
      </c>
      <c r="S140" s="8" t="str">
        <f>IFERROR(VLOOKUP(A140,Sheet3!B:H,7,false),VLOOKUP(D140,Sheet2!A:C,3,false))</f>
        <v>https://assets.roomstogo.com/product/sealy-posturepedic-castle-rock-twin-xl-mattress_50029202_alt-image-1</v>
      </c>
      <c r="T140" s="11" t="s">
        <v>1188</v>
      </c>
    </row>
    <row r="141">
      <c r="A141" s="4">
        <v>5.032921E7</v>
      </c>
      <c r="B141" s="5"/>
      <c r="C141" s="5"/>
      <c r="D141" s="1" t="s">
        <v>197</v>
      </c>
      <c r="E141" s="1" t="s">
        <v>429</v>
      </c>
      <c r="F141" s="6">
        <v>1027.0</v>
      </c>
      <c r="G141" s="6">
        <v>1249.0</v>
      </c>
      <c r="H141" s="1" t="s">
        <v>199</v>
      </c>
      <c r="I141" s="1" t="s">
        <v>200</v>
      </c>
      <c r="J141" s="1" t="s">
        <v>31</v>
      </c>
      <c r="K141" s="1" t="s">
        <v>373</v>
      </c>
      <c r="L141" s="1" t="s">
        <v>59</v>
      </c>
      <c r="M141" s="1" t="s">
        <v>34</v>
      </c>
      <c r="N141" s="1" t="s">
        <v>35</v>
      </c>
      <c r="O141" s="1" t="s">
        <v>42</v>
      </c>
      <c r="P141" s="1" t="s">
        <v>34</v>
      </c>
      <c r="Q141" s="1" t="s">
        <v>37</v>
      </c>
      <c r="R141" s="8" t="str">
        <f>IFERROR(VLOOKUP(A141,Sheet3!B:H,6,false),VLOOKUP(D141,Sheet2!A:C,2,false))</f>
        <v>https://assets.roomstogo.com/product/sealy-posturepedic-pebblebrook-twin-xl-mattress_50029214_image-item</v>
      </c>
      <c r="S141" s="8" t="str">
        <f>IFERROR(VLOOKUP(A141,Sheet3!B:H,7,false),VLOOKUP(D141,Sheet2!A:C,3,false))</f>
        <v>https://assets.roomstogo.com/product/sealy-posturepedic-pebblebrook-twin-xl-mattress_50029214_alt-image-1</v>
      </c>
      <c r="T141" s="11" t="s">
        <v>1189</v>
      </c>
    </row>
    <row r="142">
      <c r="A142" s="4">
        <v>5.033411E7</v>
      </c>
      <c r="B142" s="9">
        <v>13.0</v>
      </c>
      <c r="C142" s="9">
        <v>3.92</v>
      </c>
      <c r="D142" s="1" t="s">
        <v>348</v>
      </c>
      <c r="E142" s="1" t="s">
        <v>430</v>
      </c>
      <c r="F142" s="6">
        <v>799.0</v>
      </c>
      <c r="G142" s="6">
        <v>899.0</v>
      </c>
      <c r="H142" s="1" t="s">
        <v>64</v>
      </c>
      <c r="I142" s="1" t="s">
        <v>350</v>
      </c>
      <c r="J142" s="1" t="s">
        <v>134</v>
      </c>
      <c r="K142" s="1" t="s">
        <v>373</v>
      </c>
      <c r="L142" s="1" t="s">
        <v>33</v>
      </c>
      <c r="M142" s="1" t="s">
        <v>50</v>
      </c>
      <c r="N142" s="1" t="s">
        <v>35</v>
      </c>
      <c r="O142" s="1" t="s">
        <v>50</v>
      </c>
      <c r="P142" s="1" t="s">
        <v>36</v>
      </c>
      <c r="Q142" s="1" t="s">
        <v>37</v>
      </c>
      <c r="R142" s="8" t="str">
        <f>IFERROR(VLOOKUP(A142,Sheet3!B:H,6,false),VLOOKUP(D142,Sheet2!A:C,2,false))</f>
        <v>https://assets.roomstogo.com/product/tempur-kids-twin-mattress_50134116_image-item</v>
      </c>
      <c r="S142" s="8" t="str">
        <f>IFERROR(VLOOKUP(A142,Sheet3!B:H,7,false),VLOOKUP(D142,Sheet2!A:C,3,false))</f>
        <v>https://assets.roomstogo.com/product/tempur-kids-project-z-twin-mattress_50134116_alt-image-1</v>
      </c>
      <c r="T142" s="11" t="s">
        <v>1190</v>
      </c>
    </row>
    <row r="143">
      <c r="A143" s="4">
        <v>5.0337053E7</v>
      </c>
      <c r="B143" s="9">
        <v>347.0</v>
      </c>
      <c r="C143" s="9">
        <v>4.52</v>
      </c>
      <c r="D143" s="1" t="s">
        <v>203</v>
      </c>
      <c r="E143" s="1" t="s">
        <v>431</v>
      </c>
      <c r="F143" s="6">
        <v>1829.0</v>
      </c>
      <c r="G143" s="6">
        <v>1829.0</v>
      </c>
      <c r="H143" s="1" t="s">
        <v>205</v>
      </c>
      <c r="I143" s="1" t="s">
        <v>206</v>
      </c>
      <c r="J143" s="1" t="s">
        <v>31</v>
      </c>
      <c r="K143" s="1" t="s">
        <v>373</v>
      </c>
      <c r="L143" s="1" t="s">
        <v>59</v>
      </c>
      <c r="M143" s="1" t="s">
        <v>34</v>
      </c>
      <c r="N143" s="1" t="s">
        <v>76</v>
      </c>
      <c r="O143" s="1" t="s">
        <v>50</v>
      </c>
      <c r="P143" s="1" t="s">
        <v>42</v>
      </c>
      <c r="Q143" s="1" t="s">
        <v>144</v>
      </c>
      <c r="R143" s="8" t="str">
        <f>IFERROR(VLOOKUP(A143,Sheet3!B:H,6,false),VLOOKUP(D143,Sheet2!A:C,2,false))</f>
        <v>https://assets.roomstogo.com/product/beautyrest-black-series-one-extra-firm-twin-xl-mattress_50037057_image-item</v>
      </c>
      <c r="S143" s="8" t="str">
        <f>IFERROR(VLOOKUP(A143,Sheet3!B:H,7,false),VLOOKUP(D143,Sheet2!A:C,3,false))</f>
        <v>https://assets.roomstogo.com/product/beautyrest-black-series-one-extra-firm-twin-xl-mattress_50037057_alt-image-1</v>
      </c>
      <c r="T143" s="11" t="s">
        <v>1191</v>
      </c>
    </row>
    <row r="144">
      <c r="A144" s="4">
        <v>5.033713E7</v>
      </c>
      <c r="B144" s="5"/>
      <c r="C144" s="5"/>
      <c r="D144" s="1" t="s">
        <v>209</v>
      </c>
      <c r="E144" s="1" t="s">
        <v>432</v>
      </c>
      <c r="F144" s="6">
        <v>2829.0</v>
      </c>
      <c r="G144" s="6">
        <v>2829.0</v>
      </c>
      <c r="H144" s="1" t="s">
        <v>205</v>
      </c>
      <c r="I144" s="1" t="s">
        <v>211</v>
      </c>
      <c r="J144" s="1" t="s">
        <v>31</v>
      </c>
      <c r="K144" s="1" t="s">
        <v>373</v>
      </c>
      <c r="L144" s="1" t="s">
        <v>59</v>
      </c>
      <c r="M144" s="1" t="s">
        <v>42</v>
      </c>
      <c r="N144" s="1" t="s">
        <v>35</v>
      </c>
      <c r="O144" s="1" t="s">
        <v>50</v>
      </c>
      <c r="P144" s="1" t="s">
        <v>42</v>
      </c>
      <c r="Q144" s="1" t="s">
        <v>37</v>
      </c>
      <c r="R144" s="8" t="str">
        <f>IFERROR(VLOOKUP(A144,Sheet3!B:H,6,false),VLOOKUP(D144,Sheet2!A:C,2,false))</f>
        <v>https://assets.roomstogo.com/product/beautyrest-black-series-two-medium-twin-xl-mattress_50037134_image-item</v>
      </c>
      <c r="S144" s="8" t="str">
        <f>IFERROR(VLOOKUP(A144,Sheet3!B:H,7,false),VLOOKUP(D144,Sheet2!A:C,3,false))</f>
        <v>https://assets.roomstogo.com/product/beautyrest-black-series-two-medium-twin-xl-mattress_50037134_alt-image-1</v>
      </c>
      <c r="T144" s="11" t="s">
        <v>1192</v>
      </c>
    </row>
    <row r="145">
      <c r="A145" s="4">
        <v>5.0337229E7</v>
      </c>
      <c r="B145" s="5"/>
      <c r="C145" s="5"/>
      <c r="D145" s="1" t="s">
        <v>214</v>
      </c>
      <c r="E145" s="1" t="s">
        <v>433</v>
      </c>
      <c r="F145" s="6">
        <v>3929.0</v>
      </c>
      <c r="G145" s="6">
        <v>3929.0</v>
      </c>
      <c r="H145" s="1" t="s">
        <v>205</v>
      </c>
      <c r="I145" s="1" t="s">
        <v>216</v>
      </c>
      <c r="J145" s="1" t="s">
        <v>31</v>
      </c>
      <c r="K145" s="1" t="s">
        <v>373</v>
      </c>
      <c r="L145" s="1" t="s">
        <v>59</v>
      </c>
      <c r="M145" s="1" t="s">
        <v>50</v>
      </c>
      <c r="N145" s="1" t="s">
        <v>49</v>
      </c>
      <c r="O145" s="1" t="s">
        <v>50</v>
      </c>
      <c r="P145" s="1" t="s">
        <v>42</v>
      </c>
      <c r="Q145" s="1" t="s">
        <v>51</v>
      </c>
      <c r="R145" s="8" t="str">
        <f>IFERROR(VLOOKUP(A145,Sheet3!B:H,6,false),VLOOKUP(D145,Sheet2!A:C,2,false))</f>
        <v>https://assets.roomstogo.com/product/beautyrest-black-series-three-plush-pillow-top-twin-xl-mattress_50037223_image-item</v>
      </c>
      <c r="S145" s="8" t="str">
        <f>IFERROR(VLOOKUP(A145,Sheet3!B:H,7,false),VLOOKUP(D145,Sheet2!A:C,3,false))</f>
        <v>https://assets.roomstogo.com/product/beautyrest-black-series-three-plush-pillow-top-twin-xl-mattress_50037223_alt-image-1</v>
      </c>
      <c r="T145" s="11" t="s">
        <v>1193</v>
      </c>
    </row>
    <row r="146">
      <c r="A146" s="4">
        <v>5.0348032E7</v>
      </c>
      <c r="B146" s="5"/>
      <c r="C146" s="5"/>
      <c r="D146" s="1" t="s">
        <v>219</v>
      </c>
      <c r="E146" s="1" t="s">
        <v>434</v>
      </c>
      <c r="F146" s="6">
        <v>2349.0</v>
      </c>
      <c r="G146" s="6">
        <v>2349.0</v>
      </c>
      <c r="H146" s="1" t="s">
        <v>221</v>
      </c>
      <c r="I146" s="1" t="s">
        <v>222</v>
      </c>
      <c r="J146" s="1" t="s">
        <v>31</v>
      </c>
      <c r="K146" s="1" t="s">
        <v>373</v>
      </c>
      <c r="L146" s="1" t="s">
        <v>59</v>
      </c>
      <c r="M146" s="1" t="s">
        <v>34</v>
      </c>
      <c r="N146" s="1" t="s">
        <v>76</v>
      </c>
      <c r="O146" s="1" t="s">
        <v>42</v>
      </c>
      <c r="P146" s="1" t="s">
        <v>34</v>
      </c>
      <c r="Q146" s="1" t="s">
        <v>77</v>
      </c>
      <c r="R146" s="8" t="str">
        <f>IFERROR(VLOOKUP(A146,Sheet3!B:H,6,false),VLOOKUP(D146,Sheet2!A:C,2,false))</f>
        <v>https://assets.roomstogo.com/product/stearns-and-foster-estate-firm-tight-top-twin-xl-mattress_50048036_image-item</v>
      </c>
      <c r="S146" s="8" t="str">
        <f>IFERROR(VLOOKUP(A146,Sheet3!B:H,7,false),VLOOKUP(D146,Sheet2!A:C,3,false))</f>
        <v>https://assets.roomstogo.com/product/stearns-and-foster-estate-firm-tight-top-twin-xl-mattress_50048036_alt-image-1</v>
      </c>
      <c r="T146" s="11" t="s">
        <v>1194</v>
      </c>
    </row>
    <row r="147">
      <c r="A147" s="4">
        <v>5.0348056E7</v>
      </c>
      <c r="B147" s="9">
        <v>7.0</v>
      </c>
      <c r="C147" s="9">
        <v>3.86</v>
      </c>
      <c r="D147" s="1" t="s">
        <v>223</v>
      </c>
      <c r="E147" s="1" t="s">
        <v>437</v>
      </c>
      <c r="F147" s="6">
        <v>2549.0</v>
      </c>
      <c r="G147" s="6">
        <v>2549.0</v>
      </c>
      <c r="H147" s="1" t="s">
        <v>221</v>
      </c>
      <c r="I147" s="1" t="s">
        <v>222</v>
      </c>
      <c r="J147" s="1" t="s">
        <v>31</v>
      </c>
      <c r="K147" s="1" t="s">
        <v>373</v>
      </c>
      <c r="L147" s="1" t="s">
        <v>59</v>
      </c>
      <c r="M147" s="1" t="s">
        <v>34</v>
      </c>
      <c r="N147" s="1" t="s">
        <v>76</v>
      </c>
      <c r="O147" s="1" t="s">
        <v>42</v>
      </c>
      <c r="P147" s="1" t="s">
        <v>34</v>
      </c>
      <c r="Q147" s="1" t="s">
        <v>77</v>
      </c>
      <c r="R147" s="8" t="str">
        <f>IFERROR(VLOOKUP(A147,Sheet3!B:H,6,false),VLOOKUP(D147,Sheet2!A:C,2,false))</f>
        <v>https://assets.roomstogo.com/product/stearns-and-foster-estate-firm-pillow-top-twin-xl-mattress_50048050_image-item</v>
      </c>
      <c r="S147" s="8" t="str">
        <f>IFERROR(VLOOKUP(A147,Sheet3!B:H,7,false),VLOOKUP(D147,Sheet2!A:C,3,false))</f>
        <v>https://assets.roomstogo.com/product/stearns-and-foster-estate-firm-pillow-top-twin-xl-mattress_50048050_alt-image-1</v>
      </c>
      <c r="T147" s="11" t="s">
        <v>1195</v>
      </c>
    </row>
    <row r="148">
      <c r="A148" s="4">
        <v>5.0352574E7</v>
      </c>
      <c r="B148" s="9">
        <v>3.0</v>
      </c>
      <c r="C148" s="9">
        <v>5.0</v>
      </c>
      <c r="D148" s="1" t="s">
        <v>352</v>
      </c>
      <c r="E148" s="1" t="s">
        <v>438</v>
      </c>
      <c r="F148" s="6">
        <v>377.0</v>
      </c>
      <c r="G148" s="6">
        <v>399.99</v>
      </c>
      <c r="H148" s="1" t="s">
        <v>354</v>
      </c>
      <c r="I148" s="1" t="s">
        <v>355</v>
      </c>
      <c r="J148" s="1" t="s">
        <v>134</v>
      </c>
      <c r="K148" s="1" t="s">
        <v>373</v>
      </c>
      <c r="L148" s="1" t="s">
        <v>59</v>
      </c>
      <c r="M148" s="1" t="s">
        <v>36</v>
      </c>
      <c r="N148" s="1" t="s">
        <v>35</v>
      </c>
      <c r="O148" s="1" t="s">
        <v>36</v>
      </c>
      <c r="P148" s="1" t="s">
        <v>36</v>
      </c>
      <c r="Q148" s="1" t="s">
        <v>37</v>
      </c>
      <c r="R148" s="8" t="str">
        <f>IFERROR(VLOOKUP(A148,Sheet3!B:H,6,false),VLOOKUP(D148,Sheet2!A:C,2,false))</f>
        <v>https://assets.roomstogo.com/product/sealy-kids-z-305-twin-mattress_50152570_image-item</v>
      </c>
      <c r="S148" s="8" t="str">
        <f>IFERROR(VLOOKUP(A148,Sheet3!B:H,7,false),VLOOKUP(D148,Sheet2!A:C,3,false))</f>
        <v>https://assets.roomstogo.com/product/sealy-kids-z-305-twin-mattress_50152570_alt-image-1</v>
      </c>
      <c r="T148" s="11" t="s">
        <v>1196</v>
      </c>
    </row>
    <row r="149">
      <c r="A149" s="4">
        <v>5.0352586E7</v>
      </c>
      <c r="B149" s="9">
        <v>2.0</v>
      </c>
      <c r="C149" s="9">
        <v>5.0</v>
      </c>
      <c r="D149" s="1" t="s">
        <v>356</v>
      </c>
      <c r="E149" s="1" t="s">
        <v>440</v>
      </c>
      <c r="F149" s="6">
        <v>427.0</v>
      </c>
      <c r="G149" s="6">
        <v>449.99</v>
      </c>
      <c r="H149" s="1" t="s">
        <v>354</v>
      </c>
      <c r="I149" s="1" t="s">
        <v>358</v>
      </c>
      <c r="J149" s="1" t="s">
        <v>134</v>
      </c>
      <c r="K149" s="1" t="s">
        <v>373</v>
      </c>
      <c r="L149" s="1" t="s">
        <v>59</v>
      </c>
      <c r="M149" s="1" t="s">
        <v>34</v>
      </c>
      <c r="N149" s="1" t="s">
        <v>49</v>
      </c>
      <c r="O149" s="1" t="s">
        <v>34</v>
      </c>
      <c r="P149" s="1" t="s">
        <v>42</v>
      </c>
      <c r="Q149" s="1" t="s">
        <v>51</v>
      </c>
      <c r="R149" s="8" t="str">
        <f>IFERROR(VLOOKUP(A149,Sheet3!B:H,6,false),VLOOKUP(D149,Sheet2!A:C,2,false))</f>
        <v>https://assets.roomstogo.com/product/sealy-kids-z-505-twin-mattress_50152582_image-item</v>
      </c>
      <c r="S149" s="8" t="str">
        <f>IFERROR(VLOOKUP(A149,Sheet3!B:H,7,false),VLOOKUP(D149,Sheet2!A:C,3,false))</f>
        <v>https://assets.roomstogo.com/product/sealy-kids-z-505-twin-mattress_50152582_alt-image-1</v>
      </c>
      <c r="T149" s="11" t="s">
        <v>1197</v>
      </c>
    </row>
    <row r="150">
      <c r="A150" s="4">
        <v>5.0370041E7</v>
      </c>
      <c r="B150" s="5"/>
      <c r="C150" s="5"/>
      <c r="D150" s="1" t="s">
        <v>361</v>
      </c>
      <c r="E150" s="1" t="s">
        <v>441</v>
      </c>
      <c r="F150" s="6">
        <v>799.0</v>
      </c>
      <c r="G150" s="6">
        <v>998.75</v>
      </c>
      <c r="H150" s="1" t="s">
        <v>234</v>
      </c>
      <c r="I150" s="7"/>
      <c r="J150" s="1" t="s">
        <v>134</v>
      </c>
      <c r="K150" s="1" t="s">
        <v>373</v>
      </c>
      <c r="L150" s="1" t="s">
        <v>59</v>
      </c>
      <c r="M150" s="1" t="s">
        <v>42</v>
      </c>
      <c r="N150" s="1" t="s">
        <v>35</v>
      </c>
      <c r="O150" s="1" t="s">
        <v>50</v>
      </c>
      <c r="P150" s="1" t="s">
        <v>34</v>
      </c>
      <c r="Q150" s="1" t="s">
        <v>363</v>
      </c>
      <c r="R150" s="8" t="str">
        <f>IFERROR(VLOOKUP(A150,Sheet3!B:H,6,false),VLOOKUP(D150,Sheet2!A:C,2,false))</f>
        <v>https://assets.roomstogo.com/product/helix-kids-twin-mattress_50170047_image-item</v>
      </c>
      <c r="S150" s="8" t="str">
        <f>IFERROR(VLOOKUP(A150,Sheet3!B:H,7,false),VLOOKUP(D150,Sheet2!A:C,3,false))</f>
        <v>https://assets.roomstogo.com/product/helix-kids-twin-mattress_50170047_alt-image-6</v>
      </c>
      <c r="T150" s="11" t="s">
        <v>1198</v>
      </c>
    </row>
    <row r="151">
      <c r="A151" s="4">
        <v>5.0370116E7</v>
      </c>
      <c r="B151" s="9">
        <v>9006.0</v>
      </c>
      <c r="C151" s="9">
        <v>4.32</v>
      </c>
      <c r="D151" s="1" t="s">
        <v>232</v>
      </c>
      <c r="E151" s="1" t="s">
        <v>442</v>
      </c>
      <c r="F151" s="6">
        <v>1848.0</v>
      </c>
      <c r="G151" s="6">
        <v>2310.0</v>
      </c>
      <c r="H151" s="1" t="s">
        <v>234</v>
      </c>
      <c r="I151" s="7"/>
      <c r="J151" s="1" t="s">
        <v>31</v>
      </c>
      <c r="K151" s="1" t="s">
        <v>373</v>
      </c>
      <c r="L151" s="1" t="s">
        <v>59</v>
      </c>
      <c r="M151" s="1" t="s">
        <v>42</v>
      </c>
      <c r="N151" s="1" t="s">
        <v>35</v>
      </c>
      <c r="O151" s="1" t="s">
        <v>42</v>
      </c>
      <c r="P151" s="1" t="s">
        <v>34</v>
      </c>
      <c r="Q151" s="1" t="s">
        <v>37</v>
      </c>
      <c r="R151" s="8" t="str">
        <f>IFERROR(VLOOKUP(A151,Sheet3!B:H,6,false),VLOOKUP(D151,Sheet2!A:C,2,false))</f>
        <v>https://assets.roomstogo.com/product/helix-midnight-luxe-twin-xl-mattress_50070110_image-item</v>
      </c>
      <c r="S151" s="8" t="str">
        <f>IFERROR(VLOOKUP(A151,Sheet3!B:H,7,false),VLOOKUP(D151,Sheet2!A:C,3,false))</f>
        <v>https://assets.roomstogo.com/product/helix-midnight-luxe-twin-xl-mattress_50070110_alt-image-1</v>
      </c>
      <c r="T151" s="11" t="s">
        <v>1199</v>
      </c>
    </row>
    <row r="152">
      <c r="A152" s="4">
        <v>5.0370128E7</v>
      </c>
      <c r="B152" s="9">
        <v>501.0</v>
      </c>
      <c r="C152" s="9">
        <v>4.22</v>
      </c>
      <c r="D152" s="1" t="s">
        <v>237</v>
      </c>
      <c r="E152" s="1" t="s">
        <v>443</v>
      </c>
      <c r="F152" s="6">
        <v>2649.0</v>
      </c>
      <c r="G152" s="6">
        <v>3311.25</v>
      </c>
      <c r="H152" s="1" t="s">
        <v>234</v>
      </c>
      <c r="I152" s="7"/>
      <c r="J152" s="1" t="s">
        <v>31</v>
      </c>
      <c r="K152" s="1" t="s">
        <v>373</v>
      </c>
      <c r="L152" s="1" t="s">
        <v>59</v>
      </c>
      <c r="M152" s="1" t="s">
        <v>50</v>
      </c>
      <c r="N152" s="1" t="s">
        <v>35</v>
      </c>
      <c r="O152" s="1" t="s">
        <v>42</v>
      </c>
      <c r="P152" s="1" t="s">
        <v>42</v>
      </c>
      <c r="Q152" s="1" t="s">
        <v>37</v>
      </c>
      <c r="R152" s="8" t="str">
        <f>IFERROR(VLOOKUP(A152,Sheet3!B:H,6,false),VLOOKUP(D152,Sheet2!A:C,2,false))</f>
        <v>https://assets.roomstogo.com/product/helix-midnight-elite-twin-xl-mattress_50070122_image-item</v>
      </c>
      <c r="S152" s="8" t="str">
        <f>IFERROR(VLOOKUP(A152,Sheet3!B:H,7,false),VLOOKUP(D152,Sheet2!A:C,3,false))</f>
        <v>https://assets.roomstogo.com/product/helix-midnight-elite-twin-xl-mattress_50070122_alt-image-1</v>
      </c>
      <c r="T152" s="11" t="s">
        <v>1200</v>
      </c>
    </row>
    <row r="153">
      <c r="A153" s="4">
        <v>5.0400488E7</v>
      </c>
      <c r="B153" s="9">
        <v>14.0</v>
      </c>
      <c r="C153" s="9">
        <v>4.79</v>
      </c>
      <c r="D153" s="1" t="s">
        <v>447</v>
      </c>
      <c r="E153" s="1" t="s">
        <v>448</v>
      </c>
      <c r="F153" s="6">
        <v>699.0</v>
      </c>
      <c r="G153" s="6">
        <v>799.0</v>
      </c>
      <c r="H153" s="1" t="s">
        <v>449</v>
      </c>
      <c r="I153" s="1" t="s">
        <v>450</v>
      </c>
      <c r="J153" s="1" t="s">
        <v>31</v>
      </c>
      <c r="K153" s="1" t="s">
        <v>373</v>
      </c>
      <c r="L153" s="7"/>
      <c r="M153" s="7"/>
      <c r="N153" s="7"/>
      <c r="O153" s="7"/>
      <c r="P153" s="7"/>
      <c r="Q153" s="7"/>
      <c r="R153" s="11" t="str">
        <f>IFERROR(VLOOKUP(A153,Sheet3!B:H,6,false),VLOOKUP(D153,Sheet2!A:C,2,false))</f>
        <v>#N/A</v>
      </c>
      <c r="S153" s="11" t="str">
        <f>IFERROR(VLOOKUP(A153,Sheet3!B:H,7,false),VLOOKUP(D153,Sheet2!A:C,3,false))</f>
        <v>#N/A</v>
      </c>
      <c r="T153" s="11" t="s">
        <v>1201</v>
      </c>
    </row>
    <row r="154">
      <c r="A154" s="4">
        <v>5.0400515E7</v>
      </c>
      <c r="B154" s="9">
        <v>1.0</v>
      </c>
      <c r="C154" s="9">
        <v>5.0</v>
      </c>
      <c r="D154" s="1" t="s">
        <v>453</v>
      </c>
      <c r="E154" s="1" t="s">
        <v>454</v>
      </c>
      <c r="F154" s="6">
        <v>1499.0</v>
      </c>
      <c r="G154" s="6">
        <v>1699.0</v>
      </c>
      <c r="H154" s="1" t="s">
        <v>449</v>
      </c>
      <c r="I154" s="1" t="s">
        <v>455</v>
      </c>
      <c r="J154" s="1" t="s">
        <v>31</v>
      </c>
      <c r="K154" s="1" t="s">
        <v>373</v>
      </c>
      <c r="L154" s="7"/>
      <c r="M154" s="7"/>
      <c r="N154" s="7"/>
      <c r="O154" s="7"/>
      <c r="P154" s="7"/>
      <c r="Q154" s="7"/>
      <c r="R154" s="11" t="str">
        <f>IFERROR(VLOOKUP(A154,Sheet3!B:H,6,false),VLOOKUP(D154,Sheet2!A:C,2,false))</f>
        <v>#N/A</v>
      </c>
      <c r="S154" s="11" t="str">
        <f>IFERROR(VLOOKUP(A154,Sheet3!B:H,7,false),VLOOKUP(D154,Sheet2!A:C,3,false))</f>
        <v>#N/A</v>
      </c>
      <c r="T154" s="11" t="s">
        <v>1202</v>
      </c>
    </row>
    <row r="155">
      <c r="A155" s="4">
        <v>5.0408167E7</v>
      </c>
      <c r="B155" s="9">
        <v>1.0</v>
      </c>
      <c r="C155" s="9">
        <v>5.0</v>
      </c>
      <c r="D155" s="1" t="s">
        <v>458</v>
      </c>
      <c r="E155" s="1" t="s">
        <v>459</v>
      </c>
      <c r="F155" s="6">
        <v>1699.0</v>
      </c>
      <c r="G155" s="6">
        <v>1699.0</v>
      </c>
      <c r="H155" s="1" t="s">
        <v>64</v>
      </c>
      <c r="I155" s="1" t="s">
        <v>460</v>
      </c>
      <c r="J155" s="1" t="s">
        <v>31</v>
      </c>
      <c r="K155" s="1" t="s">
        <v>373</v>
      </c>
      <c r="L155" s="7"/>
      <c r="M155" s="7"/>
      <c r="N155" s="7"/>
      <c r="O155" s="7"/>
      <c r="P155" s="7"/>
      <c r="Q155" s="7"/>
      <c r="R155" s="11" t="str">
        <f>IFERROR(VLOOKUP(A155,Sheet3!B:H,6,false),VLOOKUP(D155,Sheet2!A:C,2,false))</f>
        <v>#N/A</v>
      </c>
      <c r="S155" s="11" t="str">
        <f>IFERROR(VLOOKUP(A155,Sheet3!B:H,7,false),VLOOKUP(D155,Sheet2!A:C,3,false))</f>
        <v>#N/A</v>
      </c>
      <c r="T155" s="11" t="s">
        <v>1203</v>
      </c>
    </row>
    <row r="156">
      <c r="A156" s="4">
        <v>5.0408181E7</v>
      </c>
      <c r="B156" s="9">
        <v>405.0</v>
      </c>
      <c r="C156" s="9">
        <v>4.6</v>
      </c>
      <c r="D156" s="1" t="s">
        <v>463</v>
      </c>
      <c r="E156" s="1" t="s">
        <v>464</v>
      </c>
      <c r="F156" s="6">
        <v>2199.0</v>
      </c>
      <c r="G156" s="6">
        <v>2199.0</v>
      </c>
      <c r="H156" s="1" t="s">
        <v>64</v>
      </c>
      <c r="I156" s="1" t="s">
        <v>465</v>
      </c>
      <c r="J156" s="1" t="s">
        <v>31</v>
      </c>
      <c r="K156" s="1" t="s">
        <v>373</v>
      </c>
      <c r="L156" s="7"/>
      <c r="M156" s="7"/>
      <c r="N156" s="7"/>
      <c r="O156" s="7"/>
      <c r="P156" s="7"/>
      <c r="Q156" s="7"/>
      <c r="R156" s="11" t="str">
        <f>IFERROR(VLOOKUP(A156,Sheet3!B:H,6,false),VLOOKUP(D156,Sheet2!A:C,2,false))</f>
        <v>#N/A</v>
      </c>
      <c r="S156" s="11" t="str">
        <f>IFERROR(VLOOKUP(A156,Sheet3!B:H,7,false),VLOOKUP(D156,Sheet2!A:C,3,false))</f>
        <v>#N/A</v>
      </c>
      <c r="T156" s="11" t="s">
        <v>1204</v>
      </c>
    </row>
    <row r="157">
      <c r="A157" s="4">
        <v>5.0418601E7</v>
      </c>
      <c r="B157" s="9">
        <v>11.0</v>
      </c>
      <c r="C157" s="9">
        <v>4.45</v>
      </c>
      <c r="D157" s="1" t="s">
        <v>369</v>
      </c>
      <c r="E157" s="1" t="s">
        <v>467</v>
      </c>
      <c r="F157" s="6">
        <v>999.0</v>
      </c>
      <c r="G157" s="6">
        <v>999.0</v>
      </c>
      <c r="H157" s="1" t="s">
        <v>468</v>
      </c>
      <c r="I157" s="1" t="s">
        <v>371</v>
      </c>
      <c r="J157" s="1" t="s">
        <v>31</v>
      </c>
      <c r="K157" s="1" t="s">
        <v>373</v>
      </c>
      <c r="L157" s="7"/>
      <c r="M157" s="7"/>
      <c r="N157" s="7"/>
      <c r="O157" s="7"/>
      <c r="P157" s="7"/>
      <c r="Q157" s="7"/>
      <c r="R157" s="11" t="str">
        <f>IFERROR(VLOOKUP(A157,Sheet3!B:H,6,false),VLOOKUP(D157,Sheet2!A:C,2,false))</f>
        <v>#N/A</v>
      </c>
      <c r="S157" s="11" t="str">
        <f>IFERROR(VLOOKUP(A157,Sheet3!B:H,7,false),VLOOKUP(D157,Sheet2!A:C,3,false))</f>
        <v>#N/A</v>
      </c>
      <c r="T157" s="11" t="s">
        <v>1205</v>
      </c>
    </row>
    <row r="158">
      <c r="A158" s="4">
        <v>5.0500543E7</v>
      </c>
      <c r="B158" s="9">
        <v>81.0</v>
      </c>
      <c r="C158" s="9">
        <v>4.23</v>
      </c>
      <c r="D158" s="1" t="s">
        <v>28</v>
      </c>
      <c r="E158" s="1" t="s">
        <v>469</v>
      </c>
      <c r="F158" s="6">
        <v>999.0</v>
      </c>
      <c r="G158" s="6">
        <v>1249.0</v>
      </c>
      <c r="H158" s="1" t="s">
        <v>30</v>
      </c>
      <c r="I158" s="7"/>
      <c r="J158" s="1" t="s">
        <v>31</v>
      </c>
      <c r="K158" s="1" t="s">
        <v>470</v>
      </c>
      <c r="L158" s="1" t="s">
        <v>33</v>
      </c>
      <c r="M158" s="1" t="s">
        <v>34</v>
      </c>
      <c r="N158" s="1" t="s">
        <v>35</v>
      </c>
      <c r="O158" s="1" t="s">
        <v>34</v>
      </c>
      <c r="P158" s="1" t="s">
        <v>36</v>
      </c>
      <c r="Q158" s="1" t="s">
        <v>37</v>
      </c>
      <c r="R158" s="8" t="str">
        <f>IFERROR(VLOOKUP(A158,Sheet3!B:H,6,false),VLOOKUP(D158,Sheet2!A:C,2,false))</f>
        <v>https://assets.roomstogo.com/product/casper-cloud-one-twin-xl-mattress_50000543_image-item</v>
      </c>
      <c r="S158" s="8" t="str">
        <f>IFERROR(VLOOKUP(A158,Sheet3!B:H,7,false),VLOOKUP(D158,Sheet2!A:C,3,false))</f>
        <v>https://assets.roomstogo.com/product/casper-cloud-one-twin-xl-mattress_50000543_alt-image-1</v>
      </c>
      <c r="T158" s="11" t="s">
        <v>1206</v>
      </c>
    </row>
    <row r="159">
      <c r="A159" s="4">
        <v>5.0500579E7</v>
      </c>
      <c r="B159" s="9">
        <v>807.0</v>
      </c>
      <c r="C159" s="9">
        <v>4.46</v>
      </c>
      <c r="D159" s="1" t="s">
        <v>38</v>
      </c>
      <c r="E159" s="1" t="s">
        <v>473</v>
      </c>
      <c r="F159" s="6">
        <v>2075.0</v>
      </c>
      <c r="G159" s="6">
        <v>2595.0</v>
      </c>
      <c r="H159" s="1" t="s">
        <v>30</v>
      </c>
      <c r="I159" s="1" t="s">
        <v>40</v>
      </c>
      <c r="J159" s="1" t="s">
        <v>31</v>
      </c>
      <c r="K159" s="1" t="s">
        <v>470</v>
      </c>
      <c r="L159" s="1" t="s">
        <v>41</v>
      </c>
      <c r="M159" s="1" t="s">
        <v>34</v>
      </c>
      <c r="N159" s="1" t="s">
        <v>35</v>
      </c>
      <c r="O159" s="1" t="s">
        <v>34</v>
      </c>
      <c r="P159" s="1" t="s">
        <v>42</v>
      </c>
      <c r="Q159" s="1" t="s">
        <v>37</v>
      </c>
      <c r="R159" s="8" t="str">
        <f>IFERROR(VLOOKUP(A159,Sheet3!B:H,6,false),VLOOKUP(D159,Sheet2!A:C,2,false))</f>
        <v>https://assets.roomstogo.com/product/casper-snow-20-twin-xl-mattress_50000579_image-item</v>
      </c>
      <c r="S159" s="8" t="str">
        <f>IFERROR(VLOOKUP(A159,Sheet3!B:H,7,false),VLOOKUP(D159,Sheet2!A:C,3,false))</f>
        <v>https://assets.roomstogo.com/product/casper-snow-20-twin-xl-mattress_50000579_alt-image-1</v>
      </c>
      <c r="T159" s="11" t="s">
        <v>1207</v>
      </c>
    </row>
    <row r="160">
      <c r="A160" s="4">
        <v>5.0500581E7</v>
      </c>
      <c r="B160" s="9">
        <v>380.0</v>
      </c>
      <c r="C160" s="9">
        <v>4.42</v>
      </c>
      <c r="D160" s="1" t="s">
        <v>46</v>
      </c>
      <c r="E160" s="1" t="s">
        <v>474</v>
      </c>
      <c r="F160" s="6">
        <v>3195.0</v>
      </c>
      <c r="G160" s="6">
        <v>3995.0</v>
      </c>
      <c r="H160" s="1" t="s">
        <v>30</v>
      </c>
      <c r="I160" s="1" t="s">
        <v>48</v>
      </c>
      <c r="J160" s="1" t="s">
        <v>31</v>
      </c>
      <c r="K160" s="1" t="s">
        <v>470</v>
      </c>
      <c r="L160" s="1" t="s">
        <v>41</v>
      </c>
      <c r="M160" s="1" t="s">
        <v>42</v>
      </c>
      <c r="N160" s="1" t="s">
        <v>49</v>
      </c>
      <c r="O160" s="1" t="s">
        <v>34</v>
      </c>
      <c r="P160" s="1" t="s">
        <v>50</v>
      </c>
      <c r="Q160" s="1" t="s">
        <v>51</v>
      </c>
      <c r="R160" s="8" t="str">
        <f>IFERROR(VLOOKUP(A160,Sheet3!B:H,6,false),VLOOKUP(D160,Sheet2!A:C,2,false))</f>
        <v>https://assets.roomstogo.com/product/casper-snow-max-twin-xl-mattress_50000581_image-item</v>
      </c>
      <c r="S160" s="8" t="str">
        <f>IFERROR(VLOOKUP(A160,Sheet3!B:H,7,false),VLOOKUP(D160,Sheet2!A:C,3,false))</f>
        <v>https://assets.roomstogo.com/product/casper-snow-max-twin-xl-mattress_50000581_alt-image-1</v>
      </c>
      <c r="T160" s="11" t="s">
        <v>1208</v>
      </c>
    </row>
    <row r="161">
      <c r="A161" s="4">
        <v>5.0500682E7</v>
      </c>
      <c r="B161" s="9">
        <v>6.0</v>
      </c>
      <c r="C161" s="9">
        <v>3.67</v>
      </c>
      <c r="D161" s="1" t="s">
        <v>52</v>
      </c>
      <c r="E161" s="1" t="s">
        <v>475</v>
      </c>
      <c r="F161" s="6">
        <v>799.0</v>
      </c>
      <c r="G161" s="6">
        <v>899.0</v>
      </c>
      <c r="H161" s="1" t="s">
        <v>30</v>
      </c>
      <c r="I161" s="1" t="s">
        <v>244</v>
      </c>
      <c r="J161" s="1" t="s">
        <v>31</v>
      </c>
      <c r="K161" s="1" t="s">
        <v>470</v>
      </c>
      <c r="L161" s="1" t="s">
        <v>33</v>
      </c>
      <c r="M161" s="1" t="s">
        <v>36</v>
      </c>
      <c r="N161" s="1" t="s">
        <v>35</v>
      </c>
      <c r="O161" s="1" t="s">
        <v>36</v>
      </c>
      <c r="P161" s="1" t="s">
        <v>36</v>
      </c>
      <c r="Q161" s="1" t="s">
        <v>37</v>
      </c>
      <c r="R161" s="8" t="str">
        <f>IFERROR(VLOOKUP(A161,Sheet3!B:H,6,false),VLOOKUP(D161,Sheet2!A:C,2,false))</f>
        <v>https://assets.roomstogo.com/product/casper-onyx-20-twin-xl-mattress_50000682_image-item</v>
      </c>
      <c r="S161" s="8" t="str">
        <f>IFERROR(VLOOKUP(A161,Sheet3!B:H,7,false),VLOOKUP(D161,Sheet2!A:C,3,false))</f>
        <v>https://assets.roomstogo.com/product/casper-onyx-20-twin-xl-mattress_50000682_alt-image-1</v>
      </c>
      <c r="T161" s="11" t="s">
        <v>1209</v>
      </c>
    </row>
    <row r="162">
      <c r="A162" s="4">
        <v>5.0501773E7</v>
      </c>
      <c r="B162" s="5"/>
      <c r="C162" s="5"/>
      <c r="D162" s="1" t="s">
        <v>56</v>
      </c>
      <c r="E162" s="1" t="s">
        <v>476</v>
      </c>
      <c r="F162" s="6">
        <v>1277.0</v>
      </c>
      <c r="G162" s="6">
        <v>3699.0</v>
      </c>
      <c r="H162" s="1" t="s">
        <v>58</v>
      </c>
      <c r="I162" s="7"/>
      <c r="J162" s="7"/>
      <c r="K162" s="1" t="s">
        <v>470</v>
      </c>
      <c r="L162" s="1" t="s">
        <v>59</v>
      </c>
      <c r="M162" s="1" t="s">
        <v>42</v>
      </c>
      <c r="N162" s="1" t="s">
        <v>35</v>
      </c>
      <c r="O162" s="1" t="s">
        <v>42</v>
      </c>
      <c r="P162" s="1" t="s">
        <v>34</v>
      </c>
      <c r="Q162" s="1" t="s">
        <v>37</v>
      </c>
      <c r="R162" s="8" t="str">
        <f>IFERROR(VLOOKUP(A162,Sheet3!B:H,6,false),VLOOKUP(D162,Sheet2!A:C,2,false))</f>
        <v>https://assets.roomstogo.com/product/kingsdown-smart-match-20-twin-xl-mattress_50001773_image-item</v>
      </c>
      <c r="S162" s="8" t="str">
        <f>IFERROR(VLOOKUP(A162,Sheet3!B:H,7,false),VLOOKUP(D162,Sheet2!A:C,3,false))</f>
        <v>https://assets.roomstogo.com/product/kingsdown-smart-match-20-twin-xl-mattress_50001773_alt-image-1</v>
      </c>
      <c r="T162" s="11" t="s">
        <v>1210</v>
      </c>
    </row>
    <row r="163">
      <c r="A163" s="4">
        <v>5.050746E7</v>
      </c>
      <c r="B163" s="9">
        <v>346.0</v>
      </c>
      <c r="C163" s="9">
        <v>4.43</v>
      </c>
      <c r="D163" s="1" t="s">
        <v>62</v>
      </c>
      <c r="E163" s="1" t="s">
        <v>477</v>
      </c>
      <c r="F163" s="6">
        <v>2199.0</v>
      </c>
      <c r="G163" s="6">
        <v>2199.0</v>
      </c>
      <c r="H163" s="1" t="s">
        <v>64</v>
      </c>
      <c r="I163" s="1" t="s">
        <v>65</v>
      </c>
      <c r="J163" s="1" t="s">
        <v>31</v>
      </c>
      <c r="K163" s="1" t="s">
        <v>470</v>
      </c>
      <c r="L163" s="1" t="s">
        <v>33</v>
      </c>
      <c r="M163" s="1" t="s">
        <v>42</v>
      </c>
      <c r="N163" s="1" t="s">
        <v>35</v>
      </c>
      <c r="O163" s="1" t="s">
        <v>42</v>
      </c>
      <c r="P163" s="1" t="s">
        <v>42</v>
      </c>
      <c r="Q163" s="1" t="s">
        <v>37</v>
      </c>
      <c r="R163" s="8" t="str">
        <f>IFERROR(VLOOKUP(A163,Sheet3!B:H,6,false),VLOOKUP(D163,Sheet2!A:C,2,false))</f>
        <v>https://assets.roomstogo.com/product/tempur-pedic-adapt-20-medium-twin-xl-mattress_50007460_image-item</v>
      </c>
      <c r="S163" s="8" t="str">
        <f>IFERROR(VLOOKUP(A163,Sheet3!B:H,7,false),VLOOKUP(D163,Sheet2!A:C,3,false))</f>
        <v>https://assets.roomstogo.com/product/tempur-pedic-adapt-20-medium-twin-xl-mattress_50007460_alt-image-1</v>
      </c>
      <c r="T163" s="11" t="s">
        <v>1211</v>
      </c>
    </row>
    <row r="164">
      <c r="A164" s="4">
        <v>5.0507472E7</v>
      </c>
      <c r="B164" s="9">
        <v>2587.0</v>
      </c>
      <c r="C164" s="9">
        <v>4.2</v>
      </c>
      <c r="D164" s="1" t="s">
        <v>68</v>
      </c>
      <c r="E164" s="1" t="s">
        <v>478</v>
      </c>
      <c r="F164" s="6">
        <v>2499.0</v>
      </c>
      <c r="G164" s="6">
        <v>2499.0</v>
      </c>
      <c r="H164" s="1" t="s">
        <v>64</v>
      </c>
      <c r="I164" s="1" t="s">
        <v>70</v>
      </c>
      <c r="J164" s="1" t="s">
        <v>31</v>
      </c>
      <c r="K164" s="1" t="s">
        <v>470</v>
      </c>
      <c r="L164" s="1" t="s">
        <v>41</v>
      </c>
      <c r="M164" s="1" t="s">
        <v>42</v>
      </c>
      <c r="N164" s="1" t="s">
        <v>35</v>
      </c>
      <c r="O164" s="1" t="s">
        <v>42</v>
      </c>
      <c r="P164" s="1" t="s">
        <v>42</v>
      </c>
      <c r="Q164" s="1" t="s">
        <v>37</v>
      </c>
      <c r="R164" s="8" t="str">
        <f>IFERROR(VLOOKUP(A164,Sheet3!B:H,6,false),VLOOKUP(D164,Sheet2!A:C,2,false))</f>
        <v>https://assets.roomstogo.com/product/tempur-pedic-adapt-20-medium-hybrid-twin-xl-mattress_50007472_image-item</v>
      </c>
      <c r="S164" s="8" t="str">
        <f>IFERROR(VLOOKUP(A164,Sheet3!B:H,7,false),VLOOKUP(D164,Sheet2!A:C,3,false))</f>
        <v>https://assets.roomstogo.com/product/tempur-pedic-adapt-20-medium-hybrid-twin-xl-mattress_50007472_alt-image-1</v>
      </c>
      <c r="T164" s="11" t="s">
        <v>1212</v>
      </c>
    </row>
    <row r="165">
      <c r="A165" s="4">
        <v>5.0507484E7</v>
      </c>
      <c r="B165" s="9">
        <v>245.0</v>
      </c>
      <c r="C165" s="9">
        <v>4.62</v>
      </c>
      <c r="D165" s="1" t="s">
        <v>73</v>
      </c>
      <c r="E165" s="1" t="s">
        <v>479</v>
      </c>
      <c r="F165" s="6">
        <v>3399.0</v>
      </c>
      <c r="G165" s="6">
        <v>3399.0</v>
      </c>
      <c r="H165" s="1" t="s">
        <v>64</v>
      </c>
      <c r="I165" s="1" t="s">
        <v>75</v>
      </c>
      <c r="J165" s="1" t="s">
        <v>31</v>
      </c>
      <c r="K165" s="1" t="s">
        <v>470</v>
      </c>
      <c r="L165" s="1" t="s">
        <v>33</v>
      </c>
      <c r="M165" s="1" t="s">
        <v>42</v>
      </c>
      <c r="N165" s="1" t="s">
        <v>76</v>
      </c>
      <c r="O165" s="1" t="s">
        <v>50</v>
      </c>
      <c r="P165" s="1" t="s">
        <v>42</v>
      </c>
      <c r="Q165" s="1" t="s">
        <v>77</v>
      </c>
      <c r="R165" s="8" t="str">
        <f>IFERROR(VLOOKUP(A165,Sheet3!B:H,6,false),VLOOKUP(D165,Sheet2!A:C,2,false))</f>
        <v>https://assets.roomstogo.com/product/tempur-pedic-proadapt-20-firm-twin-xl-mattress_50007484_image-item</v>
      </c>
      <c r="S165" s="8" t="str">
        <f>IFERROR(VLOOKUP(A165,Sheet3!B:H,7,false),VLOOKUP(D165,Sheet2!A:C,3,false))</f>
        <v>https://assets.roomstogo.com/product/tempur-pedic-proadapt-20-firm-twin-xl-mattress_50007484_alt-image-1</v>
      </c>
      <c r="T165" s="11" t="s">
        <v>1213</v>
      </c>
    </row>
    <row r="166">
      <c r="A166" s="4">
        <v>5.0507511E7</v>
      </c>
      <c r="B166" s="9">
        <v>306.0</v>
      </c>
      <c r="C166" s="9">
        <v>4.48</v>
      </c>
      <c r="D166" s="1" t="s">
        <v>80</v>
      </c>
      <c r="E166" s="1" t="s">
        <v>480</v>
      </c>
      <c r="F166" s="6">
        <v>4399.0</v>
      </c>
      <c r="G166" s="6">
        <v>4399.0</v>
      </c>
      <c r="H166" s="1" t="s">
        <v>64</v>
      </c>
      <c r="I166" s="1" t="s">
        <v>82</v>
      </c>
      <c r="J166" s="1" t="s">
        <v>31</v>
      </c>
      <c r="K166" s="1" t="s">
        <v>470</v>
      </c>
      <c r="L166" s="1" t="s">
        <v>41</v>
      </c>
      <c r="M166" s="1" t="s">
        <v>42</v>
      </c>
      <c r="N166" s="1" t="s">
        <v>35</v>
      </c>
      <c r="O166" s="1" t="s">
        <v>50</v>
      </c>
      <c r="P166" s="1" t="s">
        <v>50</v>
      </c>
      <c r="Q166" s="1" t="s">
        <v>37</v>
      </c>
      <c r="R166" s="8" t="str">
        <f>IFERROR(VLOOKUP(A166,Sheet3!B:H,6,false),VLOOKUP(D166,Sheet2!A:C,2,false))</f>
        <v>https://assets.roomstogo.com/product/tempur-pedic-probreeze-20-medium-hybrid-twin-xl-mattress_50007511_image-item</v>
      </c>
      <c r="S166" s="8" t="str">
        <f>IFERROR(VLOOKUP(A166,Sheet3!B:H,7,false),VLOOKUP(D166,Sheet2!A:C,3,false))</f>
        <v>https://assets.roomstogo.com/product/tempur-pedic-probreeze-20-medium-hybrid-twin-xl-mattress_50007511_image-item</v>
      </c>
      <c r="T166" s="11" t="s">
        <v>1214</v>
      </c>
    </row>
    <row r="167">
      <c r="A167" s="4">
        <v>5.0507523E7</v>
      </c>
      <c r="B167" s="9">
        <v>5219.0</v>
      </c>
      <c r="C167" s="9">
        <v>4.27</v>
      </c>
      <c r="D167" s="1" t="s">
        <v>85</v>
      </c>
      <c r="E167" s="1" t="s">
        <v>481</v>
      </c>
      <c r="F167" s="6">
        <v>3399.0</v>
      </c>
      <c r="G167" s="6">
        <v>3399.0</v>
      </c>
      <c r="H167" s="1" t="s">
        <v>64</v>
      </c>
      <c r="I167" s="1" t="s">
        <v>75</v>
      </c>
      <c r="J167" s="1" t="s">
        <v>31</v>
      </c>
      <c r="K167" s="1" t="s">
        <v>470</v>
      </c>
      <c r="L167" s="1" t="s">
        <v>33</v>
      </c>
      <c r="M167" s="1" t="s">
        <v>42</v>
      </c>
      <c r="N167" s="1" t="s">
        <v>35</v>
      </c>
      <c r="O167" s="1" t="s">
        <v>50</v>
      </c>
      <c r="P167" s="1" t="s">
        <v>42</v>
      </c>
      <c r="Q167" s="1" t="s">
        <v>37</v>
      </c>
      <c r="R167" s="8" t="str">
        <f>IFERROR(VLOOKUP(A167,Sheet3!B:H,6,false),VLOOKUP(D167,Sheet2!A:C,2,false))</f>
        <v>https://assets.roomstogo.com/product/tempur-pedic-proadapt-20-medium-twin-xl-mattress_50007523_image-item</v>
      </c>
      <c r="S167" s="8" t="str">
        <f>IFERROR(VLOOKUP(A167,Sheet3!B:H,7,false),VLOOKUP(D167,Sheet2!A:C,3,false))</f>
        <v>https://assets.roomstogo.com/product/tempur-pedic-proadapt-20-medium-twin-xl-mattress_50007523_alt-image-1</v>
      </c>
      <c r="T167" s="11" t="s">
        <v>1215</v>
      </c>
    </row>
    <row r="168">
      <c r="A168" s="4">
        <v>5.0507535E7</v>
      </c>
      <c r="B168" s="9">
        <v>77.0</v>
      </c>
      <c r="C168" s="9">
        <v>4.19</v>
      </c>
      <c r="D168" s="1" t="s">
        <v>89</v>
      </c>
      <c r="E168" s="1" t="s">
        <v>482</v>
      </c>
      <c r="F168" s="6">
        <v>3399.0</v>
      </c>
      <c r="G168" s="6">
        <v>3399.0</v>
      </c>
      <c r="H168" s="1" t="s">
        <v>64</v>
      </c>
      <c r="I168" s="1" t="s">
        <v>91</v>
      </c>
      <c r="J168" s="1" t="s">
        <v>31</v>
      </c>
      <c r="K168" s="1" t="s">
        <v>470</v>
      </c>
      <c r="L168" s="1" t="s">
        <v>33</v>
      </c>
      <c r="M168" s="1" t="s">
        <v>50</v>
      </c>
      <c r="N168" s="1" t="s">
        <v>49</v>
      </c>
      <c r="O168" s="1" t="s">
        <v>50</v>
      </c>
      <c r="P168" s="1" t="s">
        <v>42</v>
      </c>
      <c r="Q168" s="1" t="s">
        <v>51</v>
      </c>
      <c r="R168" s="8" t="str">
        <f>IFERROR(VLOOKUP(A168,Sheet3!B:H,6,false),VLOOKUP(D168,Sheet2!A:C,2,false))</f>
        <v>https://assets.roomstogo.com/product/tempur-pedic-proadapt-20-soft-twin-xl-mattress_50007535_image-item</v>
      </c>
      <c r="S168" s="8" t="str">
        <f>IFERROR(VLOOKUP(A168,Sheet3!B:H,7,false),VLOOKUP(D168,Sheet2!A:C,3,false))</f>
        <v>https://assets.roomstogo.com/product/tempur-pedic-proadapt-20-soft-twin-xl-mattress_50007535_alt-image-1</v>
      </c>
      <c r="T168" s="11" t="s">
        <v>1216</v>
      </c>
    </row>
    <row r="169">
      <c r="A169" s="4">
        <v>5.0507559E7</v>
      </c>
      <c r="B169" s="9">
        <v>975.0</v>
      </c>
      <c r="C169" s="9">
        <v>4.38</v>
      </c>
      <c r="D169" s="1" t="s">
        <v>94</v>
      </c>
      <c r="E169" s="1" t="s">
        <v>483</v>
      </c>
      <c r="F169" s="6">
        <v>3399.0</v>
      </c>
      <c r="G169" s="6">
        <v>3399.0</v>
      </c>
      <c r="H169" s="1" t="s">
        <v>64</v>
      </c>
      <c r="I169" s="1" t="s">
        <v>390</v>
      </c>
      <c r="J169" s="1" t="s">
        <v>31</v>
      </c>
      <c r="K169" s="1" t="s">
        <v>470</v>
      </c>
      <c r="L169" s="1" t="s">
        <v>41</v>
      </c>
      <c r="M169" s="1" t="s">
        <v>42</v>
      </c>
      <c r="N169" s="1" t="s">
        <v>35</v>
      </c>
      <c r="O169" s="1" t="s">
        <v>50</v>
      </c>
      <c r="P169" s="1" t="s">
        <v>42</v>
      </c>
      <c r="Q169" s="1" t="s">
        <v>37</v>
      </c>
      <c r="R169" s="8" t="str">
        <f>IFERROR(VLOOKUP(A169,Sheet3!B:H,6,false),VLOOKUP(D169,Sheet2!A:C,2,false))</f>
        <v>https://assets.roomstogo.com/product/tempur-pedic-proadapt-20-medium-hybrid-twin-xl-mattress_50007559_image-item</v>
      </c>
      <c r="S169" s="8" t="str">
        <f>IFERROR(VLOOKUP(A169,Sheet3!B:H,7,false),VLOOKUP(D169,Sheet2!A:C,3,false))</f>
        <v>https://assets.roomstogo.com/product/tempur-pedic-proadapt-20-medium-hybrid-twin-xl-mattress_50007559_alt-image-1</v>
      </c>
      <c r="T169" s="11" t="s">
        <v>1217</v>
      </c>
    </row>
    <row r="170">
      <c r="A170" s="4">
        <v>5.0507561E7</v>
      </c>
      <c r="B170" s="5"/>
      <c r="C170" s="5"/>
      <c r="D170" s="1" t="s">
        <v>99</v>
      </c>
      <c r="E170" s="1" t="s">
        <v>484</v>
      </c>
      <c r="F170" s="6">
        <v>4699.0</v>
      </c>
      <c r="G170" s="6">
        <v>4699.0</v>
      </c>
      <c r="H170" s="1" t="s">
        <v>64</v>
      </c>
      <c r="I170" s="1" t="s">
        <v>101</v>
      </c>
      <c r="J170" s="1" t="s">
        <v>31</v>
      </c>
      <c r="K170" s="1" t="s">
        <v>470</v>
      </c>
      <c r="L170" s="1" t="s">
        <v>33</v>
      </c>
      <c r="M170" s="1" t="s">
        <v>50</v>
      </c>
      <c r="N170" s="1" t="s">
        <v>49</v>
      </c>
      <c r="O170" s="1" t="s">
        <v>50</v>
      </c>
      <c r="P170" s="1" t="s">
        <v>42</v>
      </c>
      <c r="Q170" s="1" t="s">
        <v>51</v>
      </c>
      <c r="R170" s="8" t="str">
        <f>IFERROR(VLOOKUP(A170,Sheet3!B:H,6,false),VLOOKUP(D170,Sheet2!A:C,2,false))</f>
        <v>https://assets.roomstogo.com/product/tempur-pedic-luxeadapt-20-soft-twin-xl-mattress_50007561_image-item</v>
      </c>
      <c r="S170" s="8" t="str">
        <f>IFERROR(VLOOKUP(A170,Sheet3!B:H,7,false),VLOOKUP(D170,Sheet2!A:C,3,false))</f>
        <v>https://assets.roomstogo.com/product/tempur-pedic-luxeadapt-20-soft-twin-xl-mattress_50007561_alt-image-1</v>
      </c>
      <c r="T170" s="11" t="s">
        <v>1218</v>
      </c>
    </row>
    <row r="171">
      <c r="A171" s="4">
        <v>5.0507585E7</v>
      </c>
      <c r="B171" s="9">
        <v>129.0</v>
      </c>
      <c r="C171" s="9">
        <v>4.62</v>
      </c>
      <c r="D171" s="1" t="s">
        <v>104</v>
      </c>
      <c r="E171" s="1" t="s">
        <v>485</v>
      </c>
      <c r="F171" s="6">
        <v>4699.0</v>
      </c>
      <c r="G171" s="6">
        <v>4699.0</v>
      </c>
      <c r="H171" s="1" t="s">
        <v>64</v>
      </c>
      <c r="I171" s="1" t="s">
        <v>106</v>
      </c>
      <c r="J171" s="1" t="s">
        <v>31</v>
      </c>
      <c r="K171" s="1" t="s">
        <v>470</v>
      </c>
      <c r="L171" s="1" t="s">
        <v>41</v>
      </c>
      <c r="M171" s="1" t="s">
        <v>50</v>
      </c>
      <c r="N171" s="1" t="s">
        <v>35</v>
      </c>
      <c r="O171" s="1" t="s">
        <v>50</v>
      </c>
      <c r="P171" s="1" t="s">
        <v>42</v>
      </c>
      <c r="Q171" s="1" t="s">
        <v>37</v>
      </c>
      <c r="R171" s="8" t="str">
        <f>IFERROR(VLOOKUP(A171,Sheet3!B:H,6,false),VLOOKUP(D171,Sheet2!A:C,2,false))</f>
        <v>https://assets.roomstogo.com/product/tempur-pedic-luxeadapt-20-medium-hybrid-twin-xl-mattress_50007585_image-item</v>
      </c>
      <c r="S171" s="8" t="str">
        <f>IFERROR(VLOOKUP(A171,Sheet3!B:H,7,false),VLOOKUP(D171,Sheet2!A:C,3,false))</f>
        <v>https://assets.roomstogo.com/product/tempur-pedic-luxeadapt-20-medium-hybrid-twin-xl-mattress_50007585_alt-image-1</v>
      </c>
      <c r="T171" s="11" t="s">
        <v>1219</v>
      </c>
    </row>
    <row r="172">
      <c r="A172" s="4">
        <v>5.0507624E7</v>
      </c>
      <c r="B172" s="9">
        <v>440.0</v>
      </c>
      <c r="C172" s="9">
        <v>4.54</v>
      </c>
      <c r="D172" s="1" t="s">
        <v>109</v>
      </c>
      <c r="E172" s="1" t="s">
        <v>486</v>
      </c>
      <c r="F172" s="6">
        <v>5699.0</v>
      </c>
      <c r="G172" s="6">
        <v>5699.0</v>
      </c>
      <c r="H172" s="1" t="s">
        <v>64</v>
      </c>
      <c r="I172" s="1" t="s">
        <v>111</v>
      </c>
      <c r="J172" s="1" t="s">
        <v>31</v>
      </c>
      <c r="K172" s="1" t="s">
        <v>470</v>
      </c>
      <c r="L172" s="1" t="s">
        <v>33</v>
      </c>
      <c r="M172" s="1" t="s">
        <v>50</v>
      </c>
      <c r="N172" s="1" t="s">
        <v>76</v>
      </c>
      <c r="O172" s="1" t="s">
        <v>50</v>
      </c>
      <c r="P172" s="1" t="s">
        <v>50</v>
      </c>
      <c r="Q172" s="1" t="s">
        <v>77</v>
      </c>
      <c r="R172" s="8" t="str">
        <f>IFERROR(VLOOKUP(A172,Sheet3!B:H,6,false),VLOOKUP(D172,Sheet2!A:C,2,false))</f>
        <v>https://assets.roomstogo.com/product/tempur-pedic-luxebreeze-20-firm-twin-xl-mattress_50007624_image-item</v>
      </c>
      <c r="S172" s="8" t="str">
        <f>IFERROR(VLOOKUP(A172,Sheet3!B:H,7,false),VLOOKUP(D172,Sheet2!A:C,3,false))</f>
        <v>https://assets.roomstogo.com/product/tempur-pedic-luxebreeze-20-firm-twin-xl-mattress_50007624_image-item</v>
      </c>
      <c r="T172" s="11" t="s">
        <v>1220</v>
      </c>
    </row>
    <row r="173">
      <c r="A173" s="4">
        <v>5.050987E7</v>
      </c>
      <c r="B173" s="9">
        <v>10.0</v>
      </c>
      <c r="C173" s="9">
        <v>4.0</v>
      </c>
      <c r="D173" s="1" t="s">
        <v>112</v>
      </c>
      <c r="E173" s="1" t="s">
        <v>487</v>
      </c>
      <c r="F173" s="6">
        <v>997.0</v>
      </c>
      <c r="G173" s="6">
        <v>1299.0</v>
      </c>
      <c r="H173" s="1" t="s">
        <v>114</v>
      </c>
      <c r="I173" s="7"/>
      <c r="J173" s="1" t="s">
        <v>31</v>
      </c>
      <c r="K173" s="1" t="s">
        <v>470</v>
      </c>
      <c r="L173" s="1" t="s">
        <v>41</v>
      </c>
      <c r="M173" s="1" t="s">
        <v>34</v>
      </c>
      <c r="N173" s="1" t="s">
        <v>35</v>
      </c>
      <c r="O173" s="1" t="s">
        <v>34</v>
      </c>
      <c r="P173" s="1" t="s">
        <v>34</v>
      </c>
      <c r="Q173" s="1" t="s">
        <v>37</v>
      </c>
      <c r="R173" s="8" t="str">
        <f>IFERROR(VLOOKUP(A173,Sheet3!B:H,6,false),VLOOKUP(D173,Sheet2!A:C,2,false))</f>
        <v>https://assets.roomstogo.com/product/tuft-needle-stitch-tn31-twin-xl-mattress_50009870_image-item</v>
      </c>
      <c r="S173" s="8" t="str">
        <f>IFERROR(VLOOKUP(A173,Sheet3!B:H,7,false),VLOOKUP(D173,Sheet2!A:C,3,false))</f>
        <v>https://assets.roomstogo.com/product/tuft-needle-stitch-tn31-twin-xl-mattress_50009870_alt-image-1</v>
      </c>
      <c r="T173" s="11" t="s">
        <v>1221</v>
      </c>
    </row>
    <row r="174">
      <c r="A174" s="4">
        <v>5.0509882E7</v>
      </c>
      <c r="B174" s="9">
        <v>11.0</v>
      </c>
      <c r="C174" s="9">
        <v>3.91</v>
      </c>
      <c r="D174" s="1" t="s">
        <v>115</v>
      </c>
      <c r="E174" s="1" t="s">
        <v>488</v>
      </c>
      <c r="F174" s="6">
        <v>1095.0</v>
      </c>
      <c r="G174" s="6">
        <v>1799.0</v>
      </c>
      <c r="H174" s="1" t="s">
        <v>114</v>
      </c>
      <c r="I174" s="7"/>
      <c r="J174" s="1" t="s">
        <v>31</v>
      </c>
      <c r="K174" s="1" t="s">
        <v>470</v>
      </c>
      <c r="L174" s="1" t="s">
        <v>41</v>
      </c>
      <c r="M174" s="1" t="s">
        <v>42</v>
      </c>
      <c r="N174" s="1" t="s">
        <v>76</v>
      </c>
      <c r="O174" s="1" t="s">
        <v>42</v>
      </c>
      <c r="P174" s="1" t="s">
        <v>42</v>
      </c>
      <c r="Q174" s="1" t="s">
        <v>77</v>
      </c>
      <c r="R174" s="8" t="str">
        <f>IFERROR(VLOOKUP(A174,Sheet3!B:H,6,false),VLOOKUP(D174,Sheet2!A:C,2,false))</f>
        <v>https://assets.roomstogo.com/product/tuft-needle-stitch-tn51-twin-xl-mattress_50009882_image-item</v>
      </c>
      <c r="S174" s="8" t="str">
        <f>IFERROR(VLOOKUP(A174,Sheet3!B:H,7,false),VLOOKUP(D174,Sheet2!A:C,3,false))</f>
        <v>https://assets.roomstogo.com/product/tuft-needle-stitch-tn51-twin-xl-mattress_50009882_alt-image-1</v>
      </c>
      <c r="T174" s="11" t="s">
        <v>1222</v>
      </c>
    </row>
    <row r="175">
      <c r="A175" s="4">
        <v>5.0509907E7</v>
      </c>
      <c r="B175" s="5"/>
      <c r="C175" s="5"/>
      <c r="D175" s="1" t="s">
        <v>117</v>
      </c>
      <c r="E175" s="1" t="s">
        <v>489</v>
      </c>
      <c r="F175" s="6">
        <v>1997.0</v>
      </c>
      <c r="G175" s="6">
        <v>2499.0</v>
      </c>
      <c r="H175" s="1" t="s">
        <v>114</v>
      </c>
      <c r="I175" s="7"/>
      <c r="J175" s="1" t="s">
        <v>31</v>
      </c>
      <c r="K175" s="1" t="s">
        <v>470</v>
      </c>
      <c r="L175" s="1" t="s">
        <v>41</v>
      </c>
      <c r="M175" s="1" t="s">
        <v>50</v>
      </c>
      <c r="N175" s="1" t="s">
        <v>49</v>
      </c>
      <c r="O175" s="1" t="s">
        <v>42</v>
      </c>
      <c r="P175" s="1" t="s">
        <v>42</v>
      </c>
      <c r="Q175" s="1" t="s">
        <v>51</v>
      </c>
      <c r="R175" s="8" t="str">
        <f>IFERROR(VLOOKUP(A175,Sheet3!B:H,6,false),VLOOKUP(D175,Sheet2!A:C,2,false))</f>
        <v>https://assets.roomstogo.com/product/tuft-needle-stitch-tn91-twin-xl-mattress_50009907_image-item</v>
      </c>
      <c r="S175" s="8" t="str">
        <f>IFERROR(VLOOKUP(A175,Sheet3!B:H,7,false),VLOOKUP(D175,Sheet2!A:C,3,false))</f>
        <v>https://assets.roomstogo.com/product/tuft-needle-stitch-tn91-twin-xl-mattress_50009907_alt-image-1</v>
      </c>
      <c r="T175" s="11" t="s">
        <v>1223</v>
      </c>
    </row>
    <row r="176">
      <c r="A176" s="4">
        <v>5.0509933E7</v>
      </c>
      <c r="B176" s="9">
        <v>9.0</v>
      </c>
      <c r="C176" s="9">
        <v>4.89</v>
      </c>
      <c r="D176" s="1" t="s">
        <v>119</v>
      </c>
      <c r="E176" s="1" t="s">
        <v>490</v>
      </c>
      <c r="F176" s="6">
        <v>777.0</v>
      </c>
      <c r="G176" s="6">
        <v>899.0</v>
      </c>
      <c r="H176" s="1" t="s">
        <v>114</v>
      </c>
      <c r="I176" s="1" t="s">
        <v>121</v>
      </c>
      <c r="J176" s="1" t="s">
        <v>31</v>
      </c>
      <c r="K176" s="1" t="s">
        <v>470</v>
      </c>
      <c r="L176" s="1" t="s">
        <v>33</v>
      </c>
      <c r="M176" s="1" t="s">
        <v>36</v>
      </c>
      <c r="N176" s="1" t="s">
        <v>76</v>
      </c>
      <c r="O176" s="1" t="s">
        <v>36</v>
      </c>
      <c r="P176" s="1" t="s">
        <v>36</v>
      </c>
      <c r="Q176" s="1" t="s">
        <v>77</v>
      </c>
      <c r="R176" s="8" t="str">
        <f>IFERROR(VLOOKUP(A176,Sheet3!B:H,6,false),VLOOKUP(D176,Sheet2!A:C,2,false))</f>
        <v>https://assets.roomstogo.com/product/tuft-needle-tn1-twin-xl-mattress_50009933_image-item</v>
      </c>
      <c r="S176" s="8" t="str">
        <f>IFERROR(VLOOKUP(A176,Sheet3!B:H,7,false),VLOOKUP(D176,Sheet2!A:C,3,false))</f>
        <v>https://assets.roomstogo.com/product/tuft-needle-tn1-twin-xl-mattress_50009933_alt-image-1</v>
      </c>
      <c r="T176" s="11" t="s">
        <v>1224</v>
      </c>
    </row>
    <row r="177">
      <c r="A177" s="4">
        <v>5.051057E7</v>
      </c>
      <c r="B177" s="9">
        <v>8.0</v>
      </c>
      <c r="C177" s="9">
        <v>4.88</v>
      </c>
      <c r="D177" s="1" t="s">
        <v>122</v>
      </c>
      <c r="E177" s="1" t="s">
        <v>491</v>
      </c>
      <c r="F177" s="6">
        <v>497.0</v>
      </c>
      <c r="G177" s="6">
        <v>999.0</v>
      </c>
      <c r="H177" s="1" t="s">
        <v>124</v>
      </c>
      <c r="I177" s="1" t="s">
        <v>492</v>
      </c>
      <c r="J177" s="1" t="s">
        <v>31</v>
      </c>
      <c r="K177" s="1" t="s">
        <v>470</v>
      </c>
      <c r="L177" s="1" t="s">
        <v>33</v>
      </c>
      <c r="M177" s="1" t="s">
        <v>34</v>
      </c>
      <c r="N177" s="1" t="s">
        <v>35</v>
      </c>
      <c r="O177" s="1" t="s">
        <v>34</v>
      </c>
      <c r="P177" s="1" t="s">
        <v>34</v>
      </c>
      <c r="Q177" s="1" t="s">
        <v>37</v>
      </c>
      <c r="R177" s="8" t="str">
        <f>IFERROR(VLOOKUP(A177,Sheet3!B:H,6,false),VLOOKUP(D177,Sheet2!A:C,2,false))</f>
        <v>https://assets.roomstogo.com/product/molecule-core-twin-xl-mattress_50010570_image-item</v>
      </c>
      <c r="S177" s="8" t="str">
        <f>IFERROR(VLOOKUP(A177,Sheet3!B:H,7,false),VLOOKUP(D177,Sheet2!A:C,3,false))</f>
        <v>https://assets.roomstogo.com/product/molecule-core-twin-xl-mattress_50010570_alt-image-1</v>
      </c>
      <c r="T177" s="11" t="s">
        <v>1225</v>
      </c>
    </row>
    <row r="178">
      <c r="A178" s="4">
        <v>5.0510671E7</v>
      </c>
      <c r="B178" s="9">
        <v>192.0</v>
      </c>
      <c r="C178" s="9">
        <v>4.4</v>
      </c>
      <c r="D178" s="1" t="s">
        <v>127</v>
      </c>
      <c r="E178" s="1" t="s">
        <v>493</v>
      </c>
      <c r="F178" s="6">
        <v>795.0</v>
      </c>
      <c r="G178" s="6">
        <v>1099.99</v>
      </c>
      <c r="H178" s="1" t="s">
        <v>129</v>
      </c>
      <c r="I178" s="1" t="s">
        <v>130</v>
      </c>
      <c r="J178" s="1" t="s">
        <v>31</v>
      </c>
      <c r="K178" s="1" t="s">
        <v>470</v>
      </c>
      <c r="L178" s="1" t="s">
        <v>41</v>
      </c>
      <c r="M178" s="1" t="s">
        <v>34</v>
      </c>
      <c r="N178" s="1" t="s">
        <v>35</v>
      </c>
      <c r="O178" s="1" t="s">
        <v>34</v>
      </c>
      <c r="P178" s="1" t="s">
        <v>34</v>
      </c>
      <c r="Q178" s="1" t="s">
        <v>37</v>
      </c>
      <c r="R178" s="8" t="str">
        <f>IFERROR(VLOOKUP(A178,Sheet3!B:H,6,false),VLOOKUP(D178,Sheet2!A:C,2,false))</f>
        <v>https://assets.roomstogo.com/product/beautyrest-select-broad-peak-medium-hybrid-twin-xl-mattress_50010671_image-item</v>
      </c>
      <c r="S178" s="8" t="str">
        <f>IFERROR(VLOOKUP(A178,Sheet3!B:H,7,false),VLOOKUP(D178,Sheet2!A:C,3,false))</f>
        <v>https://assets.roomstogo.com/product/beautyrest-select-broad-peak-medium-hybrid-twin-xl-mattress_50010671_alt-image-1</v>
      </c>
      <c r="T178" s="11" t="s">
        <v>1226</v>
      </c>
    </row>
    <row r="179">
      <c r="A179" s="4">
        <v>5.0511053E7</v>
      </c>
      <c r="B179" s="5"/>
      <c r="C179" s="5"/>
      <c r="D179" s="1" t="s">
        <v>131</v>
      </c>
      <c r="E179" s="1" t="s">
        <v>494</v>
      </c>
      <c r="F179" s="6">
        <v>595.0</v>
      </c>
      <c r="G179" s="6">
        <v>699.99</v>
      </c>
      <c r="H179" s="1" t="s">
        <v>133</v>
      </c>
      <c r="I179" s="7"/>
      <c r="J179" s="1" t="s">
        <v>134</v>
      </c>
      <c r="K179" s="1" t="s">
        <v>470</v>
      </c>
      <c r="L179" s="1" t="s">
        <v>59</v>
      </c>
      <c r="M179" s="1" t="s">
        <v>36</v>
      </c>
      <c r="N179" s="1" t="s">
        <v>49</v>
      </c>
      <c r="O179" s="1" t="s">
        <v>42</v>
      </c>
      <c r="P179" s="1" t="s">
        <v>36</v>
      </c>
      <c r="Q179" s="1" t="s">
        <v>51</v>
      </c>
      <c r="R179" s="8" t="str">
        <f>IFERROR(VLOOKUP(A179,Sheet3!B:H,6,false),VLOOKUP(D179,Sheet2!A:C,2,false))</f>
        <v>https://assets.roomstogo.com/product/tommy-bahama-bay-dreamer-twin-mattress_50111055_image-item</v>
      </c>
      <c r="S179" s="8" t="str">
        <f>IFERROR(VLOOKUP(A179,Sheet3!B:H,7,false),VLOOKUP(D179,Sheet2!A:C,3,false))</f>
        <v>https://assets.roomstogo.com/product/tommy-bahama-bay-dreamer-twin-mattress_50111055_alt-image-1</v>
      </c>
      <c r="T179" s="11" t="s">
        <v>1227</v>
      </c>
    </row>
    <row r="180">
      <c r="A180" s="4">
        <v>5.0511065E7</v>
      </c>
      <c r="B180" s="5"/>
      <c r="C180" s="5"/>
      <c r="D180" s="1" t="s">
        <v>135</v>
      </c>
      <c r="E180" s="1" t="s">
        <v>495</v>
      </c>
      <c r="F180" s="6">
        <v>645.0</v>
      </c>
      <c r="G180" s="6">
        <v>749.99</v>
      </c>
      <c r="H180" s="1" t="s">
        <v>133</v>
      </c>
      <c r="I180" s="7"/>
      <c r="J180" s="1" t="s">
        <v>134</v>
      </c>
      <c r="K180" s="1" t="s">
        <v>470</v>
      </c>
      <c r="L180" s="1" t="s">
        <v>41</v>
      </c>
      <c r="M180" s="1" t="s">
        <v>36</v>
      </c>
      <c r="N180" s="1" t="s">
        <v>76</v>
      </c>
      <c r="O180" s="1" t="s">
        <v>42</v>
      </c>
      <c r="P180" s="1" t="s">
        <v>36</v>
      </c>
      <c r="Q180" s="1" t="s">
        <v>77</v>
      </c>
      <c r="R180" s="8" t="str">
        <f>IFERROR(VLOOKUP(A180,Sheet3!B:H,6,false),VLOOKUP(D180,Sheet2!A:C,2,false))</f>
        <v>https://assets.roomstogo.com/product/tommy-bahama-make-waves-twin-mattress_50111067_image-item</v>
      </c>
      <c r="S180" s="8" t="str">
        <f>IFERROR(VLOOKUP(A180,Sheet3!B:H,7,false),VLOOKUP(D180,Sheet2!A:C,3,false))</f>
        <v>https://assets.roomstogo.com/product/tommy-bahama-make-waves-twin-mattress_50111067_alt-image-1</v>
      </c>
      <c r="T180" s="11" t="s">
        <v>1228</v>
      </c>
    </row>
    <row r="181">
      <c r="A181" s="4">
        <v>5.0511077E7</v>
      </c>
      <c r="B181" s="5"/>
      <c r="C181" s="5"/>
      <c r="D181" s="1" t="s">
        <v>137</v>
      </c>
      <c r="E181" s="1" t="s">
        <v>496</v>
      </c>
      <c r="F181" s="6">
        <v>745.0</v>
      </c>
      <c r="G181" s="6">
        <v>849.99</v>
      </c>
      <c r="H181" s="1" t="s">
        <v>133</v>
      </c>
      <c r="I181" s="7"/>
      <c r="J181" s="1" t="s">
        <v>134</v>
      </c>
      <c r="K181" s="1" t="s">
        <v>470</v>
      </c>
      <c r="L181" s="1" t="s">
        <v>59</v>
      </c>
      <c r="M181" s="1" t="s">
        <v>36</v>
      </c>
      <c r="N181" s="1" t="s">
        <v>35</v>
      </c>
      <c r="O181" s="1" t="s">
        <v>42</v>
      </c>
      <c r="P181" s="1" t="s">
        <v>36</v>
      </c>
      <c r="Q181" s="1" t="s">
        <v>37</v>
      </c>
      <c r="R181" s="8" t="str">
        <f>IFERROR(VLOOKUP(A181,Sheet3!B:H,6,false),VLOOKUP(D181,Sheet2!A:C,2,false))</f>
        <v>https://assets.roomstogo.com/product/tommy-bahama-seaside-serenity-twin-mattress_50111079_image-item</v>
      </c>
      <c r="S181" s="8" t="str">
        <f>IFERROR(VLOOKUP(A181,Sheet3!B:H,7,false),VLOOKUP(D181,Sheet2!A:C,3,false))</f>
        <v>https://assets.roomstogo.com/product/tommy-bahama-seaside-serenity-twin-mattress_50111079_alt-image-1</v>
      </c>
      <c r="T181" s="11" t="s">
        <v>1229</v>
      </c>
    </row>
    <row r="182">
      <c r="A182" s="4">
        <v>5.0511344E7</v>
      </c>
      <c r="B182" s="9">
        <v>10.0</v>
      </c>
      <c r="C182" s="9">
        <v>4.2</v>
      </c>
      <c r="D182" s="1" t="s">
        <v>141</v>
      </c>
      <c r="E182" s="1" t="s">
        <v>497</v>
      </c>
      <c r="F182" s="6">
        <v>697.0</v>
      </c>
      <c r="G182" s="6">
        <v>899.99</v>
      </c>
      <c r="H182" s="1" t="s">
        <v>143</v>
      </c>
      <c r="I182" s="7"/>
      <c r="J182" s="1" t="s">
        <v>31</v>
      </c>
      <c r="K182" s="1" t="s">
        <v>470</v>
      </c>
      <c r="L182" s="1" t="s">
        <v>59</v>
      </c>
      <c r="M182" s="1" t="s">
        <v>36</v>
      </c>
      <c r="N182" s="1" t="s">
        <v>76</v>
      </c>
      <c r="O182" s="1" t="s">
        <v>34</v>
      </c>
      <c r="P182" s="1" t="s">
        <v>36</v>
      </c>
      <c r="Q182" s="1" t="s">
        <v>144</v>
      </c>
      <c r="R182" s="8" t="str">
        <f>IFERROR(VLOOKUP(A182,Sheet3!B:H,6,false),VLOOKUP(D182,Sheet2!A:C,2,false))</f>
        <v>https://assets.roomstogo.com/product/therapedic-forester-twin-xl-mattress_50011344_image-item</v>
      </c>
      <c r="S182" s="8" t="str">
        <f>IFERROR(VLOOKUP(A182,Sheet3!B:H,7,false),VLOOKUP(D182,Sheet2!A:C,3,false))</f>
        <v>https://assets.roomstogo.com/product/therapedic-forester-twin-xl-mattress_50011344_alt-image-1</v>
      </c>
      <c r="T182" s="11" t="s">
        <v>1230</v>
      </c>
    </row>
    <row r="183">
      <c r="A183" s="4">
        <v>5.0511368E7</v>
      </c>
      <c r="B183" s="9">
        <v>20.0</v>
      </c>
      <c r="C183" s="9">
        <v>4.3</v>
      </c>
      <c r="D183" s="1" t="s">
        <v>145</v>
      </c>
      <c r="E183" s="1" t="s">
        <v>498</v>
      </c>
      <c r="F183" s="6">
        <v>597.0</v>
      </c>
      <c r="G183" s="6">
        <v>699.99</v>
      </c>
      <c r="H183" s="1" t="s">
        <v>143</v>
      </c>
      <c r="I183" s="7"/>
      <c r="J183" s="1" t="s">
        <v>31</v>
      </c>
      <c r="K183" s="1" t="s">
        <v>470</v>
      </c>
      <c r="L183" s="1" t="s">
        <v>59</v>
      </c>
      <c r="M183" s="1" t="s">
        <v>36</v>
      </c>
      <c r="N183" s="1" t="s">
        <v>35</v>
      </c>
      <c r="O183" s="1" t="s">
        <v>36</v>
      </c>
      <c r="P183" s="1" t="s">
        <v>34</v>
      </c>
      <c r="Q183" s="1" t="s">
        <v>37</v>
      </c>
      <c r="R183" s="8" t="str">
        <f>IFERROR(VLOOKUP(A183,Sheet3!B:H,6,false),VLOOKUP(D183,Sheet2!A:C,2,false))</f>
        <v>https://assets.roomstogo.com/product/therapedic-darlington-twin-xl-mattress_50011368_image-item</v>
      </c>
      <c r="S183" s="8" t="str">
        <f>IFERROR(VLOOKUP(A183,Sheet3!B:H,7,false),VLOOKUP(D183,Sheet2!A:C,3,false))</f>
        <v>https://assets.roomstogo.com/product/therapedic-darlington-twin-xl-mattress_50011368_alt-image-1</v>
      </c>
      <c r="T183" s="11" t="s">
        <v>1231</v>
      </c>
    </row>
    <row r="184">
      <c r="A184" s="4">
        <v>5.0511382E7</v>
      </c>
      <c r="B184" s="5"/>
      <c r="C184" s="5"/>
      <c r="D184" s="1" t="s">
        <v>147</v>
      </c>
      <c r="E184" s="1" t="s">
        <v>499</v>
      </c>
      <c r="F184" s="6">
        <v>777.0</v>
      </c>
      <c r="G184" s="6">
        <v>1099.99</v>
      </c>
      <c r="H184" s="1" t="s">
        <v>149</v>
      </c>
      <c r="I184" s="7"/>
      <c r="J184" s="7"/>
      <c r="K184" s="1" t="s">
        <v>470</v>
      </c>
      <c r="L184" s="1" t="s">
        <v>41</v>
      </c>
      <c r="M184" s="1" t="s">
        <v>36</v>
      </c>
      <c r="N184" s="1" t="s">
        <v>49</v>
      </c>
      <c r="O184" s="1" t="s">
        <v>34</v>
      </c>
      <c r="P184" s="1" t="s">
        <v>34</v>
      </c>
      <c r="Q184" s="1" t="s">
        <v>51</v>
      </c>
      <c r="R184" s="8" t="str">
        <f>IFERROR(VLOOKUP(A184,Sheet3!B:H,6,false),VLOOKUP(D184,Sheet2!A:C,2,false))</f>
        <v>https://assets.roomstogo.com/product/therapedic-hastings-twin-xl-mattress_50011382_image-item</v>
      </c>
      <c r="S184" s="8" t="str">
        <f>IFERROR(VLOOKUP(A184,Sheet3!B:H,7,false),VLOOKUP(D184,Sheet2!A:C,3,false))</f>
        <v>https://assets.roomstogo.com/product/therapedic-hastings-twin-xl-mattress_50011382_alt-image-1</v>
      </c>
      <c r="T184" s="11" t="s">
        <v>1232</v>
      </c>
    </row>
    <row r="185">
      <c r="A185" s="4">
        <v>5.0511457E7</v>
      </c>
      <c r="B185" s="9">
        <v>9.0</v>
      </c>
      <c r="C185" s="9">
        <v>4.33</v>
      </c>
      <c r="D185" s="1" t="s">
        <v>150</v>
      </c>
      <c r="E185" s="1" t="s">
        <v>502</v>
      </c>
      <c r="F185" s="6">
        <v>1499.99</v>
      </c>
      <c r="G185" s="6">
        <v>1499.99</v>
      </c>
      <c r="H185" s="1" t="s">
        <v>149</v>
      </c>
      <c r="I185" s="7"/>
      <c r="J185" s="1" t="s">
        <v>31</v>
      </c>
      <c r="K185" s="1" t="s">
        <v>470</v>
      </c>
      <c r="L185" s="1" t="s">
        <v>41</v>
      </c>
      <c r="M185" s="1" t="s">
        <v>34</v>
      </c>
      <c r="N185" s="1" t="s">
        <v>76</v>
      </c>
      <c r="O185" s="1" t="s">
        <v>42</v>
      </c>
      <c r="P185" s="1" t="s">
        <v>34</v>
      </c>
      <c r="Q185" s="1" t="s">
        <v>77</v>
      </c>
      <c r="R185" s="8" t="str">
        <f>IFERROR(VLOOKUP(A185,Sheet3!B:H,6,false),VLOOKUP(D185,Sheet2!A:C,2,false))</f>
        <v>https://assets.roomstogo.com/product/therapedic-kaanapali-twin-xl-mattress_50011457_image-item</v>
      </c>
      <c r="S185" s="8" t="str">
        <f>IFERROR(VLOOKUP(A185,Sheet3!B:H,7,false),VLOOKUP(D185,Sheet2!A:C,3,false))</f>
        <v>https://assets.roomstogo.com/product/therapedic-kaanapali-twin-xl-mattress_50011457_alt-image-1</v>
      </c>
      <c r="T185" s="11" t="s">
        <v>1233</v>
      </c>
    </row>
    <row r="186">
      <c r="A186" s="4">
        <v>5.0511495E7</v>
      </c>
      <c r="B186" s="9">
        <v>13.0</v>
      </c>
      <c r="C186" s="9">
        <v>3.92</v>
      </c>
      <c r="D186" s="1" t="s">
        <v>154</v>
      </c>
      <c r="E186" s="1" t="s">
        <v>503</v>
      </c>
      <c r="F186" s="6">
        <v>1799.99</v>
      </c>
      <c r="G186" s="6">
        <v>1799.99</v>
      </c>
      <c r="H186" s="1" t="s">
        <v>149</v>
      </c>
      <c r="I186" s="7"/>
      <c r="J186" s="1" t="s">
        <v>31</v>
      </c>
      <c r="K186" s="1" t="s">
        <v>470</v>
      </c>
      <c r="L186" s="1" t="s">
        <v>41</v>
      </c>
      <c r="M186" s="1" t="s">
        <v>42</v>
      </c>
      <c r="N186" s="1" t="s">
        <v>35</v>
      </c>
      <c r="O186" s="1" t="s">
        <v>42</v>
      </c>
      <c r="P186" s="1" t="s">
        <v>34</v>
      </c>
      <c r="Q186" s="1" t="s">
        <v>37</v>
      </c>
      <c r="R186" s="8" t="str">
        <f>IFERROR(VLOOKUP(A186,Sheet3!B:H,6,false),VLOOKUP(D186,Sheet2!A:C,2,false))</f>
        <v>https://assets.roomstogo.com/product/therapedic-ledo-twin-xl-mattress_50011495_image-item</v>
      </c>
      <c r="S186" s="8" t="str">
        <f>IFERROR(VLOOKUP(A186,Sheet3!B:H,7,false),VLOOKUP(D186,Sheet2!A:C,3,false))</f>
        <v>https://assets.roomstogo.com/product/therapedic-ledo-twin-xl-mattress_50011495_alt-image-1</v>
      </c>
      <c r="T186" s="11" t="s">
        <v>1234</v>
      </c>
    </row>
    <row r="187">
      <c r="A187" s="4">
        <v>5.0520862E7</v>
      </c>
      <c r="B187" s="9">
        <v>9.0</v>
      </c>
      <c r="C187" s="9">
        <v>4.0</v>
      </c>
      <c r="D187" s="1" t="s">
        <v>156</v>
      </c>
      <c r="E187" s="1" t="s">
        <v>506</v>
      </c>
      <c r="F187" s="6">
        <v>997.0</v>
      </c>
      <c r="G187" s="6">
        <v>1299.99</v>
      </c>
      <c r="H187" s="1" t="s">
        <v>158</v>
      </c>
      <c r="I187" s="7"/>
      <c r="J187" s="1" t="s">
        <v>31</v>
      </c>
      <c r="K187" s="1" t="s">
        <v>470</v>
      </c>
      <c r="L187" s="1" t="s">
        <v>59</v>
      </c>
      <c r="M187" s="1" t="s">
        <v>34</v>
      </c>
      <c r="N187" s="1" t="s">
        <v>35</v>
      </c>
      <c r="O187" s="1" t="s">
        <v>34</v>
      </c>
      <c r="P187" s="1" t="s">
        <v>34</v>
      </c>
      <c r="Q187" s="1" t="s">
        <v>37</v>
      </c>
      <c r="R187" s="8" t="str">
        <f>IFERROR(VLOOKUP(A187,Sheet3!B:H,6,false),VLOOKUP(D187,Sheet2!A:C,2,false))</f>
        <v>https://assets.roomstogo.com/product/drew-jonathan-capertee-twin-xl-mattress_50020862_image-item</v>
      </c>
      <c r="S187" s="8" t="str">
        <f>IFERROR(VLOOKUP(A187,Sheet3!B:H,7,false),VLOOKUP(D187,Sheet2!A:C,3,false))</f>
        <v>https://assets.roomstogo.com/product/drew-jonathan-capertee-twin-xl-mattress_50020862_alt-image-1</v>
      </c>
      <c r="T187" s="11" t="s">
        <v>1235</v>
      </c>
    </row>
    <row r="188">
      <c r="A188" s="4">
        <v>5.0520925E7</v>
      </c>
      <c r="B188" s="9">
        <v>2.0</v>
      </c>
      <c r="C188" s="9">
        <v>3.0</v>
      </c>
      <c r="D188" s="1" t="s">
        <v>159</v>
      </c>
      <c r="E188" s="1" t="s">
        <v>509</v>
      </c>
      <c r="F188" s="6">
        <v>1497.0</v>
      </c>
      <c r="G188" s="6">
        <v>1799.99</v>
      </c>
      <c r="H188" s="1" t="s">
        <v>158</v>
      </c>
      <c r="I188" s="7"/>
      <c r="J188" s="1" t="s">
        <v>31</v>
      </c>
      <c r="K188" s="1" t="s">
        <v>470</v>
      </c>
      <c r="L188" s="1" t="s">
        <v>59</v>
      </c>
      <c r="M188" s="1" t="s">
        <v>42</v>
      </c>
      <c r="N188" s="1" t="s">
        <v>49</v>
      </c>
      <c r="O188" s="1" t="s">
        <v>34</v>
      </c>
      <c r="P188" s="1" t="s">
        <v>34</v>
      </c>
      <c r="Q188" s="1" t="s">
        <v>51</v>
      </c>
      <c r="R188" s="8" t="str">
        <f>IFERROR(VLOOKUP(A188,Sheet3!B:H,6,false),VLOOKUP(D188,Sheet2!A:C,2,false))</f>
        <v>https://assets.roomstogo.com/product/drew-jonathan-arada-canyon-twin-xl-mattress_50020925_image-item</v>
      </c>
      <c r="S188" s="8" t="str">
        <f>IFERROR(VLOOKUP(A188,Sheet3!B:H,7,false),VLOOKUP(D188,Sheet2!A:C,3,false))</f>
        <v>https://assets.roomstogo.com/product/drew-jonathan-arada-canyon-twin-xl-mattress_50020925_alt-image-1</v>
      </c>
      <c r="T188" s="11" t="s">
        <v>1236</v>
      </c>
    </row>
    <row r="189">
      <c r="A189" s="4">
        <v>5.052221E7</v>
      </c>
      <c r="B189" s="9">
        <v>28.0</v>
      </c>
      <c r="C189" s="9">
        <v>4.71</v>
      </c>
      <c r="D189" s="1" t="s">
        <v>163</v>
      </c>
      <c r="E189" s="1" t="s">
        <v>510</v>
      </c>
      <c r="F189" s="6">
        <v>397.0</v>
      </c>
      <c r="G189" s="6">
        <v>699.99</v>
      </c>
      <c r="H189" s="1" t="s">
        <v>165</v>
      </c>
      <c r="I189" s="1" t="s">
        <v>166</v>
      </c>
      <c r="J189" s="1" t="s">
        <v>31</v>
      </c>
      <c r="K189" s="1" t="s">
        <v>470</v>
      </c>
      <c r="L189" s="1" t="s">
        <v>41</v>
      </c>
      <c r="M189" s="1" t="s">
        <v>36</v>
      </c>
      <c r="N189" s="1" t="s">
        <v>35</v>
      </c>
      <c r="O189" s="1" t="s">
        <v>34</v>
      </c>
      <c r="P189" s="1" t="s">
        <v>36</v>
      </c>
      <c r="Q189" s="1" t="s">
        <v>37</v>
      </c>
      <c r="R189" s="8" t="str">
        <f>IFERROR(VLOOKUP(A189,Sheet3!B:H,6,false),VLOOKUP(D189,Sheet2!A:C,2,false))</f>
        <v>https://assets.roomstogo.com/product/beauty-sleep-oceana-mist-medium-hybrid-twin-xl-mattress_50022210_image-item</v>
      </c>
      <c r="S189" s="8" t="str">
        <f>IFERROR(VLOOKUP(A189,Sheet3!B:H,7,false),VLOOKUP(D189,Sheet2!A:C,3,false))</f>
        <v>https://assets.roomstogo.com/product/beauty-sleep-oceana-mist-medium-hybrid-twin-xl-mattress_50022210_alt-image-8</v>
      </c>
      <c r="T189" s="11" t="s">
        <v>1237</v>
      </c>
    </row>
    <row r="190">
      <c r="A190" s="4">
        <v>5.0525747E7</v>
      </c>
      <c r="B190" s="9">
        <v>13.0</v>
      </c>
      <c r="C190" s="9">
        <v>4.08</v>
      </c>
      <c r="D190" s="1" t="s">
        <v>169</v>
      </c>
      <c r="E190" s="1" t="s">
        <v>511</v>
      </c>
      <c r="F190" s="6">
        <v>1399.0</v>
      </c>
      <c r="G190" s="6">
        <v>1399.0</v>
      </c>
      <c r="H190" s="1" t="s">
        <v>171</v>
      </c>
      <c r="I190" s="1" t="s">
        <v>172</v>
      </c>
      <c r="J190" s="1" t="s">
        <v>31</v>
      </c>
      <c r="K190" s="1" t="s">
        <v>470</v>
      </c>
      <c r="L190" s="1" t="s">
        <v>59</v>
      </c>
      <c r="M190" s="1" t="s">
        <v>42</v>
      </c>
      <c r="N190" s="1" t="s">
        <v>49</v>
      </c>
      <c r="O190" s="1" t="s">
        <v>42</v>
      </c>
      <c r="P190" s="1" t="s">
        <v>42</v>
      </c>
      <c r="Q190" s="1" t="s">
        <v>51</v>
      </c>
      <c r="R190" s="8" t="str">
        <f>IFERROR(VLOOKUP(A190,Sheet3!B:H,6,false),VLOOKUP(D190,Sheet2!A:C,2,false))</f>
        <v>https://assets.roomstogo.com/product/beautyrest-world-class-level-three-plush-twin-xl-mattress_50025747_image-item</v>
      </c>
      <c r="S190" s="8" t="str">
        <f>IFERROR(VLOOKUP(A190,Sheet3!B:H,7,false),VLOOKUP(D190,Sheet2!A:C,3,false))</f>
        <v>https://assets.roomstogo.com/product/beautyrest-world-class-level-three-plush-twin-xl-mattress_50025747_alt-image-13</v>
      </c>
      <c r="T190" s="11" t="s">
        <v>1238</v>
      </c>
    </row>
    <row r="191">
      <c r="A191" s="4">
        <v>5.0525759E7</v>
      </c>
      <c r="B191" s="9">
        <v>14.0</v>
      </c>
      <c r="C191" s="9">
        <v>3.71</v>
      </c>
      <c r="D191" s="1" t="s">
        <v>173</v>
      </c>
      <c r="E191" s="1" t="s">
        <v>514</v>
      </c>
      <c r="F191" s="6">
        <v>1599.0</v>
      </c>
      <c r="G191" s="6">
        <v>1599.0</v>
      </c>
      <c r="H191" s="1" t="s">
        <v>171</v>
      </c>
      <c r="I191" s="1" t="s">
        <v>175</v>
      </c>
      <c r="J191" s="1" t="s">
        <v>31</v>
      </c>
      <c r="K191" s="1" t="s">
        <v>470</v>
      </c>
      <c r="L191" s="1" t="s">
        <v>59</v>
      </c>
      <c r="M191" s="1" t="s">
        <v>42</v>
      </c>
      <c r="N191" s="1" t="s">
        <v>35</v>
      </c>
      <c r="O191" s="1" t="s">
        <v>42</v>
      </c>
      <c r="P191" s="1" t="s">
        <v>42</v>
      </c>
      <c r="Q191" s="1" t="s">
        <v>37</v>
      </c>
      <c r="R191" s="8" t="str">
        <f>IFERROR(VLOOKUP(A191,Sheet3!B:H,6,false),VLOOKUP(D191,Sheet2!A:C,2,false))</f>
        <v>https://assets.roomstogo.com/product/beautyrest-world-class-level-three-medium-pillow-top-twin-xl-mattress_50025759_image-item</v>
      </c>
      <c r="S191" s="8" t="str">
        <f>IFERROR(VLOOKUP(A191,Sheet3!B:H,7,false),VLOOKUP(D191,Sheet2!A:C,3,false))</f>
        <v>https://assets.roomstogo.com/product/beautyrest-world-class-level-three-medium-pillow-top-twin-xl-mattress_50025759_alt-image-13</v>
      </c>
      <c r="T191" s="11" t="s">
        <v>1239</v>
      </c>
    </row>
    <row r="192">
      <c r="A192" s="4">
        <v>5.05258E7</v>
      </c>
      <c r="B192" s="9">
        <v>1.0</v>
      </c>
      <c r="C192" s="9">
        <v>5.0</v>
      </c>
      <c r="D192" s="1" t="s">
        <v>176</v>
      </c>
      <c r="E192" s="1" t="s">
        <v>517</v>
      </c>
      <c r="F192" s="6">
        <v>1899.0</v>
      </c>
      <c r="G192" s="6">
        <v>1899.0</v>
      </c>
      <c r="H192" s="1" t="s">
        <v>171</v>
      </c>
      <c r="I192" s="1" t="s">
        <v>178</v>
      </c>
      <c r="J192" s="1" t="s">
        <v>31</v>
      </c>
      <c r="K192" s="1" t="s">
        <v>470</v>
      </c>
      <c r="L192" s="1" t="s">
        <v>59</v>
      </c>
      <c r="M192" s="1" t="s">
        <v>50</v>
      </c>
      <c r="N192" s="1" t="s">
        <v>49</v>
      </c>
      <c r="O192" s="1" t="s">
        <v>42</v>
      </c>
      <c r="P192" s="1" t="s">
        <v>42</v>
      </c>
      <c r="Q192" s="1" t="s">
        <v>51</v>
      </c>
      <c r="R192" s="8" t="str">
        <f>IFERROR(VLOOKUP(A192,Sheet3!B:H,6,false),VLOOKUP(D192,Sheet2!A:C,2,false))</f>
        <v>https://assets.roomstogo.com/product/beautyrest-world-class-level-four-plush-pillow-top-twin-xl-mattress_50025800_image-item</v>
      </c>
      <c r="S192" s="8" t="str">
        <f>IFERROR(VLOOKUP(A192,Sheet3!B:H,7,false),VLOOKUP(D192,Sheet2!A:C,3,false))</f>
        <v>https://assets.roomstogo.com/product/beautyrest-world-class-level-four-plush-pillow-top-twin-xl-mattress_50025800_alt-image-13</v>
      </c>
      <c r="T192" s="11" t="s">
        <v>1240</v>
      </c>
    </row>
    <row r="193">
      <c r="A193" s="4">
        <v>5.0528957E7</v>
      </c>
      <c r="B193" s="9">
        <v>3.0</v>
      </c>
      <c r="C193" s="9">
        <v>5.0</v>
      </c>
      <c r="D193" s="1" t="s">
        <v>179</v>
      </c>
      <c r="E193" s="1" t="s">
        <v>520</v>
      </c>
      <c r="F193" s="6">
        <v>897.0</v>
      </c>
      <c r="G193" s="6">
        <v>1499.0</v>
      </c>
      <c r="H193" s="1" t="s">
        <v>181</v>
      </c>
      <c r="I193" s="7"/>
      <c r="J193" s="1" t="s">
        <v>31</v>
      </c>
      <c r="K193" s="1" t="s">
        <v>470</v>
      </c>
      <c r="L193" s="1" t="s">
        <v>59</v>
      </c>
      <c r="M193" s="1" t="s">
        <v>42</v>
      </c>
      <c r="N193" s="1" t="s">
        <v>49</v>
      </c>
      <c r="O193" s="1" t="s">
        <v>34</v>
      </c>
      <c r="P193" s="1" t="s">
        <v>34</v>
      </c>
      <c r="Q193" s="1" t="s">
        <v>182</v>
      </c>
      <c r="R193" s="8" t="str">
        <f>IFERROR(VLOOKUP(A193,Sheet3!B:H,6,false),VLOOKUP(D193,Sheet2!A:C,2,false))</f>
        <v>https://assets.roomstogo.com/product/sealy-correct-comfort-kerry-park-twin-xl-mattress_50028957_image-item</v>
      </c>
      <c r="S193" s="8" t="str">
        <f>IFERROR(VLOOKUP(A193,Sheet3!B:H,7,false),VLOOKUP(D193,Sheet2!A:C,3,false))</f>
        <v>https://assets.roomstogo.com/product/sealy-correct-comfort-kerry-park-twin-xl-mattress_50028957_alt-image-1</v>
      </c>
      <c r="T193" s="11" t="s">
        <v>1241</v>
      </c>
    </row>
    <row r="194">
      <c r="A194" s="4">
        <v>5.0528969E7</v>
      </c>
      <c r="B194" s="9">
        <v>12.0</v>
      </c>
      <c r="C194" s="9">
        <v>4.83</v>
      </c>
      <c r="D194" s="1" t="s">
        <v>185</v>
      </c>
      <c r="E194" s="1" t="s">
        <v>521</v>
      </c>
      <c r="F194" s="6">
        <v>695.0</v>
      </c>
      <c r="G194" s="6">
        <v>799.0</v>
      </c>
      <c r="H194" s="1" t="s">
        <v>181</v>
      </c>
      <c r="I194" s="7"/>
      <c r="J194" s="1" t="s">
        <v>31</v>
      </c>
      <c r="K194" s="1" t="s">
        <v>470</v>
      </c>
      <c r="L194" s="1" t="s">
        <v>33</v>
      </c>
      <c r="M194" s="1" t="s">
        <v>34</v>
      </c>
      <c r="N194" s="1" t="s">
        <v>35</v>
      </c>
      <c r="O194" s="1" t="s">
        <v>34</v>
      </c>
      <c r="P194" s="1" t="s">
        <v>36</v>
      </c>
      <c r="Q194" s="1" t="s">
        <v>37</v>
      </c>
      <c r="R194" s="8" t="str">
        <f>IFERROR(VLOOKUP(A194,Sheet3!B:H,6,false),VLOOKUP(D194,Sheet2!A:C,2,false))</f>
        <v>https://assets.roomstogo.com/product/sealy-correct-comfort-bradford-hill-twin-xl-mattress_50028969_image-item</v>
      </c>
      <c r="S194" s="8" t="str">
        <f>IFERROR(VLOOKUP(A194,Sheet3!B:H,7,false),VLOOKUP(D194,Sheet2!A:C,3,false))</f>
        <v>https://assets.roomstogo.com/product/sealy-correct-comfort-bradford-hill-twin-xl-mattress_50028969_alt-image-1</v>
      </c>
      <c r="T194" s="11" t="s">
        <v>1242</v>
      </c>
    </row>
    <row r="195">
      <c r="A195" s="4">
        <v>5.0528971E7</v>
      </c>
      <c r="B195" s="9">
        <v>1.0</v>
      </c>
      <c r="C195" s="9">
        <v>5.0</v>
      </c>
      <c r="D195" s="1" t="s">
        <v>187</v>
      </c>
      <c r="E195" s="1" t="s">
        <v>524</v>
      </c>
      <c r="F195" s="6">
        <v>997.0</v>
      </c>
      <c r="G195" s="6">
        <v>1799.0</v>
      </c>
      <c r="H195" s="1" t="s">
        <v>181</v>
      </c>
      <c r="I195" s="7"/>
      <c r="J195" s="7"/>
      <c r="K195" s="1" t="s">
        <v>470</v>
      </c>
      <c r="L195" s="1" t="s">
        <v>33</v>
      </c>
      <c r="M195" s="1" t="s">
        <v>42</v>
      </c>
      <c r="N195" s="1" t="s">
        <v>35</v>
      </c>
      <c r="O195" s="1" t="s">
        <v>34</v>
      </c>
      <c r="P195" s="1" t="s">
        <v>34</v>
      </c>
      <c r="Q195" s="1" t="s">
        <v>37</v>
      </c>
      <c r="R195" s="8" t="str">
        <f>IFERROR(VLOOKUP(A195,Sheet3!B:H,6,false),VLOOKUP(D195,Sheet2!A:C,2,false))</f>
        <v>https://assets.roomstogo.com/product/posturepedic-northgate-twin-xl-mattress_50028971_image-item</v>
      </c>
      <c r="S195" s="8" t="str">
        <f>IFERROR(VLOOKUP(A195,Sheet3!B:H,7,false),VLOOKUP(D195,Sheet2!A:C,3,false))</f>
        <v>https://assets.roomstogo.com/product/posturepedic-northgate-twin-xl-mattress_50028971_alt-image-1</v>
      </c>
      <c r="T195" s="11" t="s">
        <v>1243</v>
      </c>
    </row>
    <row r="196">
      <c r="A196" s="4">
        <v>5.0529175E7</v>
      </c>
      <c r="B196" s="9">
        <v>6.0</v>
      </c>
      <c r="C196" s="9">
        <v>4.17</v>
      </c>
      <c r="D196" s="1" t="s">
        <v>189</v>
      </c>
      <c r="E196" s="1" t="s">
        <v>525</v>
      </c>
      <c r="F196" s="6">
        <v>677.0</v>
      </c>
      <c r="G196" s="6">
        <v>799.0</v>
      </c>
      <c r="H196" s="1" t="s">
        <v>191</v>
      </c>
      <c r="I196" s="1" t="s">
        <v>192</v>
      </c>
      <c r="J196" s="1" t="s">
        <v>31</v>
      </c>
      <c r="K196" s="1" t="s">
        <v>470</v>
      </c>
      <c r="L196" s="1" t="s">
        <v>59</v>
      </c>
      <c r="M196" s="1" t="s">
        <v>36</v>
      </c>
      <c r="N196" s="1" t="s">
        <v>35</v>
      </c>
      <c r="O196" s="1" t="s">
        <v>36</v>
      </c>
      <c r="P196" s="1" t="s">
        <v>36</v>
      </c>
      <c r="Q196" s="1" t="s">
        <v>37</v>
      </c>
      <c r="R196" s="8" t="str">
        <f>IFERROR(VLOOKUP(A196,Sheet3!B:H,6,false),VLOOKUP(D196,Sheet2!A:C,2,false))</f>
        <v>https://assets.roomstogo.com/product/sealy-posturepedic-brierwood-twin-xl-mattress_50029175_image-item</v>
      </c>
      <c r="S196" s="8" t="str">
        <f>IFERROR(VLOOKUP(A196,Sheet3!B:H,7,false),VLOOKUP(D196,Sheet2!A:C,3,false))</f>
        <v>https://assets.roomstogo.com/product/sealy-posturepedic-brierwood-twin-xl-mattress_50029175_alt-image-1</v>
      </c>
      <c r="T196" s="11" t="s">
        <v>1244</v>
      </c>
    </row>
    <row r="197">
      <c r="A197" s="4">
        <v>5.0529202E7</v>
      </c>
      <c r="B197" s="9">
        <v>3.0</v>
      </c>
      <c r="C197" s="9">
        <v>4.0</v>
      </c>
      <c r="D197" s="1" t="s">
        <v>193</v>
      </c>
      <c r="E197" s="1" t="s">
        <v>528</v>
      </c>
      <c r="F197" s="6">
        <v>997.0</v>
      </c>
      <c r="G197" s="6">
        <v>1199.0</v>
      </c>
      <c r="H197" s="1" t="s">
        <v>195</v>
      </c>
      <c r="I197" s="1" t="s">
        <v>196</v>
      </c>
      <c r="J197" s="1" t="s">
        <v>31</v>
      </c>
      <c r="K197" s="1" t="s">
        <v>470</v>
      </c>
      <c r="L197" s="1" t="s">
        <v>59</v>
      </c>
      <c r="M197" s="1" t="s">
        <v>34</v>
      </c>
      <c r="N197" s="1" t="s">
        <v>35</v>
      </c>
      <c r="O197" s="1" t="s">
        <v>34</v>
      </c>
      <c r="P197" s="1" t="s">
        <v>36</v>
      </c>
      <c r="Q197" s="1" t="s">
        <v>37</v>
      </c>
      <c r="R197" s="8" t="str">
        <f>IFERROR(VLOOKUP(A197,Sheet3!B:H,6,false),VLOOKUP(D197,Sheet2!A:C,2,false))</f>
        <v>https://assets.roomstogo.com/product/sealy-posturepedic-castle-rock-twin-xl-mattress_50029202_image-item</v>
      </c>
      <c r="S197" s="8" t="str">
        <f>IFERROR(VLOOKUP(A197,Sheet3!B:H,7,false),VLOOKUP(D197,Sheet2!A:C,3,false))</f>
        <v>https://assets.roomstogo.com/product/sealy-posturepedic-castle-rock-twin-xl-mattress_50029202_alt-image-1</v>
      </c>
      <c r="T197" s="11" t="s">
        <v>1245</v>
      </c>
    </row>
    <row r="198">
      <c r="A198" s="4">
        <v>5.0529214E7</v>
      </c>
      <c r="B198" s="5"/>
      <c r="C198" s="5"/>
      <c r="D198" s="1" t="s">
        <v>197</v>
      </c>
      <c r="E198" s="1" t="s">
        <v>529</v>
      </c>
      <c r="F198" s="6">
        <v>1077.0</v>
      </c>
      <c r="G198" s="6">
        <v>1299.0</v>
      </c>
      <c r="H198" s="1" t="s">
        <v>199</v>
      </c>
      <c r="I198" s="1" t="s">
        <v>200</v>
      </c>
      <c r="J198" s="1" t="s">
        <v>31</v>
      </c>
      <c r="K198" s="1" t="s">
        <v>470</v>
      </c>
      <c r="L198" s="1" t="s">
        <v>59</v>
      </c>
      <c r="M198" s="1" t="s">
        <v>34</v>
      </c>
      <c r="N198" s="1" t="s">
        <v>35</v>
      </c>
      <c r="O198" s="1" t="s">
        <v>42</v>
      </c>
      <c r="P198" s="1" t="s">
        <v>34</v>
      </c>
      <c r="Q198" s="1" t="s">
        <v>37</v>
      </c>
      <c r="R198" s="8" t="str">
        <f>IFERROR(VLOOKUP(A198,Sheet3!B:H,6,false),VLOOKUP(D198,Sheet2!A:C,2,false))</f>
        <v>https://assets.roomstogo.com/product/sealy-posturepedic-pebblebrook-twin-xl-mattress_50029214_image-item</v>
      </c>
      <c r="S198" s="8" t="str">
        <f>IFERROR(VLOOKUP(A198,Sheet3!B:H,7,false),VLOOKUP(D198,Sheet2!A:C,3,false))</f>
        <v>https://assets.roomstogo.com/product/sealy-posturepedic-pebblebrook-twin-xl-mattress_50029214_alt-image-1</v>
      </c>
      <c r="T198" s="11" t="s">
        <v>1246</v>
      </c>
    </row>
    <row r="199">
      <c r="A199" s="4">
        <v>5.0537057E7</v>
      </c>
      <c r="B199" s="9">
        <v>347.0</v>
      </c>
      <c r="C199" s="9">
        <v>4.52</v>
      </c>
      <c r="D199" s="1" t="s">
        <v>203</v>
      </c>
      <c r="E199" s="1" t="s">
        <v>530</v>
      </c>
      <c r="F199" s="6">
        <v>1999.0</v>
      </c>
      <c r="G199" s="6">
        <v>1999.0</v>
      </c>
      <c r="H199" s="1" t="s">
        <v>205</v>
      </c>
      <c r="I199" s="1" t="s">
        <v>206</v>
      </c>
      <c r="J199" s="1" t="s">
        <v>31</v>
      </c>
      <c r="K199" s="1" t="s">
        <v>470</v>
      </c>
      <c r="L199" s="1" t="s">
        <v>59</v>
      </c>
      <c r="M199" s="1" t="s">
        <v>34</v>
      </c>
      <c r="N199" s="1" t="s">
        <v>76</v>
      </c>
      <c r="O199" s="1" t="s">
        <v>50</v>
      </c>
      <c r="P199" s="1" t="s">
        <v>42</v>
      </c>
      <c r="Q199" s="1" t="s">
        <v>144</v>
      </c>
      <c r="R199" s="8" t="str">
        <f>IFERROR(VLOOKUP(A199,Sheet3!B:H,6,false),VLOOKUP(D199,Sheet2!A:C,2,false))</f>
        <v>https://assets.roomstogo.com/product/beautyrest-black-series-one-extra-firm-twin-xl-mattress_50037057_image-item</v>
      </c>
      <c r="S199" s="8" t="str">
        <f>IFERROR(VLOOKUP(A199,Sheet3!B:H,7,false),VLOOKUP(D199,Sheet2!A:C,3,false))</f>
        <v>https://assets.roomstogo.com/product/beautyrest-black-series-one-extra-firm-twin-xl-mattress_50037057_alt-image-1</v>
      </c>
      <c r="T199" s="11" t="s">
        <v>1247</v>
      </c>
    </row>
    <row r="200">
      <c r="A200" s="4">
        <v>5.0537134E7</v>
      </c>
      <c r="B200" s="9">
        <v>137.0</v>
      </c>
      <c r="C200" s="9">
        <v>4.58</v>
      </c>
      <c r="D200" s="1" t="s">
        <v>209</v>
      </c>
      <c r="E200" s="1" t="s">
        <v>531</v>
      </c>
      <c r="F200" s="6">
        <v>2999.0</v>
      </c>
      <c r="G200" s="6">
        <v>2999.0</v>
      </c>
      <c r="H200" s="1" t="s">
        <v>205</v>
      </c>
      <c r="I200" s="1" t="s">
        <v>211</v>
      </c>
      <c r="J200" s="1" t="s">
        <v>31</v>
      </c>
      <c r="K200" s="1" t="s">
        <v>470</v>
      </c>
      <c r="L200" s="1" t="s">
        <v>59</v>
      </c>
      <c r="M200" s="1" t="s">
        <v>42</v>
      </c>
      <c r="N200" s="1" t="s">
        <v>35</v>
      </c>
      <c r="O200" s="1" t="s">
        <v>50</v>
      </c>
      <c r="P200" s="1" t="s">
        <v>42</v>
      </c>
      <c r="Q200" s="1" t="s">
        <v>37</v>
      </c>
      <c r="R200" s="8" t="str">
        <f>IFERROR(VLOOKUP(A200,Sheet3!B:H,6,false),VLOOKUP(D200,Sheet2!A:C,2,false))</f>
        <v>https://assets.roomstogo.com/product/beautyrest-black-series-two-medium-twin-xl-mattress_50037134_image-item</v>
      </c>
      <c r="S200" s="8" t="str">
        <f>IFERROR(VLOOKUP(A200,Sheet3!B:H,7,false),VLOOKUP(D200,Sheet2!A:C,3,false))</f>
        <v>https://assets.roomstogo.com/product/beautyrest-black-series-two-medium-twin-xl-mattress_50037134_alt-image-1</v>
      </c>
      <c r="T200" s="11" t="s">
        <v>1248</v>
      </c>
    </row>
    <row r="201">
      <c r="A201" s="4">
        <v>5.0537223E7</v>
      </c>
      <c r="B201" s="9">
        <v>290.0</v>
      </c>
      <c r="C201" s="9">
        <v>4.72</v>
      </c>
      <c r="D201" s="1" t="s">
        <v>214</v>
      </c>
      <c r="E201" s="1" t="s">
        <v>532</v>
      </c>
      <c r="F201" s="6">
        <v>4199.0</v>
      </c>
      <c r="G201" s="6">
        <v>4199.0</v>
      </c>
      <c r="H201" s="1" t="s">
        <v>205</v>
      </c>
      <c r="I201" s="1" t="s">
        <v>216</v>
      </c>
      <c r="J201" s="1" t="s">
        <v>31</v>
      </c>
      <c r="K201" s="1" t="s">
        <v>470</v>
      </c>
      <c r="L201" s="1" t="s">
        <v>59</v>
      </c>
      <c r="M201" s="1" t="s">
        <v>50</v>
      </c>
      <c r="N201" s="1" t="s">
        <v>49</v>
      </c>
      <c r="O201" s="1" t="s">
        <v>50</v>
      </c>
      <c r="P201" s="1" t="s">
        <v>42</v>
      </c>
      <c r="Q201" s="1" t="s">
        <v>51</v>
      </c>
      <c r="R201" s="8" t="str">
        <f>IFERROR(VLOOKUP(A201,Sheet3!B:H,6,false),VLOOKUP(D201,Sheet2!A:C,2,false))</f>
        <v>https://assets.roomstogo.com/product/beautyrest-black-series-three-plush-pillow-top-twin-xl-mattress_50037223_image-item</v>
      </c>
      <c r="S201" s="8" t="str">
        <f>IFERROR(VLOOKUP(A201,Sheet3!B:H,7,false),VLOOKUP(D201,Sheet2!A:C,3,false))</f>
        <v>https://assets.roomstogo.com/product/beautyrest-black-series-three-plush-pillow-top-twin-xl-mattress_50037223_alt-image-1</v>
      </c>
      <c r="T201" s="11" t="s">
        <v>1249</v>
      </c>
    </row>
    <row r="202">
      <c r="A202" s="4">
        <v>5.0548036E7</v>
      </c>
      <c r="B202" s="9">
        <v>438.0</v>
      </c>
      <c r="C202" s="9">
        <v>4.52</v>
      </c>
      <c r="D202" s="1" t="s">
        <v>219</v>
      </c>
      <c r="E202" s="1" t="s">
        <v>533</v>
      </c>
      <c r="F202" s="6">
        <v>2399.0</v>
      </c>
      <c r="G202" s="6">
        <v>2399.0</v>
      </c>
      <c r="H202" s="1" t="s">
        <v>221</v>
      </c>
      <c r="I202" s="1" t="s">
        <v>222</v>
      </c>
      <c r="J202" s="1" t="s">
        <v>31</v>
      </c>
      <c r="K202" s="1" t="s">
        <v>470</v>
      </c>
      <c r="L202" s="1" t="s">
        <v>59</v>
      </c>
      <c r="M202" s="1" t="s">
        <v>34</v>
      </c>
      <c r="N202" s="1" t="s">
        <v>76</v>
      </c>
      <c r="O202" s="1" t="s">
        <v>42</v>
      </c>
      <c r="P202" s="1" t="s">
        <v>34</v>
      </c>
      <c r="Q202" s="1" t="s">
        <v>77</v>
      </c>
      <c r="R202" s="8" t="str">
        <f>IFERROR(VLOOKUP(A202,Sheet3!B:H,6,false),VLOOKUP(D202,Sheet2!A:C,2,false))</f>
        <v>https://assets.roomstogo.com/product/stearns-and-foster-estate-firm-tight-top-twin-xl-mattress_50048036_image-item</v>
      </c>
      <c r="S202" s="8" t="str">
        <f>IFERROR(VLOOKUP(A202,Sheet3!B:H,7,false),VLOOKUP(D202,Sheet2!A:C,3,false))</f>
        <v>https://assets.roomstogo.com/product/stearns-and-foster-estate-firm-tight-top-twin-xl-mattress_50048036_alt-image-1</v>
      </c>
      <c r="T202" s="11" t="s">
        <v>1250</v>
      </c>
    </row>
    <row r="203">
      <c r="A203" s="4">
        <v>5.054805E7</v>
      </c>
      <c r="B203" s="9">
        <v>7.0</v>
      </c>
      <c r="C203" s="9">
        <v>3.86</v>
      </c>
      <c r="D203" s="1" t="s">
        <v>223</v>
      </c>
      <c r="E203" s="1" t="s">
        <v>534</v>
      </c>
      <c r="F203" s="6">
        <v>2599.0</v>
      </c>
      <c r="G203" s="6">
        <v>2599.0</v>
      </c>
      <c r="H203" s="1" t="s">
        <v>221</v>
      </c>
      <c r="I203" s="1" t="s">
        <v>222</v>
      </c>
      <c r="J203" s="1" t="s">
        <v>31</v>
      </c>
      <c r="K203" s="1" t="s">
        <v>470</v>
      </c>
      <c r="L203" s="1" t="s">
        <v>59</v>
      </c>
      <c r="M203" s="1" t="s">
        <v>34</v>
      </c>
      <c r="N203" s="1" t="s">
        <v>76</v>
      </c>
      <c r="O203" s="1" t="s">
        <v>42</v>
      </c>
      <c r="P203" s="1" t="s">
        <v>34</v>
      </c>
      <c r="Q203" s="1" t="s">
        <v>77</v>
      </c>
      <c r="R203" s="8" t="str">
        <f>IFERROR(VLOOKUP(A203,Sheet3!B:H,6,false),VLOOKUP(D203,Sheet2!A:C,2,false))</f>
        <v>https://assets.roomstogo.com/product/stearns-and-foster-estate-firm-pillow-top-twin-xl-mattress_50048050_image-item</v>
      </c>
      <c r="S203" s="8" t="str">
        <f>IFERROR(VLOOKUP(A203,Sheet3!B:H,7,false),VLOOKUP(D203,Sheet2!A:C,3,false))</f>
        <v>https://assets.roomstogo.com/product/stearns-and-foster-estate-firm-pillow-top-twin-xl-mattress_50048050_alt-image-1</v>
      </c>
      <c r="T203" s="11" t="s">
        <v>1251</v>
      </c>
    </row>
    <row r="204">
      <c r="A204" s="4">
        <v>5.0548276E7</v>
      </c>
      <c r="B204" s="5"/>
      <c r="C204" s="5"/>
      <c r="D204" s="1" t="s">
        <v>227</v>
      </c>
      <c r="E204" s="1" t="s">
        <v>535</v>
      </c>
      <c r="F204" s="6">
        <v>4199.0</v>
      </c>
      <c r="G204" s="6">
        <v>4199.0</v>
      </c>
      <c r="H204" s="1" t="s">
        <v>221</v>
      </c>
      <c r="I204" s="1" t="s">
        <v>229</v>
      </c>
      <c r="J204" s="1" t="s">
        <v>31</v>
      </c>
      <c r="K204" s="1" t="s">
        <v>470</v>
      </c>
      <c r="L204" s="1" t="s">
        <v>59</v>
      </c>
      <c r="M204" s="1" t="s">
        <v>42</v>
      </c>
      <c r="N204" s="1" t="s">
        <v>35</v>
      </c>
      <c r="O204" s="1" t="s">
        <v>50</v>
      </c>
      <c r="P204" s="1" t="s">
        <v>42</v>
      </c>
      <c r="Q204" s="1" t="s">
        <v>37</v>
      </c>
      <c r="R204" s="8" t="str">
        <f>IFERROR(VLOOKUP(A204,Sheet3!B:H,6,false),VLOOKUP(D204,Sheet2!A:C,2,false))</f>
        <v>https://assets.roomstogo.com/product/stearns-and-foster-lux-estate-elite-medium-pillow-top-twin-xl-mattress_50048276_image-item</v>
      </c>
      <c r="S204" s="8" t="str">
        <f>IFERROR(VLOOKUP(A204,Sheet3!B:H,7,false),VLOOKUP(D204,Sheet2!A:C,3,false))</f>
        <v>https://assets.roomstogo.com/product/stearns-and-foster-lux-estate-elite-medium-pillow-top-twin-xl-mattress_50048276_alt-image-1</v>
      </c>
      <c r="T204" s="11" t="s">
        <v>1252</v>
      </c>
    </row>
    <row r="205">
      <c r="A205" s="4">
        <v>5.057011E7</v>
      </c>
      <c r="B205" s="9">
        <v>9006.0</v>
      </c>
      <c r="C205" s="9">
        <v>4.32</v>
      </c>
      <c r="D205" s="1" t="s">
        <v>232</v>
      </c>
      <c r="E205" s="1" t="s">
        <v>536</v>
      </c>
      <c r="F205" s="6">
        <v>2118.0</v>
      </c>
      <c r="G205" s="6">
        <v>2647.5</v>
      </c>
      <c r="H205" s="1" t="s">
        <v>234</v>
      </c>
      <c r="I205" s="7"/>
      <c r="J205" s="1" t="s">
        <v>31</v>
      </c>
      <c r="K205" s="1" t="s">
        <v>470</v>
      </c>
      <c r="L205" s="1" t="s">
        <v>59</v>
      </c>
      <c r="M205" s="1" t="s">
        <v>42</v>
      </c>
      <c r="N205" s="1" t="s">
        <v>35</v>
      </c>
      <c r="O205" s="1" t="s">
        <v>42</v>
      </c>
      <c r="P205" s="1" t="s">
        <v>34</v>
      </c>
      <c r="Q205" s="1" t="s">
        <v>37</v>
      </c>
      <c r="R205" s="8" t="str">
        <f>IFERROR(VLOOKUP(A205,Sheet3!B:H,6,false),VLOOKUP(D205,Sheet2!A:C,2,false))</f>
        <v>https://assets.roomstogo.com/product/helix-midnight-luxe-twin-xl-mattress_50070110_image-item</v>
      </c>
      <c r="S205" s="8" t="str">
        <f>IFERROR(VLOOKUP(A205,Sheet3!B:H,7,false),VLOOKUP(D205,Sheet2!A:C,3,false))</f>
        <v>https://assets.roomstogo.com/product/helix-midnight-luxe-twin-xl-mattress_50070110_alt-image-1</v>
      </c>
      <c r="T205" s="11" t="s">
        <v>1253</v>
      </c>
    </row>
    <row r="206">
      <c r="A206" s="4">
        <v>5.0570122E7</v>
      </c>
      <c r="B206" s="9">
        <v>501.0</v>
      </c>
      <c r="C206" s="9">
        <v>4.22</v>
      </c>
      <c r="D206" s="1" t="s">
        <v>237</v>
      </c>
      <c r="E206" s="1" t="s">
        <v>537</v>
      </c>
      <c r="F206" s="6">
        <v>2999.0</v>
      </c>
      <c r="G206" s="6">
        <v>3748.75</v>
      </c>
      <c r="H206" s="1" t="s">
        <v>234</v>
      </c>
      <c r="I206" s="7"/>
      <c r="J206" s="1" t="s">
        <v>31</v>
      </c>
      <c r="K206" s="1" t="s">
        <v>470</v>
      </c>
      <c r="L206" s="1" t="s">
        <v>59</v>
      </c>
      <c r="M206" s="1" t="s">
        <v>50</v>
      </c>
      <c r="N206" s="1" t="s">
        <v>35</v>
      </c>
      <c r="O206" s="1" t="s">
        <v>42</v>
      </c>
      <c r="P206" s="1" t="s">
        <v>42</v>
      </c>
      <c r="Q206" s="1" t="s">
        <v>37</v>
      </c>
      <c r="R206" s="8" t="str">
        <f>IFERROR(VLOOKUP(A206,Sheet3!B:H,6,false),VLOOKUP(D206,Sheet2!A:C,2,false))</f>
        <v>https://assets.roomstogo.com/product/helix-midnight-elite-twin-xl-mattress_50070122_image-item</v>
      </c>
      <c r="S206" s="8" t="str">
        <f>IFERROR(VLOOKUP(A206,Sheet3!B:H,7,false),VLOOKUP(D206,Sheet2!A:C,3,false))</f>
        <v>https://assets.roomstogo.com/product/helix-midnight-elite-twin-xl-mattress_50070122_alt-image-1</v>
      </c>
      <c r="T206" s="11" t="s">
        <v>1254</v>
      </c>
    </row>
    <row r="207">
      <c r="A207" s="4">
        <v>5.0600482E7</v>
      </c>
      <c r="B207" s="9">
        <v>14.0</v>
      </c>
      <c r="C207" s="9">
        <v>4.79</v>
      </c>
      <c r="D207" s="1" t="s">
        <v>447</v>
      </c>
      <c r="E207" s="1" t="s">
        <v>540</v>
      </c>
      <c r="F207" s="6">
        <v>699.0</v>
      </c>
      <c r="G207" s="6">
        <v>799.0</v>
      </c>
      <c r="H207" s="1" t="s">
        <v>449</v>
      </c>
      <c r="I207" s="1" t="s">
        <v>450</v>
      </c>
      <c r="J207" s="1" t="s">
        <v>31</v>
      </c>
      <c r="K207" s="1" t="s">
        <v>470</v>
      </c>
      <c r="L207" s="7"/>
      <c r="M207" s="7"/>
      <c r="N207" s="7"/>
      <c r="O207" s="7"/>
      <c r="P207" s="7"/>
      <c r="Q207" s="7"/>
      <c r="R207" s="11" t="str">
        <f>IFERROR(VLOOKUP(A207,Sheet3!B:H,6,false),VLOOKUP(D207,Sheet2!A:C,2,false))</f>
        <v>#N/A</v>
      </c>
      <c r="S207" s="11" t="str">
        <f>IFERROR(VLOOKUP(A207,Sheet3!B:H,7,false),VLOOKUP(D207,Sheet2!A:C,3,false))</f>
        <v>#N/A</v>
      </c>
      <c r="T207" s="11" t="s">
        <v>1255</v>
      </c>
    </row>
    <row r="208">
      <c r="A208" s="4">
        <v>5.0600519E7</v>
      </c>
      <c r="B208" s="9">
        <v>1.0</v>
      </c>
      <c r="C208" s="9">
        <v>5.0</v>
      </c>
      <c r="D208" s="1" t="s">
        <v>453</v>
      </c>
      <c r="E208" s="1" t="s">
        <v>542</v>
      </c>
      <c r="F208" s="6">
        <v>1499.0</v>
      </c>
      <c r="G208" s="6">
        <v>1699.0</v>
      </c>
      <c r="H208" s="1" t="s">
        <v>449</v>
      </c>
      <c r="I208" s="1" t="s">
        <v>455</v>
      </c>
      <c r="J208" s="1" t="s">
        <v>31</v>
      </c>
      <c r="K208" s="1" t="s">
        <v>470</v>
      </c>
      <c r="L208" s="7"/>
      <c r="M208" s="7"/>
      <c r="N208" s="7"/>
      <c r="O208" s="7"/>
      <c r="P208" s="7"/>
      <c r="Q208" s="7"/>
      <c r="R208" s="11" t="str">
        <f>IFERROR(VLOOKUP(A208,Sheet3!B:H,6,false),VLOOKUP(D208,Sheet2!A:C,2,false))</f>
        <v>#N/A</v>
      </c>
      <c r="S208" s="11" t="str">
        <f>IFERROR(VLOOKUP(A208,Sheet3!B:H,7,false),VLOOKUP(D208,Sheet2!A:C,3,false))</f>
        <v>#N/A</v>
      </c>
      <c r="T208" s="11" t="s">
        <v>1256</v>
      </c>
    </row>
    <row r="209">
      <c r="A209" s="4">
        <v>5.0608161E7</v>
      </c>
      <c r="B209" s="9">
        <v>1.0</v>
      </c>
      <c r="C209" s="9">
        <v>5.0</v>
      </c>
      <c r="D209" s="1" t="s">
        <v>458</v>
      </c>
      <c r="E209" s="1" t="s">
        <v>544</v>
      </c>
      <c r="F209" s="6">
        <v>1699.0</v>
      </c>
      <c r="G209" s="6">
        <v>1699.0</v>
      </c>
      <c r="H209" s="1" t="s">
        <v>64</v>
      </c>
      <c r="I209" s="1" t="s">
        <v>460</v>
      </c>
      <c r="J209" s="1" t="s">
        <v>31</v>
      </c>
      <c r="K209" s="1" t="s">
        <v>470</v>
      </c>
      <c r="L209" s="7"/>
      <c r="M209" s="7"/>
      <c r="N209" s="7"/>
      <c r="O209" s="7"/>
      <c r="P209" s="7"/>
      <c r="Q209" s="7"/>
      <c r="R209" s="11" t="str">
        <f>IFERROR(VLOOKUP(A209,Sheet3!B:H,6,false),VLOOKUP(D209,Sheet2!A:C,2,false))</f>
        <v>#N/A</v>
      </c>
      <c r="S209" s="11" t="str">
        <f>IFERROR(VLOOKUP(A209,Sheet3!B:H,7,false),VLOOKUP(D209,Sheet2!A:C,3,false))</f>
        <v>#N/A</v>
      </c>
      <c r="T209" s="11" t="s">
        <v>1257</v>
      </c>
    </row>
    <row r="210">
      <c r="A210" s="4">
        <v>5.0608185E7</v>
      </c>
      <c r="B210" s="9">
        <v>405.0</v>
      </c>
      <c r="C210" s="9">
        <v>4.6</v>
      </c>
      <c r="D210" s="1" t="s">
        <v>463</v>
      </c>
      <c r="E210" s="1" t="s">
        <v>546</v>
      </c>
      <c r="F210" s="6">
        <v>2199.0</v>
      </c>
      <c r="G210" s="6">
        <v>2199.0</v>
      </c>
      <c r="H210" s="1" t="s">
        <v>64</v>
      </c>
      <c r="I210" s="1" t="s">
        <v>465</v>
      </c>
      <c r="J210" s="1" t="s">
        <v>31</v>
      </c>
      <c r="K210" s="1" t="s">
        <v>470</v>
      </c>
      <c r="L210" s="7"/>
      <c r="M210" s="7"/>
      <c r="N210" s="7"/>
      <c r="O210" s="7"/>
      <c r="P210" s="7"/>
      <c r="Q210" s="7"/>
      <c r="R210" s="11" t="str">
        <f>IFERROR(VLOOKUP(A210,Sheet3!B:H,6,false),VLOOKUP(D210,Sheet2!A:C,2,false))</f>
        <v>#N/A</v>
      </c>
      <c r="S210" s="11" t="str">
        <f>IFERROR(VLOOKUP(A210,Sheet3!B:H,7,false),VLOOKUP(D210,Sheet2!A:C,3,false))</f>
        <v>#N/A</v>
      </c>
      <c r="T210" s="11" t="s">
        <v>1258</v>
      </c>
    </row>
    <row r="211">
      <c r="A211" s="4">
        <v>5.0608197E7</v>
      </c>
      <c r="B211" s="9">
        <v>5.0</v>
      </c>
      <c r="C211" s="9">
        <v>4.4</v>
      </c>
      <c r="D211" s="1" t="s">
        <v>549</v>
      </c>
      <c r="E211" s="1" t="s">
        <v>550</v>
      </c>
      <c r="F211" s="6">
        <v>2699.0</v>
      </c>
      <c r="G211" s="6">
        <v>2699.0</v>
      </c>
      <c r="H211" s="1" t="s">
        <v>64</v>
      </c>
      <c r="I211" s="1" t="s">
        <v>551</v>
      </c>
      <c r="J211" s="1" t="s">
        <v>31</v>
      </c>
      <c r="K211" s="1" t="s">
        <v>470</v>
      </c>
      <c r="L211" s="7"/>
      <c r="M211" s="7"/>
      <c r="N211" s="7"/>
      <c r="O211" s="7"/>
      <c r="P211" s="7"/>
      <c r="Q211" s="7"/>
      <c r="R211" s="11" t="str">
        <f>IFERROR(VLOOKUP(A211,Sheet3!B:H,6,false),VLOOKUP(D211,Sheet2!A:C,2,false))</f>
        <v>#N/A</v>
      </c>
      <c r="S211" s="11" t="str">
        <f>IFERROR(VLOOKUP(A211,Sheet3!B:H,7,false),VLOOKUP(D211,Sheet2!A:C,3,false))</f>
        <v>#N/A</v>
      </c>
      <c r="T211" s="11" t="s">
        <v>1259</v>
      </c>
    </row>
    <row r="212">
      <c r="A212" s="4">
        <v>5.0608832E7</v>
      </c>
      <c r="B212" s="9">
        <v>12.0</v>
      </c>
      <c r="C212" s="9">
        <v>3.33</v>
      </c>
      <c r="D212" s="1" t="s">
        <v>554</v>
      </c>
      <c r="E212" s="1" t="s">
        <v>555</v>
      </c>
      <c r="F212" s="6">
        <v>599.0</v>
      </c>
      <c r="G212" s="6">
        <v>599.0</v>
      </c>
      <c r="H212" s="1" t="s">
        <v>556</v>
      </c>
      <c r="I212" s="1" t="s">
        <v>557</v>
      </c>
      <c r="J212" s="1" t="s">
        <v>31</v>
      </c>
      <c r="K212" s="1" t="s">
        <v>470</v>
      </c>
      <c r="L212" s="7"/>
      <c r="M212" s="7"/>
      <c r="N212" s="7"/>
      <c r="O212" s="7"/>
      <c r="P212" s="7"/>
      <c r="Q212" s="7"/>
      <c r="R212" s="11" t="str">
        <f>IFERROR(VLOOKUP(A212,Sheet3!B:H,6,false),VLOOKUP(D212,Sheet2!A:C,2,false))</f>
        <v>#N/A</v>
      </c>
      <c r="S212" s="11" t="str">
        <f>IFERROR(VLOOKUP(A212,Sheet3!B:H,7,false),VLOOKUP(D212,Sheet2!A:C,3,false))</f>
        <v>#N/A</v>
      </c>
      <c r="T212" s="11" t="s">
        <v>1260</v>
      </c>
    </row>
    <row r="213">
      <c r="A213" s="4">
        <v>5.0608894E7</v>
      </c>
      <c r="B213" s="9">
        <v>17.0</v>
      </c>
      <c r="C213" s="9">
        <v>4.47</v>
      </c>
      <c r="D213" s="1" t="s">
        <v>560</v>
      </c>
      <c r="E213" s="1" t="s">
        <v>561</v>
      </c>
      <c r="F213" s="6">
        <v>799.0</v>
      </c>
      <c r="G213" s="6">
        <v>999.0</v>
      </c>
      <c r="H213" s="1" t="s">
        <v>556</v>
      </c>
      <c r="I213" s="7"/>
      <c r="J213" s="1" t="s">
        <v>31</v>
      </c>
      <c r="K213" s="1" t="s">
        <v>470</v>
      </c>
      <c r="L213" s="7"/>
      <c r="M213" s="7"/>
      <c r="N213" s="7"/>
      <c r="O213" s="7"/>
      <c r="P213" s="7"/>
      <c r="Q213" s="7"/>
      <c r="R213" s="11" t="str">
        <f>IFERROR(VLOOKUP(A213,Sheet3!B:H,6,false),VLOOKUP(D213,Sheet2!A:C,2,false))</f>
        <v>#N/A</v>
      </c>
      <c r="S213" s="11" t="str">
        <f>IFERROR(VLOOKUP(A213,Sheet3!B:H,7,false),VLOOKUP(D213,Sheet2!A:C,3,false))</f>
        <v>#N/A</v>
      </c>
      <c r="T213" s="11" t="s">
        <v>1261</v>
      </c>
    </row>
    <row r="214">
      <c r="A214" s="4">
        <v>5.0608957E7</v>
      </c>
      <c r="B214" s="5"/>
      <c r="C214" s="5"/>
      <c r="D214" s="1" t="s">
        <v>562</v>
      </c>
      <c r="E214" s="1" t="s">
        <v>563</v>
      </c>
      <c r="F214" s="6">
        <v>1599.0</v>
      </c>
      <c r="G214" s="6">
        <v>1799.0</v>
      </c>
      <c r="H214" s="1" t="s">
        <v>564</v>
      </c>
      <c r="I214" s="7"/>
      <c r="J214" s="7"/>
      <c r="K214" s="1" t="s">
        <v>470</v>
      </c>
      <c r="L214" s="7"/>
      <c r="M214" s="7"/>
      <c r="N214" s="7"/>
      <c r="O214" s="7"/>
      <c r="P214" s="7"/>
      <c r="Q214" s="7"/>
      <c r="R214" s="11" t="str">
        <f>IFERROR(VLOOKUP(A214,Sheet3!B:H,6,false),VLOOKUP(D214,Sheet2!A:C,2,false))</f>
        <v>#N/A</v>
      </c>
      <c r="S214" s="11" t="str">
        <f>IFERROR(VLOOKUP(A214,Sheet3!B:H,7,false),VLOOKUP(D214,Sheet2!A:C,3,false))</f>
        <v>#N/A</v>
      </c>
      <c r="T214" s="11" t="s">
        <v>1262</v>
      </c>
    </row>
    <row r="215">
      <c r="A215" s="4">
        <v>5.0618605E7</v>
      </c>
      <c r="B215" s="9">
        <v>11.0</v>
      </c>
      <c r="C215" s="9">
        <v>4.45</v>
      </c>
      <c r="D215" s="1" t="s">
        <v>369</v>
      </c>
      <c r="E215" s="1" t="s">
        <v>566</v>
      </c>
      <c r="F215" s="6">
        <v>999.0</v>
      </c>
      <c r="G215" s="6">
        <v>999.0</v>
      </c>
      <c r="H215" s="1" t="s">
        <v>468</v>
      </c>
      <c r="I215" s="1" t="s">
        <v>371</v>
      </c>
      <c r="J215" s="1" t="s">
        <v>31</v>
      </c>
      <c r="K215" s="1" t="s">
        <v>470</v>
      </c>
      <c r="L215" s="7"/>
      <c r="M215" s="7"/>
      <c r="N215" s="7"/>
      <c r="O215" s="7"/>
      <c r="P215" s="7"/>
      <c r="Q215" s="7"/>
      <c r="R215" s="11" t="str">
        <f>IFERROR(VLOOKUP(A215,Sheet3!B:H,6,false),VLOOKUP(D215,Sheet2!A:C,2,false))</f>
        <v>#N/A</v>
      </c>
      <c r="S215" s="11" t="str">
        <f>IFERROR(VLOOKUP(A215,Sheet3!B:H,7,false),VLOOKUP(D215,Sheet2!A:C,3,false))</f>
        <v>#N/A</v>
      </c>
      <c r="T215" s="11" t="s">
        <v>1263</v>
      </c>
    </row>
    <row r="216">
      <c r="A216" s="4">
        <v>5.0700547E7</v>
      </c>
      <c r="B216" s="5"/>
      <c r="C216" s="5"/>
      <c r="D216" s="1" t="s">
        <v>28</v>
      </c>
      <c r="E216" s="1" t="s">
        <v>567</v>
      </c>
      <c r="F216" s="6">
        <v>1319.0</v>
      </c>
      <c r="G216" s="6">
        <v>1649.0</v>
      </c>
      <c r="H216" s="1" t="s">
        <v>30</v>
      </c>
      <c r="I216" s="7"/>
      <c r="J216" s="1" t="s">
        <v>31</v>
      </c>
      <c r="K216" s="1" t="s">
        <v>568</v>
      </c>
      <c r="L216" s="1" t="s">
        <v>33</v>
      </c>
      <c r="M216" s="1" t="s">
        <v>34</v>
      </c>
      <c r="N216" s="1" t="s">
        <v>35</v>
      </c>
      <c r="O216" s="1" t="s">
        <v>34</v>
      </c>
      <c r="P216" s="1" t="s">
        <v>36</v>
      </c>
      <c r="Q216" s="1" t="s">
        <v>37</v>
      </c>
      <c r="R216" s="8" t="str">
        <f>IFERROR(VLOOKUP(A216,Sheet3!B:H,6,false),VLOOKUP(D216,Sheet2!A:C,2,false))</f>
        <v>https://assets.roomstogo.com/product/casper-cloud-one-twin-xl-mattress_50000543_image-item</v>
      </c>
      <c r="S216" s="8" t="str">
        <f>IFERROR(VLOOKUP(A216,Sheet3!B:H,7,false),VLOOKUP(D216,Sheet2!A:C,3,false))</f>
        <v>https://assets.roomstogo.com/product/casper-cloud-one-twin-xl-mattress_50000543_alt-image-1</v>
      </c>
      <c r="T216" s="11" t="s">
        <v>1264</v>
      </c>
    </row>
    <row r="217">
      <c r="A217" s="4">
        <v>5.0700573E7</v>
      </c>
      <c r="B217" s="9">
        <v>807.0</v>
      </c>
      <c r="C217" s="9">
        <v>4.46</v>
      </c>
      <c r="D217" s="1" t="s">
        <v>38</v>
      </c>
      <c r="E217" s="1" t="s">
        <v>569</v>
      </c>
      <c r="F217" s="6">
        <v>2595.0</v>
      </c>
      <c r="G217" s="6">
        <v>3295.0</v>
      </c>
      <c r="H217" s="1" t="s">
        <v>30</v>
      </c>
      <c r="I217" s="1" t="s">
        <v>40</v>
      </c>
      <c r="J217" s="1" t="s">
        <v>31</v>
      </c>
      <c r="K217" s="1" t="s">
        <v>568</v>
      </c>
      <c r="L217" s="1" t="s">
        <v>41</v>
      </c>
      <c r="M217" s="1" t="s">
        <v>34</v>
      </c>
      <c r="N217" s="1" t="s">
        <v>35</v>
      </c>
      <c r="O217" s="1" t="s">
        <v>34</v>
      </c>
      <c r="P217" s="1" t="s">
        <v>42</v>
      </c>
      <c r="Q217" s="1" t="s">
        <v>37</v>
      </c>
      <c r="R217" s="8" t="str">
        <f>IFERROR(VLOOKUP(A217,Sheet3!B:H,6,false),VLOOKUP(D217,Sheet2!A:C,2,false))</f>
        <v>https://assets.roomstogo.com/product/casper-snow-20-twin-xl-mattress_50000579_image-item</v>
      </c>
      <c r="S217" s="8" t="str">
        <f>IFERROR(VLOOKUP(A217,Sheet3!B:H,7,false),VLOOKUP(D217,Sheet2!A:C,3,false))</f>
        <v>https://assets.roomstogo.com/product/casper-snow-20-twin-xl-mattress_50000579_alt-image-1</v>
      </c>
      <c r="T217" s="11" t="s">
        <v>1265</v>
      </c>
    </row>
    <row r="218">
      <c r="A218" s="4">
        <v>5.0700585E7</v>
      </c>
      <c r="B218" s="9">
        <v>380.0</v>
      </c>
      <c r="C218" s="9">
        <v>4.42</v>
      </c>
      <c r="D218" s="1" t="s">
        <v>46</v>
      </c>
      <c r="E218" s="1" t="s">
        <v>570</v>
      </c>
      <c r="F218" s="6">
        <v>3895.0</v>
      </c>
      <c r="G218" s="6">
        <v>4895.0</v>
      </c>
      <c r="H218" s="1" t="s">
        <v>30</v>
      </c>
      <c r="I218" s="1" t="s">
        <v>48</v>
      </c>
      <c r="J218" s="1" t="s">
        <v>31</v>
      </c>
      <c r="K218" s="1" t="s">
        <v>568</v>
      </c>
      <c r="L218" s="1" t="s">
        <v>41</v>
      </c>
      <c r="M218" s="1" t="s">
        <v>42</v>
      </c>
      <c r="N218" s="1" t="s">
        <v>49</v>
      </c>
      <c r="O218" s="1" t="s">
        <v>34</v>
      </c>
      <c r="P218" s="1" t="s">
        <v>50</v>
      </c>
      <c r="Q218" s="1" t="s">
        <v>51</v>
      </c>
      <c r="R218" s="8" t="str">
        <f>IFERROR(VLOOKUP(A218,Sheet3!B:H,6,false),VLOOKUP(D218,Sheet2!A:C,2,false))</f>
        <v>https://assets.roomstogo.com/product/casper-snow-max-twin-xl-mattress_50000581_image-item</v>
      </c>
      <c r="S218" s="8" t="str">
        <f>IFERROR(VLOOKUP(A218,Sheet3!B:H,7,false),VLOOKUP(D218,Sheet2!A:C,3,false))</f>
        <v>https://assets.roomstogo.com/product/casper-snow-max-twin-xl-mattress_50000581_alt-image-1</v>
      </c>
      <c r="T218" s="11" t="s">
        <v>1266</v>
      </c>
    </row>
    <row r="219">
      <c r="A219" s="4">
        <v>5.0700686E7</v>
      </c>
      <c r="B219" s="9">
        <v>6.0</v>
      </c>
      <c r="C219" s="9">
        <v>3.67</v>
      </c>
      <c r="D219" s="1" t="s">
        <v>52</v>
      </c>
      <c r="E219" s="1" t="s">
        <v>571</v>
      </c>
      <c r="F219" s="6">
        <v>1199.0</v>
      </c>
      <c r="G219" s="6">
        <v>1299.0</v>
      </c>
      <c r="H219" s="1" t="s">
        <v>30</v>
      </c>
      <c r="I219" s="1" t="s">
        <v>244</v>
      </c>
      <c r="J219" s="1" t="s">
        <v>31</v>
      </c>
      <c r="K219" s="1" t="s">
        <v>568</v>
      </c>
      <c r="L219" s="1" t="s">
        <v>33</v>
      </c>
      <c r="M219" s="1" t="s">
        <v>36</v>
      </c>
      <c r="N219" s="1" t="s">
        <v>35</v>
      </c>
      <c r="O219" s="1" t="s">
        <v>36</v>
      </c>
      <c r="P219" s="1" t="s">
        <v>36</v>
      </c>
      <c r="Q219" s="1" t="s">
        <v>37</v>
      </c>
      <c r="R219" s="8" t="str">
        <f>IFERROR(VLOOKUP(A219,Sheet3!B:H,6,false),VLOOKUP(D219,Sheet2!A:C,2,false))</f>
        <v>https://assets.roomstogo.com/product/casper-onyx-20-twin-xl-mattress_50000682_image-item</v>
      </c>
      <c r="S219" s="8" t="str">
        <f>IFERROR(VLOOKUP(A219,Sheet3!B:H,7,false),VLOOKUP(D219,Sheet2!A:C,3,false))</f>
        <v>https://assets.roomstogo.com/product/casper-onyx-20-twin-xl-mattress_50000682_alt-image-1</v>
      </c>
      <c r="T219" s="11" t="s">
        <v>1267</v>
      </c>
    </row>
    <row r="220">
      <c r="A220" s="4">
        <v>5.0701777E7</v>
      </c>
      <c r="B220" s="9">
        <v>1.0</v>
      </c>
      <c r="C220" s="9">
        <v>5.0</v>
      </c>
      <c r="D220" s="1" t="s">
        <v>56</v>
      </c>
      <c r="E220" s="1" t="s">
        <v>574</v>
      </c>
      <c r="F220" s="6">
        <v>1777.0</v>
      </c>
      <c r="G220" s="6">
        <v>4899.0</v>
      </c>
      <c r="H220" s="1" t="s">
        <v>58</v>
      </c>
      <c r="I220" s="7"/>
      <c r="J220" s="7"/>
      <c r="K220" s="1" t="s">
        <v>568</v>
      </c>
      <c r="L220" s="1" t="s">
        <v>59</v>
      </c>
      <c r="M220" s="1" t="s">
        <v>42</v>
      </c>
      <c r="N220" s="1" t="s">
        <v>35</v>
      </c>
      <c r="O220" s="1" t="s">
        <v>42</v>
      </c>
      <c r="P220" s="1" t="s">
        <v>34</v>
      </c>
      <c r="Q220" s="1" t="s">
        <v>37</v>
      </c>
      <c r="R220" s="8" t="str">
        <f>IFERROR(VLOOKUP(A220,Sheet3!B:H,6,false),VLOOKUP(D220,Sheet2!A:C,2,false))</f>
        <v>https://assets.roomstogo.com/product/kingsdown-smart-match-20-twin-xl-mattress_50001773_image-item</v>
      </c>
      <c r="S220" s="8" t="str">
        <f>IFERROR(VLOOKUP(A220,Sheet3!B:H,7,false),VLOOKUP(D220,Sheet2!A:C,3,false))</f>
        <v>https://assets.roomstogo.com/product/kingsdown-smart-match-20-twin-xl-mattress_50001773_alt-image-1</v>
      </c>
      <c r="T220" s="11" t="s">
        <v>1268</v>
      </c>
    </row>
    <row r="221">
      <c r="A221" s="4">
        <v>5.0707464E7</v>
      </c>
      <c r="B221" s="9">
        <v>346.0</v>
      </c>
      <c r="C221" s="9">
        <v>4.43</v>
      </c>
      <c r="D221" s="1" t="s">
        <v>62</v>
      </c>
      <c r="E221" s="1" t="s">
        <v>575</v>
      </c>
      <c r="F221" s="6">
        <v>2899.0</v>
      </c>
      <c r="G221" s="6">
        <v>2899.0</v>
      </c>
      <c r="H221" s="1" t="s">
        <v>64</v>
      </c>
      <c r="I221" s="1" t="s">
        <v>65</v>
      </c>
      <c r="J221" s="1" t="s">
        <v>31</v>
      </c>
      <c r="K221" s="1" t="s">
        <v>568</v>
      </c>
      <c r="L221" s="1" t="s">
        <v>33</v>
      </c>
      <c r="M221" s="1" t="s">
        <v>42</v>
      </c>
      <c r="N221" s="1" t="s">
        <v>35</v>
      </c>
      <c r="O221" s="1" t="s">
        <v>42</v>
      </c>
      <c r="P221" s="1" t="s">
        <v>42</v>
      </c>
      <c r="Q221" s="1" t="s">
        <v>37</v>
      </c>
      <c r="R221" s="8" t="str">
        <f>IFERROR(VLOOKUP(A221,Sheet3!B:H,6,false),VLOOKUP(D221,Sheet2!A:C,2,false))</f>
        <v>https://assets.roomstogo.com/product/tempur-pedic-adapt-20-medium-twin-xl-mattress_50007460_image-item</v>
      </c>
      <c r="S221" s="8" t="str">
        <f>IFERROR(VLOOKUP(A221,Sheet3!B:H,7,false),VLOOKUP(D221,Sheet2!A:C,3,false))</f>
        <v>https://assets.roomstogo.com/product/tempur-pedic-adapt-20-medium-twin-xl-mattress_50007460_alt-image-1</v>
      </c>
      <c r="T221" s="11" t="s">
        <v>1269</v>
      </c>
    </row>
    <row r="222">
      <c r="A222" s="4">
        <v>5.0707476E7</v>
      </c>
      <c r="B222" s="9">
        <v>2587.0</v>
      </c>
      <c r="C222" s="9">
        <v>4.2</v>
      </c>
      <c r="D222" s="1" t="s">
        <v>68</v>
      </c>
      <c r="E222" s="1" t="s">
        <v>576</v>
      </c>
      <c r="F222" s="6">
        <v>3199.0</v>
      </c>
      <c r="G222" s="6">
        <v>3199.0</v>
      </c>
      <c r="H222" s="1" t="s">
        <v>64</v>
      </c>
      <c r="I222" s="1" t="s">
        <v>70</v>
      </c>
      <c r="J222" s="1" t="s">
        <v>31</v>
      </c>
      <c r="K222" s="1" t="s">
        <v>568</v>
      </c>
      <c r="L222" s="1" t="s">
        <v>41</v>
      </c>
      <c r="M222" s="1" t="s">
        <v>42</v>
      </c>
      <c r="N222" s="1" t="s">
        <v>35</v>
      </c>
      <c r="O222" s="1" t="s">
        <v>42</v>
      </c>
      <c r="P222" s="1" t="s">
        <v>42</v>
      </c>
      <c r="Q222" s="1" t="s">
        <v>37</v>
      </c>
      <c r="R222" s="8" t="str">
        <f>IFERROR(VLOOKUP(A222,Sheet3!B:H,6,false),VLOOKUP(D222,Sheet2!A:C,2,false))</f>
        <v>https://assets.roomstogo.com/product/tempur-pedic-adapt-20-medium-hybrid-twin-xl-mattress_50007472_image-item</v>
      </c>
      <c r="S222" s="8" t="str">
        <f>IFERROR(VLOOKUP(A222,Sheet3!B:H,7,false),VLOOKUP(D222,Sheet2!A:C,3,false))</f>
        <v>https://assets.roomstogo.com/product/tempur-pedic-adapt-20-medium-hybrid-twin-xl-mattress_50007472_alt-image-1</v>
      </c>
      <c r="T222" s="11" t="s">
        <v>1270</v>
      </c>
    </row>
    <row r="223">
      <c r="A223" s="4">
        <v>5.0707488E7</v>
      </c>
      <c r="B223" s="9">
        <v>245.0</v>
      </c>
      <c r="C223" s="9">
        <v>4.62</v>
      </c>
      <c r="D223" s="1" t="s">
        <v>73</v>
      </c>
      <c r="E223" s="1" t="s">
        <v>577</v>
      </c>
      <c r="F223" s="6">
        <v>4099.0</v>
      </c>
      <c r="G223" s="6">
        <v>4099.0</v>
      </c>
      <c r="H223" s="1" t="s">
        <v>64</v>
      </c>
      <c r="I223" s="1" t="s">
        <v>75</v>
      </c>
      <c r="J223" s="1" t="s">
        <v>31</v>
      </c>
      <c r="K223" s="1" t="s">
        <v>568</v>
      </c>
      <c r="L223" s="1" t="s">
        <v>33</v>
      </c>
      <c r="M223" s="1" t="s">
        <v>42</v>
      </c>
      <c r="N223" s="1" t="s">
        <v>76</v>
      </c>
      <c r="O223" s="1" t="s">
        <v>50</v>
      </c>
      <c r="P223" s="1" t="s">
        <v>42</v>
      </c>
      <c r="Q223" s="1" t="s">
        <v>77</v>
      </c>
      <c r="R223" s="8" t="str">
        <f>IFERROR(VLOOKUP(A223,Sheet3!B:H,6,false),VLOOKUP(D223,Sheet2!A:C,2,false))</f>
        <v>https://assets.roomstogo.com/product/tempur-pedic-proadapt-20-firm-twin-xl-mattress_50007484_image-item</v>
      </c>
      <c r="S223" s="8" t="str">
        <f>IFERROR(VLOOKUP(A223,Sheet3!B:H,7,false),VLOOKUP(D223,Sheet2!A:C,3,false))</f>
        <v>https://assets.roomstogo.com/product/tempur-pedic-proadapt-20-firm-twin-xl-mattress_50007484_alt-image-1</v>
      </c>
      <c r="T223" s="11" t="s">
        <v>1271</v>
      </c>
    </row>
    <row r="224">
      <c r="A224" s="4">
        <v>5.0707515E7</v>
      </c>
      <c r="B224" s="9">
        <v>306.0</v>
      </c>
      <c r="C224" s="9">
        <v>4.48</v>
      </c>
      <c r="D224" s="1" t="s">
        <v>80</v>
      </c>
      <c r="E224" s="1" t="s">
        <v>578</v>
      </c>
      <c r="F224" s="6">
        <v>5099.0</v>
      </c>
      <c r="G224" s="6">
        <v>5099.0</v>
      </c>
      <c r="H224" s="1" t="s">
        <v>64</v>
      </c>
      <c r="I224" s="1" t="s">
        <v>82</v>
      </c>
      <c r="J224" s="1" t="s">
        <v>31</v>
      </c>
      <c r="K224" s="1" t="s">
        <v>568</v>
      </c>
      <c r="L224" s="1" t="s">
        <v>41</v>
      </c>
      <c r="M224" s="1" t="s">
        <v>42</v>
      </c>
      <c r="N224" s="1" t="s">
        <v>35</v>
      </c>
      <c r="O224" s="1" t="s">
        <v>50</v>
      </c>
      <c r="P224" s="1" t="s">
        <v>50</v>
      </c>
      <c r="Q224" s="1" t="s">
        <v>37</v>
      </c>
      <c r="R224" s="8" t="str">
        <f>IFERROR(VLOOKUP(A224,Sheet3!B:H,6,false),VLOOKUP(D224,Sheet2!A:C,2,false))</f>
        <v>https://assets.roomstogo.com/product/tempur-pedic-probreeze-20-medium-hybrid-twin-xl-mattress_50007511_image-item</v>
      </c>
      <c r="S224" s="8" t="str">
        <f>IFERROR(VLOOKUP(A224,Sheet3!B:H,7,false),VLOOKUP(D224,Sheet2!A:C,3,false))</f>
        <v>https://assets.roomstogo.com/product/tempur-pedic-probreeze-20-medium-hybrid-twin-xl-mattress_50007511_image-item</v>
      </c>
      <c r="T224" s="11" t="s">
        <v>1272</v>
      </c>
    </row>
    <row r="225">
      <c r="A225" s="4">
        <v>5.0707527E7</v>
      </c>
      <c r="B225" s="9">
        <v>5219.0</v>
      </c>
      <c r="C225" s="9">
        <v>4.27</v>
      </c>
      <c r="D225" s="1" t="s">
        <v>85</v>
      </c>
      <c r="E225" s="1" t="s">
        <v>579</v>
      </c>
      <c r="F225" s="6">
        <v>4099.0</v>
      </c>
      <c r="G225" s="6">
        <v>4099.0</v>
      </c>
      <c r="H225" s="1" t="s">
        <v>64</v>
      </c>
      <c r="I225" s="1" t="s">
        <v>75</v>
      </c>
      <c r="J225" s="1" t="s">
        <v>31</v>
      </c>
      <c r="K225" s="1" t="s">
        <v>568</v>
      </c>
      <c r="L225" s="1" t="s">
        <v>33</v>
      </c>
      <c r="M225" s="1" t="s">
        <v>42</v>
      </c>
      <c r="N225" s="1" t="s">
        <v>35</v>
      </c>
      <c r="O225" s="1" t="s">
        <v>50</v>
      </c>
      <c r="P225" s="1" t="s">
        <v>42</v>
      </c>
      <c r="Q225" s="1" t="s">
        <v>37</v>
      </c>
      <c r="R225" s="8" t="str">
        <f>IFERROR(VLOOKUP(A225,Sheet3!B:H,6,false),VLOOKUP(D225,Sheet2!A:C,2,false))</f>
        <v>https://assets.roomstogo.com/product/tempur-pedic-proadapt-20-medium-twin-xl-mattress_50007523_image-item</v>
      </c>
      <c r="S225" s="8" t="str">
        <f>IFERROR(VLOOKUP(A225,Sheet3!B:H,7,false),VLOOKUP(D225,Sheet2!A:C,3,false))</f>
        <v>https://assets.roomstogo.com/product/tempur-pedic-proadapt-20-medium-twin-xl-mattress_50007523_alt-image-1</v>
      </c>
      <c r="T225" s="11" t="s">
        <v>1273</v>
      </c>
    </row>
    <row r="226">
      <c r="A226" s="4">
        <v>5.0707539E7</v>
      </c>
      <c r="B226" s="9">
        <v>77.0</v>
      </c>
      <c r="C226" s="9">
        <v>4.19</v>
      </c>
      <c r="D226" s="1" t="s">
        <v>89</v>
      </c>
      <c r="E226" s="1" t="s">
        <v>580</v>
      </c>
      <c r="F226" s="6">
        <v>4099.0</v>
      </c>
      <c r="G226" s="6">
        <v>4099.0</v>
      </c>
      <c r="H226" s="1" t="s">
        <v>64</v>
      </c>
      <c r="I226" s="1" t="s">
        <v>91</v>
      </c>
      <c r="J226" s="1" t="s">
        <v>31</v>
      </c>
      <c r="K226" s="1" t="s">
        <v>568</v>
      </c>
      <c r="L226" s="1" t="s">
        <v>33</v>
      </c>
      <c r="M226" s="1" t="s">
        <v>50</v>
      </c>
      <c r="N226" s="1" t="s">
        <v>49</v>
      </c>
      <c r="O226" s="1" t="s">
        <v>50</v>
      </c>
      <c r="P226" s="1" t="s">
        <v>42</v>
      </c>
      <c r="Q226" s="1" t="s">
        <v>51</v>
      </c>
      <c r="R226" s="8" t="str">
        <f>IFERROR(VLOOKUP(A226,Sheet3!B:H,6,false),VLOOKUP(D226,Sheet2!A:C,2,false))</f>
        <v>https://assets.roomstogo.com/product/tempur-pedic-proadapt-20-soft-twin-xl-mattress_50007535_image-item</v>
      </c>
      <c r="S226" s="8" t="str">
        <f>IFERROR(VLOOKUP(A226,Sheet3!B:H,7,false),VLOOKUP(D226,Sheet2!A:C,3,false))</f>
        <v>https://assets.roomstogo.com/product/tempur-pedic-proadapt-20-soft-twin-xl-mattress_50007535_alt-image-1</v>
      </c>
      <c r="T226" s="11" t="s">
        <v>1274</v>
      </c>
    </row>
    <row r="227">
      <c r="A227" s="4">
        <v>5.0707553E7</v>
      </c>
      <c r="B227" s="9">
        <v>975.0</v>
      </c>
      <c r="C227" s="9">
        <v>4.38</v>
      </c>
      <c r="D227" s="1" t="s">
        <v>94</v>
      </c>
      <c r="E227" s="1" t="s">
        <v>581</v>
      </c>
      <c r="F227" s="6">
        <v>4099.0</v>
      </c>
      <c r="G227" s="6">
        <v>4099.0</v>
      </c>
      <c r="H227" s="1" t="s">
        <v>64</v>
      </c>
      <c r="I227" s="1" t="s">
        <v>390</v>
      </c>
      <c r="J227" s="1" t="s">
        <v>31</v>
      </c>
      <c r="K227" s="1" t="s">
        <v>568</v>
      </c>
      <c r="L227" s="1" t="s">
        <v>41</v>
      </c>
      <c r="M227" s="1" t="s">
        <v>42</v>
      </c>
      <c r="N227" s="1" t="s">
        <v>35</v>
      </c>
      <c r="O227" s="1" t="s">
        <v>50</v>
      </c>
      <c r="P227" s="1" t="s">
        <v>42</v>
      </c>
      <c r="Q227" s="1" t="s">
        <v>37</v>
      </c>
      <c r="R227" s="8" t="str">
        <f>IFERROR(VLOOKUP(A227,Sheet3!B:H,6,false),VLOOKUP(D227,Sheet2!A:C,2,false))</f>
        <v>https://assets.roomstogo.com/product/tempur-pedic-proadapt-20-medium-hybrid-twin-xl-mattress_50007559_image-item</v>
      </c>
      <c r="S227" s="8" t="str">
        <f>IFERROR(VLOOKUP(A227,Sheet3!B:H,7,false),VLOOKUP(D227,Sheet2!A:C,3,false))</f>
        <v>https://assets.roomstogo.com/product/tempur-pedic-proadapt-20-medium-hybrid-twin-xl-mattress_50007559_alt-image-1</v>
      </c>
      <c r="T227" s="11" t="s">
        <v>1275</v>
      </c>
    </row>
    <row r="228">
      <c r="A228" s="4">
        <v>5.0707565E7</v>
      </c>
      <c r="B228" s="9">
        <v>1234.0</v>
      </c>
      <c r="C228" s="9">
        <v>4.24</v>
      </c>
      <c r="D228" s="1" t="s">
        <v>99</v>
      </c>
      <c r="E228" s="1" t="s">
        <v>582</v>
      </c>
      <c r="F228" s="6">
        <v>5399.0</v>
      </c>
      <c r="G228" s="6">
        <v>5399.0</v>
      </c>
      <c r="H228" s="1" t="s">
        <v>64</v>
      </c>
      <c r="I228" s="1" t="s">
        <v>101</v>
      </c>
      <c r="J228" s="1" t="s">
        <v>31</v>
      </c>
      <c r="K228" s="1" t="s">
        <v>568</v>
      </c>
      <c r="L228" s="1" t="s">
        <v>33</v>
      </c>
      <c r="M228" s="1" t="s">
        <v>50</v>
      </c>
      <c r="N228" s="1" t="s">
        <v>49</v>
      </c>
      <c r="O228" s="1" t="s">
        <v>50</v>
      </c>
      <c r="P228" s="1" t="s">
        <v>42</v>
      </c>
      <c r="Q228" s="1" t="s">
        <v>51</v>
      </c>
      <c r="R228" s="8" t="str">
        <f>IFERROR(VLOOKUP(A228,Sheet3!B:H,6,false),VLOOKUP(D228,Sheet2!A:C,2,false))</f>
        <v>https://assets.roomstogo.com/product/tempur-pedic-luxeadapt-20-soft-twin-xl-mattress_50007561_image-item</v>
      </c>
      <c r="S228" s="8" t="str">
        <f>IFERROR(VLOOKUP(A228,Sheet3!B:H,7,false),VLOOKUP(D228,Sheet2!A:C,3,false))</f>
        <v>https://assets.roomstogo.com/product/tempur-pedic-luxeadapt-20-soft-twin-xl-mattress_50007561_alt-image-1</v>
      </c>
      <c r="T228" s="11" t="s">
        <v>1276</v>
      </c>
    </row>
    <row r="229">
      <c r="A229" s="4">
        <v>5.0707589E7</v>
      </c>
      <c r="B229" s="9">
        <v>129.0</v>
      </c>
      <c r="C229" s="9">
        <v>4.62</v>
      </c>
      <c r="D229" s="1" t="s">
        <v>104</v>
      </c>
      <c r="E229" s="1" t="s">
        <v>583</v>
      </c>
      <c r="F229" s="6">
        <v>5399.0</v>
      </c>
      <c r="G229" s="6">
        <v>5399.0</v>
      </c>
      <c r="H229" s="1" t="s">
        <v>64</v>
      </c>
      <c r="I229" s="1" t="s">
        <v>106</v>
      </c>
      <c r="J229" s="1" t="s">
        <v>31</v>
      </c>
      <c r="K229" s="1" t="s">
        <v>568</v>
      </c>
      <c r="L229" s="1" t="s">
        <v>41</v>
      </c>
      <c r="M229" s="1" t="s">
        <v>50</v>
      </c>
      <c r="N229" s="1" t="s">
        <v>35</v>
      </c>
      <c r="O229" s="1" t="s">
        <v>50</v>
      </c>
      <c r="P229" s="1" t="s">
        <v>42</v>
      </c>
      <c r="Q229" s="1" t="s">
        <v>37</v>
      </c>
      <c r="R229" s="8" t="str">
        <f>IFERROR(VLOOKUP(A229,Sheet3!B:H,6,false),VLOOKUP(D229,Sheet2!A:C,2,false))</f>
        <v>https://assets.roomstogo.com/product/tempur-pedic-luxeadapt-20-medium-hybrid-twin-xl-mattress_50007585_image-item</v>
      </c>
      <c r="S229" s="8" t="str">
        <f>IFERROR(VLOOKUP(A229,Sheet3!B:H,7,false),VLOOKUP(D229,Sheet2!A:C,3,false))</f>
        <v>https://assets.roomstogo.com/product/tempur-pedic-luxeadapt-20-medium-hybrid-twin-xl-mattress_50007585_alt-image-1</v>
      </c>
      <c r="T229" s="11" t="s">
        <v>1277</v>
      </c>
    </row>
    <row r="230">
      <c r="A230" s="4">
        <v>5.0707628E7</v>
      </c>
      <c r="B230" s="9">
        <v>440.0</v>
      </c>
      <c r="C230" s="9">
        <v>4.54</v>
      </c>
      <c r="D230" s="1" t="s">
        <v>109</v>
      </c>
      <c r="E230" s="1" t="s">
        <v>584</v>
      </c>
      <c r="F230" s="6">
        <v>6399.0</v>
      </c>
      <c r="G230" s="6">
        <v>6399.0</v>
      </c>
      <c r="H230" s="1" t="s">
        <v>64</v>
      </c>
      <c r="I230" s="1" t="s">
        <v>111</v>
      </c>
      <c r="J230" s="1" t="s">
        <v>31</v>
      </c>
      <c r="K230" s="1" t="s">
        <v>568</v>
      </c>
      <c r="L230" s="1" t="s">
        <v>33</v>
      </c>
      <c r="M230" s="1" t="s">
        <v>50</v>
      </c>
      <c r="N230" s="1" t="s">
        <v>76</v>
      </c>
      <c r="O230" s="1" t="s">
        <v>50</v>
      </c>
      <c r="P230" s="1" t="s">
        <v>50</v>
      </c>
      <c r="Q230" s="1" t="s">
        <v>77</v>
      </c>
      <c r="R230" s="8" t="str">
        <f>IFERROR(VLOOKUP(A230,Sheet3!B:H,6,false),VLOOKUP(D230,Sheet2!A:C,2,false))</f>
        <v>https://assets.roomstogo.com/product/tempur-pedic-luxebreeze-20-firm-twin-xl-mattress_50007624_image-item</v>
      </c>
      <c r="S230" s="8" t="str">
        <f>IFERROR(VLOOKUP(A230,Sheet3!B:H,7,false),VLOOKUP(D230,Sheet2!A:C,3,false))</f>
        <v>https://assets.roomstogo.com/product/tempur-pedic-luxebreeze-20-firm-twin-xl-mattress_50007624_image-item</v>
      </c>
      <c r="T230" s="11" t="s">
        <v>1278</v>
      </c>
    </row>
    <row r="231">
      <c r="A231" s="4">
        <v>5.0709874E7</v>
      </c>
      <c r="B231" s="9">
        <v>10.0</v>
      </c>
      <c r="C231" s="9">
        <v>4.0</v>
      </c>
      <c r="D231" s="1" t="s">
        <v>112</v>
      </c>
      <c r="E231" s="1" t="s">
        <v>585</v>
      </c>
      <c r="F231" s="6">
        <v>1397.0</v>
      </c>
      <c r="G231" s="6">
        <v>1699.0</v>
      </c>
      <c r="H231" s="1" t="s">
        <v>114</v>
      </c>
      <c r="I231" s="7"/>
      <c r="J231" s="1" t="s">
        <v>31</v>
      </c>
      <c r="K231" s="1" t="s">
        <v>568</v>
      </c>
      <c r="L231" s="1" t="s">
        <v>41</v>
      </c>
      <c r="M231" s="1" t="s">
        <v>34</v>
      </c>
      <c r="N231" s="1" t="s">
        <v>35</v>
      </c>
      <c r="O231" s="1" t="s">
        <v>34</v>
      </c>
      <c r="P231" s="1" t="s">
        <v>34</v>
      </c>
      <c r="Q231" s="1" t="s">
        <v>37</v>
      </c>
      <c r="R231" s="8" t="str">
        <f>IFERROR(VLOOKUP(A231,Sheet3!B:H,6,false),VLOOKUP(D231,Sheet2!A:C,2,false))</f>
        <v>https://assets.roomstogo.com/product/tuft-needle-stitch-tn31-twin-xl-mattress_50009870_image-item</v>
      </c>
      <c r="S231" s="8" t="str">
        <f>IFERROR(VLOOKUP(A231,Sheet3!B:H,7,false),VLOOKUP(D231,Sheet2!A:C,3,false))</f>
        <v>https://assets.roomstogo.com/product/tuft-needle-stitch-tn31-twin-xl-mattress_50009870_alt-image-1</v>
      </c>
      <c r="T231" s="11" t="s">
        <v>1279</v>
      </c>
    </row>
    <row r="232">
      <c r="A232" s="4">
        <v>5.0709886E7</v>
      </c>
      <c r="B232" s="9">
        <v>11.0</v>
      </c>
      <c r="C232" s="9">
        <v>3.91</v>
      </c>
      <c r="D232" s="1" t="s">
        <v>115</v>
      </c>
      <c r="E232" s="1" t="s">
        <v>586</v>
      </c>
      <c r="F232" s="6">
        <v>1495.0</v>
      </c>
      <c r="G232" s="6">
        <v>2199.0</v>
      </c>
      <c r="H232" s="1" t="s">
        <v>114</v>
      </c>
      <c r="I232" s="7"/>
      <c r="J232" s="1" t="s">
        <v>31</v>
      </c>
      <c r="K232" s="1" t="s">
        <v>568</v>
      </c>
      <c r="L232" s="1" t="s">
        <v>41</v>
      </c>
      <c r="M232" s="1" t="s">
        <v>42</v>
      </c>
      <c r="N232" s="1" t="s">
        <v>76</v>
      </c>
      <c r="O232" s="1" t="s">
        <v>42</v>
      </c>
      <c r="P232" s="1" t="s">
        <v>42</v>
      </c>
      <c r="Q232" s="1" t="s">
        <v>77</v>
      </c>
      <c r="R232" s="8" t="str">
        <f>IFERROR(VLOOKUP(A232,Sheet3!B:H,6,false),VLOOKUP(D232,Sheet2!A:C,2,false))</f>
        <v>https://assets.roomstogo.com/product/tuft-needle-stitch-tn51-twin-xl-mattress_50009882_image-item</v>
      </c>
      <c r="S232" s="8" t="str">
        <f>IFERROR(VLOOKUP(A232,Sheet3!B:H,7,false),VLOOKUP(D232,Sheet2!A:C,3,false))</f>
        <v>https://assets.roomstogo.com/product/tuft-needle-stitch-tn51-twin-xl-mattress_50009882_alt-image-1</v>
      </c>
      <c r="T232" s="11" t="s">
        <v>1280</v>
      </c>
    </row>
    <row r="233">
      <c r="A233" s="4">
        <v>5.0709901E7</v>
      </c>
      <c r="B233" s="9">
        <v>1.0</v>
      </c>
      <c r="C233" s="9">
        <v>5.0</v>
      </c>
      <c r="D233" s="1" t="s">
        <v>117</v>
      </c>
      <c r="E233" s="1" t="s">
        <v>589</v>
      </c>
      <c r="F233" s="6">
        <v>2497.0</v>
      </c>
      <c r="G233" s="6">
        <v>2999.0</v>
      </c>
      <c r="H233" s="1" t="s">
        <v>114</v>
      </c>
      <c r="I233" s="7"/>
      <c r="J233" s="1" t="s">
        <v>31</v>
      </c>
      <c r="K233" s="1" t="s">
        <v>568</v>
      </c>
      <c r="L233" s="1" t="s">
        <v>41</v>
      </c>
      <c r="M233" s="1" t="s">
        <v>50</v>
      </c>
      <c r="N233" s="1" t="s">
        <v>49</v>
      </c>
      <c r="O233" s="1" t="s">
        <v>42</v>
      </c>
      <c r="P233" s="1" t="s">
        <v>42</v>
      </c>
      <c r="Q233" s="1" t="s">
        <v>51</v>
      </c>
      <c r="R233" s="8" t="str">
        <f>IFERROR(VLOOKUP(A233,Sheet3!B:H,6,false),VLOOKUP(D233,Sheet2!A:C,2,false))</f>
        <v>https://assets.roomstogo.com/product/tuft-needle-stitch-tn91-twin-xl-mattress_50009907_image-item</v>
      </c>
      <c r="S233" s="8" t="str">
        <f>IFERROR(VLOOKUP(A233,Sheet3!B:H,7,false),VLOOKUP(D233,Sheet2!A:C,3,false))</f>
        <v>https://assets.roomstogo.com/product/tuft-needle-stitch-tn91-twin-xl-mattress_50009907_alt-image-1</v>
      </c>
      <c r="T233" s="11" t="s">
        <v>1281</v>
      </c>
    </row>
    <row r="234">
      <c r="A234" s="4">
        <v>5.0709937E7</v>
      </c>
      <c r="B234" s="9">
        <v>9.0</v>
      </c>
      <c r="C234" s="9">
        <v>4.89</v>
      </c>
      <c r="D234" s="1" t="s">
        <v>119</v>
      </c>
      <c r="E234" s="1" t="s">
        <v>590</v>
      </c>
      <c r="F234" s="6">
        <v>1177.0</v>
      </c>
      <c r="G234" s="6">
        <v>1299.0</v>
      </c>
      <c r="H234" s="1" t="s">
        <v>114</v>
      </c>
      <c r="I234" s="1" t="s">
        <v>121</v>
      </c>
      <c r="J234" s="1" t="s">
        <v>31</v>
      </c>
      <c r="K234" s="1" t="s">
        <v>568</v>
      </c>
      <c r="L234" s="1" t="s">
        <v>33</v>
      </c>
      <c r="M234" s="1" t="s">
        <v>36</v>
      </c>
      <c r="N234" s="1" t="s">
        <v>76</v>
      </c>
      <c r="O234" s="1" t="s">
        <v>36</v>
      </c>
      <c r="P234" s="1" t="s">
        <v>36</v>
      </c>
      <c r="Q234" s="1" t="s">
        <v>77</v>
      </c>
      <c r="R234" s="8" t="str">
        <f>IFERROR(VLOOKUP(A234,Sheet3!B:H,6,false),VLOOKUP(D234,Sheet2!A:C,2,false))</f>
        <v>https://assets.roomstogo.com/product/tuft-needle-tn1-twin-xl-mattress_50009933_image-item</v>
      </c>
      <c r="S234" s="8" t="str">
        <f>IFERROR(VLOOKUP(A234,Sheet3!B:H,7,false),VLOOKUP(D234,Sheet2!A:C,3,false))</f>
        <v>https://assets.roomstogo.com/product/tuft-needle-tn1-twin-xl-mattress_50009933_alt-image-1</v>
      </c>
      <c r="T234" s="11" t="s">
        <v>1282</v>
      </c>
    </row>
    <row r="235">
      <c r="A235" s="4">
        <v>5.0710574E7</v>
      </c>
      <c r="B235" s="9">
        <v>8.0</v>
      </c>
      <c r="C235" s="9">
        <v>4.88</v>
      </c>
      <c r="D235" s="1" t="s">
        <v>122</v>
      </c>
      <c r="E235" s="1" t="s">
        <v>591</v>
      </c>
      <c r="F235" s="6">
        <v>897.0</v>
      </c>
      <c r="G235" s="6">
        <v>1399.0</v>
      </c>
      <c r="H235" s="1" t="s">
        <v>124</v>
      </c>
      <c r="I235" s="1" t="s">
        <v>492</v>
      </c>
      <c r="J235" s="1" t="s">
        <v>31</v>
      </c>
      <c r="K235" s="1" t="s">
        <v>568</v>
      </c>
      <c r="L235" s="1" t="s">
        <v>33</v>
      </c>
      <c r="M235" s="1" t="s">
        <v>34</v>
      </c>
      <c r="N235" s="1" t="s">
        <v>35</v>
      </c>
      <c r="O235" s="1" t="s">
        <v>34</v>
      </c>
      <c r="P235" s="1" t="s">
        <v>34</v>
      </c>
      <c r="Q235" s="1" t="s">
        <v>37</v>
      </c>
      <c r="R235" s="8" t="str">
        <f>IFERROR(VLOOKUP(A235,Sheet3!B:H,6,false),VLOOKUP(D235,Sheet2!A:C,2,false))</f>
        <v>https://assets.roomstogo.com/product/molecule-core-twin-xl-mattress_50010570_image-item</v>
      </c>
      <c r="S235" s="8" t="str">
        <f>IFERROR(VLOOKUP(A235,Sheet3!B:H,7,false),VLOOKUP(D235,Sheet2!A:C,3,false))</f>
        <v>https://assets.roomstogo.com/product/molecule-core-twin-xl-mattress_50010570_alt-image-1</v>
      </c>
      <c r="T235" s="11" t="s">
        <v>1283</v>
      </c>
    </row>
    <row r="236">
      <c r="A236" s="4">
        <v>5.0710675E7</v>
      </c>
      <c r="B236" s="9">
        <v>192.0</v>
      </c>
      <c r="C236" s="9">
        <v>4.4</v>
      </c>
      <c r="D236" s="1" t="s">
        <v>127</v>
      </c>
      <c r="E236" s="1" t="s">
        <v>592</v>
      </c>
      <c r="F236" s="6">
        <v>1195.0</v>
      </c>
      <c r="G236" s="6">
        <v>1499.99</v>
      </c>
      <c r="H236" s="1" t="s">
        <v>129</v>
      </c>
      <c r="I236" s="1" t="s">
        <v>130</v>
      </c>
      <c r="J236" s="1" t="s">
        <v>31</v>
      </c>
      <c r="K236" s="1" t="s">
        <v>568</v>
      </c>
      <c r="L236" s="1" t="s">
        <v>41</v>
      </c>
      <c r="M236" s="1" t="s">
        <v>34</v>
      </c>
      <c r="N236" s="1" t="s">
        <v>35</v>
      </c>
      <c r="O236" s="1" t="s">
        <v>34</v>
      </c>
      <c r="P236" s="1" t="s">
        <v>34</v>
      </c>
      <c r="Q236" s="1" t="s">
        <v>37</v>
      </c>
      <c r="R236" s="8" t="str">
        <f>IFERROR(VLOOKUP(A236,Sheet3!B:H,6,false),VLOOKUP(D236,Sheet2!A:C,2,false))</f>
        <v>https://assets.roomstogo.com/product/beautyrest-select-broad-peak-medium-hybrid-twin-xl-mattress_50010671_image-item</v>
      </c>
      <c r="S236" s="8" t="str">
        <f>IFERROR(VLOOKUP(A236,Sheet3!B:H,7,false),VLOOKUP(D236,Sheet2!A:C,3,false))</f>
        <v>https://assets.roomstogo.com/product/beautyrest-select-broad-peak-medium-hybrid-twin-xl-mattress_50010671_alt-image-1</v>
      </c>
      <c r="T236" s="11" t="s">
        <v>1284</v>
      </c>
    </row>
    <row r="237">
      <c r="A237" s="4">
        <v>5.0711348E7</v>
      </c>
      <c r="B237" s="9">
        <v>10.0</v>
      </c>
      <c r="C237" s="9">
        <v>4.2</v>
      </c>
      <c r="D237" s="1" t="s">
        <v>141</v>
      </c>
      <c r="E237" s="1" t="s">
        <v>593</v>
      </c>
      <c r="F237" s="6">
        <v>1097.0</v>
      </c>
      <c r="G237" s="6">
        <v>1299.99</v>
      </c>
      <c r="H237" s="1" t="s">
        <v>143</v>
      </c>
      <c r="I237" s="7"/>
      <c r="J237" s="1" t="s">
        <v>31</v>
      </c>
      <c r="K237" s="1" t="s">
        <v>568</v>
      </c>
      <c r="L237" s="1" t="s">
        <v>59</v>
      </c>
      <c r="M237" s="1" t="s">
        <v>36</v>
      </c>
      <c r="N237" s="1" t="s">
        <v>76</v>
      </c>
      <c r="O237" s="1" t="s">
        <v>34</v>
      </c>
      <c r="P237" s="1" t="s">
        <v>36</v>
      </c>
      <c r="Q237" s="1" t="s">
        <v>144</v>
      </c>
      <c r="R237" s="8" t="str">
        <f>IFERROR(VLOOKUP(A237,Sheet3!B:H,6,false),VLOOKUP(D237,Sheet2!A:C,2,false))</f>
        <v>https://assets.roomstogo.com/product/therapedic-forester-twin-xl-mattress_50011344_image-item</v>
      </c>
      <c r="S237" s="8" t="str">
        <f>IFERROR(VLOOKUP(A237,Sheet3!B:H,7,false),VLOOKUP(D237,Sheet2!A:C,3,false))</f>
        <v>https://assets.roomstogo.com/product/therapedic-forester-twin-xl-mattress_50011344_alt-image-1</v>
      </c>
      <c r="T237" s="11" t="s">
        <v>1285</v>
      </c>
    </row>
    <row r="238">
      <c r="A238" s="4">
        <v>5.0711362E7</v>
      </c>
      <c r="B238" s="9">
        <v>20.0</v>
      </c>
      <c r="C238" s="9">
        <v>4.3</v>
      </c>
      <c r="D238" s="1" t="s">
        <v>145</v>
      </c>
      <c r="E238" s="1" t="s">
        <v>594</v>
      </c>
      <c r="F238" s="6">
        <v>897.0</v>
      </c>
      <c r="G238" s="6">
        <v>999.99</v>
      </c>
      <c r="H238" s="1" t="s">
        <v>143</v>
      </c>
      <c r="I238" s="7"/>
      <c r="J238" s="1" t="s">
        <v>31</v>
      </c>
      <c r="K238" s="1" t="s">
        <v>568</v>
      </c>
      <c r="L238" s="1" t="s">
        <v>59</v>
      </c>
      <c r="M238" s="1" t="s">
        <v>36</v>
      </c>
      <c r="N238" s="1" t="s">
        <v>35</v>
      </c>
      <c r="O238" s="1" t="s">
        <v>36</v>
      </c>
      <c r="P238" s="1" t="s">
        <v>34</v>
      </c>
      <c r="Q238" s="1" t="s">
        <v>37</v>
      </c>
      <c r="R238" s="8" t="str">
        <f>IFERROR(VLOOKUP(A238,Sheet3!B:H,6,false),VLOOKUP(D238,Sheet2!A:C,2,false))</f>
        <v>https://assets.roomstogo.com/product/therapedic-darlington-twin-xl-mattress_50011368_image-item</v>
      </c>
      <c r="S238" s="8" t="str">
        <f>IFERROR(VLOOKUP(A238,Sheet3!B:H,7,false),VLOOKUP(D238,Sheet2!A:C,3,false))</f>
        <v>https://assets.roomstogo.com/product/therapedic-darlington-twin-xl-mattress_50011368_alt-image-1</v>
      </c>
      <c r="T238" s="11" t="s">
        <v>1286</v>
      </c>
    </row>
    <row r="239">
      <c r="A239" s="4">
        <v>5.0711386E7</v>
      </c>
      <c r="B239" s="5"/>
      <c r="C239" s="5"/>
      <c r="D239" s="1" t="s">
        <v>147</v>
      </c>
      <c r="E239" s="1" t="s">
        <v>595</v>
      </c>
      <c r="F239" s="6">
        <v>1177.0</v>
      </c>
      <c r="G239" s="6">
        <v>1499.99</v>
      </c>
      <c r="H239" s="1" t="s">
        <v>149</v>
      </c>
      <c r="I239" s="7"/>
      <c r="J239" s="7"/>
      <c r="K239" s="1" t="s">
        <v>568</v>
      </c>
      <c r="L239" s="1" t="s">
        <v>41</v>
      </c>
      <c r="M239" s="1" t="s">
        <v>36</v>
      </c>
      <c r="N239" s="1" t="s">
        <v>49</v>
      </c>
      <c r="O239" s="1" t="s">
        <v>34</v>
      </c>
      <c r="P239" s="1" t="s">
        <v>34</v>
      </c>
      <c r="Q239" s="1" t="s">
        <v>51</v>
      </c>
      <c r="R239" s="8" t="str">
        <f>IFERROR(VLOOKUP(A239,Sheet3!B:H,6,false),VLOOKUP(D239,Sheet2!A:C,2,false))</f>
        <v>https://assets.roomstogo.com/product/therapedic-hastings-twin-xl-mattress_50011382_image-item</v>
      </c>
      <c r="S239" s="8" t="str">
        <f>IFERROR(VLOOKUP(A239,Sheet3!B:H,7,false),VLOOKUP(D239,Sheet2!A:C,3,false))</f>
        <v>https://assets.roomstogo.com/product/therapedic-hastings-twin-xl-mattress_50011382_alt-image-1</v>
      </c>
      <c r="T239" s="11" t="s">
        <v>1287</v>
      </c>
    </row>
    <row r="240">
      <c r="A240" s="4">
        <v>5.0711451E7</v>
      </c>
      <c r="B240" s="9">
        <v>9.0</v>
      </c>
      <c r="C240" s="9">
        <v>4.33</v>
      </c>
      <c r="D240" s="1" t="s">
        <v>150</v>
      </c>
      <c r="E240" s="1" t="s">
        <v>596</v>
      </c>
      <c r="F240" s="6">
        <v>1899.99</v>
      </c>
      <c r="G240" s="6">
        <v>1899.99</v>
      </c>
      <c r="H240" s="1" t="s">
        <v>149</v>
      </c>
      <c r="I240" s="7"/>
      <c r="J240" s="1" t="s">
        <v>31</v>
      </c>
      <c r="K240" s="1" t="s">
        <v>568</v>
      </c>
      <c r="L240" s="1" t="s">
        <v>41</v>
      </c>
      <c r="M240" s="1" t="s">
        <v>34</v>
      </c>
      <c r="N240" s="1" t="s">
        <v>76</v>
      </c>
      <c r="O240" s="1" t="s">
        <v>42</v>
      </c>
      <c r="P240" s="1" t="s">
        <v>34</v>
      </c>
      <c r="Q240" s="1" t="s">
        <v>77</v>
      </c>
      <c r="R240" s="8" t="str">
        <f>IFERROR(VLOOKUP(A240,Sheet3!B:H,6,false),VLOOKUP(D240,Sheet2!A:C,2,false))</f>
        <v>https://assets.roomstogo.com/product/therapedic-kaanapali-twin-xl-mattress_50011457_image-item</v>
      </c>
      <c r="S240" s="8" t="str">
        <f>IFERROR(VLOOKUP(A240,Sheet3!B:H,7,false),VLOOKUP(D240,Sheet2!A:C,3,false))</f>
        <v>https://assets.roomstogo.com/product/therapedic-kaanapali-twin-xl-mattress_50011457_alt-image-1</v>
      </c>
      <c r="T240" s="11" t="s">
        <v>1288</v>
      </c>
    </row>
    <row r="241">
      <c r="A241" s="4">
        <v>5.0711499E7</v>
      </c>
      <c r="B241" s="9">
        <v>13.0</v>
      </c>
      <c r="C241" s="9">
        <v>3.92</v>
      </c>
      <c r="D241" s="1" t="s">
        <v>154</v>
      </c>
      <c r="E241" s="1" t="s">
        <v>597</v>
      </c>
      <c r="F241" s="6">
        <v>2299.99</v>
      </c>
      <c r="G241" s="6">
        <v>2299.99</v>
      </c>
      <c r="H241" s="1" t="s">
        <v>149</v>
      </c>
      <c r="I241" s="7"/>
      <c r="J241" s="1" t="s">
        <v>31</v>
      </c>
      <c r="K241" s="1" t="s">
        <v>568</v>
      </c>
      <c r="L241" s="1" t="s">
        <v>41</v>
      </c>
      <c r="M241" s="1" t="s">
        <v>42</v>
      </c>
      <c r="N241" s="1" t="s">
        <v>35</v>
      </c>
      <c r="O241" s="1" t="s">
        <v>42</v>
      </c>
      <c r="P241" s="1" t="s">
        <v>34</v>
      </c>
      <c r="Q241" s="1" t="s">
        <v>37</v>
      </c>
      <c r="R241" s="8" t="str">
        <f>IFERROR(VLOOKUP(A241,Sheet3!B:H,6,false),VLOOKUP(D241,Sheet2!A:C,2,false))</f>
        <v>https://assets.roomstogo.com/product/therapedic-ledo-twin-xl-mattress_50011495_image-item</v>
      </c>
      <c r="S241" s="8" t="str">
        <f>IFERROR(VLOOKUP(A241,Sheet3!B:H,7,false),VLOOKUP(D241,Sheet2!A:C,3,false))</f>
        <v>https://assets.roomstogo.com/product/therapedic-ledo-twin-xl-mattress_50011495_alt-image-1</v>
      </c>
      <c r="T241" s="11" t="s">
        <v>1289</v>
      </c>
    </row>
    <row r="242">
      <c r="A242" s="4">
        <v>5.0720866E7</v>
      </c>
      <c r="B242" s="9">
        <v>9.0</v>
      </c>
      <c r="C242" s="9">
        <v>4.0</v>
      </c>
      <c r="D242" s="1" t="s">
        <v>156</v>
      </c>
      <c r="E242" s="1" t="s">
        <v>598</v>
      </c>
      <c r="F242" s="6">
        <v>1397.0</v>
      </c>
      <c r="G242" s="6">
        <v>1699.99</v>
      </c>
      <c r="H242" s="1" t="s">
        <v>158</v>
      </c>
      <c r="I242" s="7"/>
      <c r="J242" s="1" t="s">
        <v>31</v>
      </c>
      <c r="K242" s="1" t="s">
        <v>568</v>
      </c>
      <c r="L242" s="1" t="s">
        <v>59</v>
      </c>
      <c r="M242" s="1" t="s">
        <v>34</v>
      </c>
      <c r="N242" s="1" t="s">
        <v>35</v>
      </c>
      <c r="O242" s="1" t="s">
        <v>34</v>
      </c>
      <c r="P242" s="1" t="s">
        <v>34</v>
      </c>
      <c r="Q242" s="1" t="s">
        <v>37</v>
      </c>
      <c r="R242" s="8" t="str">
        <f>IFERROR(VLOOKUP(A242,Sheet3!B:H,6,false),VLOOKUP(D242,Sheet2!A:C,2,false))</f>
        <v>https://assets.roomstogo.com/product/drew-jonathan-capertee-twin-xl-mattress_50020862_image-item</v>
      </c>
      <c r="S242" s="8" t="str">
        <f>IFERROR(VLOOKUP(A242,Sheet3!B:H,7,false),VLOOKUP(D242,Sheet2!A:C,3,false))</f>
        <v>https://assets.roomstogo.com/product/drew-jonathan-capertee-twin-xl-mattress_50020862_alt-image-1</v>
      </c>
      <c r="T242" s="11" t="s">
        <v>1290</v>
      </c>
    </row>
    <row r="243">
      <c r="A243" s="4">
        <v>5.0720929E7</v>
      </c>
      <c r="B243" s="5"/>
      <c r="C243" s="5"/>
      <c r="D243" s="1" t="s">
        <v>159</v>
      </c>
      <c r="E243" s="1" t="s">
        <v>599</v>
      </c>
      <c r="F243" s="6">
        <v>2097.0</v>
      </c>
      <c r="G243" s="6">
        <v>2399.99</v>
      </c>
      <c r="H243" s="1" t="s">
        <v>158</v>
      </c>
      <c r="I243" s="7"/>
      <c r="J243" s="1" t="s">
        <v>31</v>
      </c>
      <c r="K243" s="1" t="s">
        <v>568</v>
      </c>
      <c r="L243" s="1" t="s">
        <v>59</v>
      </c>
      <c r="M243" s="1" t="s">
        <v>42</v>
      </c>
      <c r="N243" s="1" t="s">
        <v>49</v>
      </c>
      <c r="O243" s="1" t="s">
        <v>34</v>
      </c>
      <c r="P243" s="1" t="s">
        <v>34</v>
      </c>
      <c r="Q243" s="1" t="s">
        <v>51</v>
      </c>
      <c r="R243" s="8" t="str">
        <f>IFERROR(VLOOKUP(A243,Sheet3!B:H,6,false),VLOOKUP(D243,Sheet2!A:C,2,false))</f>
        <v>https://assets.roomstogo.com/product/drew-jonathan-arada-canyon-twin-xl-mattress_50020925_image-item</v>
      </c>
      <c r="S243" s="8" t="str">
        <f>IFERROR(VLOOKUP(A243,Sheet3!B:H,7,false),VLOOKUP(D243,Sheet2!A:C,3,false))</f>
        <v>https://assets.roomstogo.com/product/drew-jonathan-arada-canyon-twin-xl-mattress_50020925_alt-image-1</v>
      </c>
      <c r="T243" s="11" t="s">
        <v>1291</v>
      </c>
    </row>
    <row r="244">
      <c r="A244" s="4">
        <v>5.0722214E7</v>
      </c>
      <c r="B244" s="5"/>
      <c r="C244" s="5"/>
      <c r="D244" s="1" t="s">
        <v>163</v>
      </c>
      <c r="E244" s="1" t="s">
        <v>600</v>
      </c>
      <c r="F244" s="6">
        <v>697.0</v>
      </c>
      <c r="G244" s="6">
        <v>999.99</v>
      </c>
      <c r="H244" s="1" t="s">
        <v>165</v>
      </c>
      <c r="I244" s="1" t="s">
        <v>166</v>
      </c>
      <c r="J244" s="1" t="s">
        <v>31</v>
      </c>
      <c r="K244" s="1" t="s">
        <v>568</v>
      </c>
      <c r="L244" s="1" t="s">
        <v>41</v>
      </c>
      <c r="M244" s="1" t="s">
        <v>36</v>
      </c>
      <c r="N244" s="1" t="s">
        <v>35</v>
      </c>
      <c r="O244" s="1" t="s">
        <v>34</v>
      </c>
      <c r="P244" s="1" t="s">
        <v>36</v>
      </c>
      <c r="Q244" s="1" t="s">
        <v>37</v>
      </c>
      <c r="R244" s="8" t="str">
        <f>IFERROR(VLOOKUP(A244,Sheet3!B:H,6,false),VLOOKUP(D244,Sheet2!A:C,2,false))</f>
        <v>https://assets.roomstogo.com/product/beauty-sleep-oceana-mist-medium-hybrid-twin-xl-mattress_50022210_image-item</v>
      </c>
      <c r="S244" s="8" t="str">
        <f>IFERROR(VLOOKUP(A244,Sheet3!B:H,7,false),VLOOKUP(D244,Sheet2!A:C,3,false))</f>
        <v>https://assets.roomstogo.com/product/beauty-sleep-oceana-mist-medium-hybrid-twin-xl-mattress_50022210_alt-image-8</v>
      </c>
      <c r="T244" s="11" t="s">
        <v>1292</v>
      </c>
    </row>
    <row r="245">
      <c r="A245" s="4">
        <v>5.0725741E7</v>
      </c>
      <c r="B245" s="9">
        <v>13.0</v>
      </c>
      <c r="C245" s="9">
        <v>4.08</v>
      </c>
      <c r="D245" s="1" t="s">
        <v>169</v>
      </c>
      <c r="E245" s="1" t="s">
        <v>601</v>
      </c>
      <c r="F245" s="6">
        <v>1749.0</v>
      </c>
      <c r="G245" s="6">
        <v>1749.0</v>
      </c>
      <c r="H245" s="1" t="s">
        <v>171</v>
      </c>
      <c r="I245" s="1" t="s">
        <v>172</v>
      </c>
      <c r="J245" s="1" t="s">
        <v>31</v>
      </c>
      <c r="K245" s="1" t="s">
        <v>568</v>
      </c>
      <c r="L245" s="1" t="s">
        <v>59</v>
      </c>
      <c r="M245" s="1" t="s">
        <v>42</v>
      </c>
      <c r="N245" s="1" t="s">
        <v>49</v>
      </c>
      <c r="O245" s="1" t="s">
        <v>42</v>
      </c>
      <c r="P245" s="1" t="s">
        <v>42</v>
      </c>
      <c r="Q245" s="1" t="s">
        <v>51</v>
      </c>
      <c r="R245" s="8" t="str">
        <f>IFERROR(VLOOKUP(A245,Sheet3!B:H,6,false),VLOOKUP(D245,Sheet2!A:C,2,false))</f>
        <v>https://assets.roomstogo.com/product/beautyrest-world-class-level-three-plush-twin-xl-mattress_50025747_image-item</v>
      </c>
      <c r="S245" s="8" t="str">
        <f>IFERROR(VLOOKUP(A245,Sheet3!B:H,7,false),VLOOKUP(D245,Sheet2!A:C,3,false))</f>
        <v>https://assets.roomstogo.com/product/beautyrest-world-class-level-three-plush-twin-xl-mattress_50025747_alt-image-13</v>
      </c>
      <c r="T245" s="11" t="s">
        <v>1293</v>
      </c>
    </row>
    <row r="246">
      <c r="A246" s="4">
        <v>5.0725753E7</v>
      </c>
      <c r="B246" s="9">
        <v>14.0</v>
      </c>
      <c r="C246" s="9">
        <v>3.71</v>
      </c>
      <c r="D246" s="1" t="s">
        <v>173</v>
      </c>
      <c r="E246" s="1" t="s">
        <v>602</v>
      </c>
      <c r="F246" s="6">
        <v>1949.0</v>
      </c>
      <c r="G246" s="6">
        <v>1949.0</v>
      </c>
      <c r="H246" s="1" t="s">
        <v>171</v>
      </c>
      <c r="I246" s="1" t="s">
        <v>175</v>
      </c>
      <c r="J246" s="1" t="s">
        <v>31</v>
      </c>
      <c r="K246" s="1" t="s">
        <v>568</v>
      </c>
      <c r="L246" s="1" t="s">
        <v>59</v>
      </c>
      <c r="M246" s="1" t="s">
        <v>42</v>
      </c>
      <c r="N246" s="1" t="s">
        <v>35</v>
      </c>
      <c r="O246" s="1" t="s">
        <v>42</v>
      </c>
      <c r="P246" s="1" t="s">
        <v>42</v>
      </c>
      <c r="Q246" s="1" t="s">
        <v>37</v>
      </c>
      <c r="R246" s="8" t="str">
        <f>IFERROR(VLOOKUP(A246,Sheet3!B:H,6,false),VLOOKUP(D246,Sheet2!A:C,2,false))</f>
        <v>https://assets.roomstogo.com/product/beautyrest-world-class-level-three-medium-pillow-top-twin-xl-mattress_50025759_image-item</v>
      </c>
      <c r="S246" s="8" t="str">
        <f>IFERROR(VLOOKUP(A246,Sheet3!B:H,7,false),VLOOKUP(D246,Sheet2!A:C,3,false))</f>
        <v>https://assets.roomstogo.com/product/beautyrest-world-class-level-three-medium-pillow-top-twin-xl-mattress_50025759_alt-image-13</v>
      </c>
      <c r="T246" s="11" t="s">
        <v>1294</v>
      </c>
    </row>
    <row r="247">
      <c r="A247" s="4">
        <v>5.0725804E7</v>
      </c>
      <c r="B247" s="5"/>
      <c r="C247" s="5"/>
      <c r="D247" s="1" t="s">
        <v>176</v>
      </c>
      <c r="E247" s="1" t="s">
        <v>603</v>
      </c>
      <c r="F247" s="6">
        <v>2299.0</v>
      </c>
      <c r="G247" s="6">
        <v>2299.0</v>
      </c>
      <c r="H247" s="1" t="s">
        <v>171</v>
      </c>
      <c r="I247" s="1" t="s">
        <v>178</v>
      </c>
      <c r="J247" s="1" t="s">
        <v>31</v>
      </c>
      <c r="K247" s="1" t="s">
        <v>568</v>
      </c>
      <c r="L247" s="1" t="s">
        <v>59</v>
      </c>
      <c r="M247" s="1" t="s">
        <v>50</v>
      </c>
      <c r="N247" s="1" t="s">
        <v>49</v>
      </c>
      <c r="O247" s="1" t="s">
        <v>42</v>
      </c>
      <c r="P247" s="1" t="s">
        <v>42</v>
      </c>
      <c r="Q247" s="1" t="s">
        <v>51</v>
      </c>
      <c r="R247" s="8" t="str">
        <f>IFERROR(VLOOKUP(A247,Sheet3!B:H,6,false),VLOOKUP(D247,Sheet2!A:C,2,false))</f>
        <v>https://assets.roomstogo.com/product/beautyrest-world-class-level-four-plush-pillow-top-twin-xl-mattress_50025800_image-item</v>
      </c>
      <c r="S247" s="8" t="str">
        <f>IFERROR(VLOOKUP(A247,Sheet3!B:H,7,false),VLOOKUP(D247,Sheet2!A:C,3,false))</f>
        <v>https://assets.roomstogo.com/product/beautyrest-world-class-level-four-plush-pillow-top-twin-xl-mattress_50025800_alt-image-13</v>
      </c>
      <c r="T247" s="11" t="s">
        <v>1295</v>
      </c>
    </row>
    <row r="248">
      <c r="A248" s="4">
        <v>5.0728951E7</v>
      </c>
      <c r="B248" s="9">
        <v>3.0</v>
      </c>
      <c r="C248" s="9">
        <v>5.0</v>
      </c>
      <c r="D248" s="1" t="s">
        <v>179</v>
      </c>
      <c r="E248" s="1" t="s">
        <v>604</v>
      </c>
      <c r="F248" s="6">
        <v>1397.0</v>
      </c>
      <c r="G248" s="6">
        <v>1999.0</v>
      </c>
      <c r="H248" s="1" t="s">
        <v>181</v>
      </c>
      <c r="I248" s="7"/>
      <c r="J248" s="1" t="s">
        <v>31</v>
      </c>
      <c r="K248" s="1" t="s">
        <v>568</v>
      </c>
      <c r="L248" s="1" t="s">
        <v>59</v>
      </c>
      <c r="M248" s="1" t="s">
        <v>42</v>
      </c>
      <c r="N248" s="1" t="s">
        <v>49</v>
      </c>
      <c r="O248" s="1" t="s">
        <v>34</v>
      </c>
      <c r="P248" s="1" t="s">
        <v>34</v>
      </c>
      <c r="Q248" s="1" t="s">
        <v>182</v>
      </c>
      <c r="R248" s="8" t="str">
        <f>IFERROR(VLOOKUP(A248,Sheet3!B:H,6,false),VLOOKUP(D248,Sheet2!A:C,2,false))</f>
        <v>https://assets.roomstogo.com/product/sealy-correct-comfort-kerry-park-twin-xl-mattress_50028957_image-item</v>
      </c>
      <c r="S248" s="8" t="str">
        <f>IFERROR(VLOOKUP(A248,Sheet3!B:H,7,false),VLOOKUP(D248,Sheet2!A:C,3,false))</f>
        <v>https://assets.roomstogo.com/product/sealy-correct-comfort-kerry-park-twin-xl-mattress_50028957_alt-image-1</v>
      </c>
      <c r="T248" s="11" t="s">
        <v>1296</v>
      </c>
    </row>
    <row r="249">
      <c r="A249" s="4">
        <v>5.0728963E7</v>
      </c>
      <c r="B249" s="9">
        <v>12.0</v>
      </c>
      <c r="C249" s="9">
        <v>4.83</v>
      </c>
      <c r="D249" s="1" t="s">
        <v>185</v>
      </c>
      <c r="E249" s="1" t="s">
        <v>605</v>
      </c>
      <c r="F249" s="6">
        <v>995.0</v>
      </c>
      <c r="G249" s="6">
        <v>1099.0</v>
      </c>
      <c r="H249" s="1" t="s">
        <v>181</v>
      </c>
      <c r="I249" s="7"/>
      <c r="J249" s="1" t="s">
        <v>31</v>
      </c>
      <c r="K249" s="1" t="s">
        <v>568</v>
      </c>
      <c r="L249" s="1" t="s">
        <v>33</v>
      </c>
      <c r="M249" s="1" t="s">
        <v>34</v>
      </c>
      <c r="N249" s="1" t="s">
        <v>35</v>
      </c>
      <c r="O249" s="1" t="s">
        <v>34</v>
      </c>
      <c r="P249" s="1" t="s">
        <v>36</v>
      </c>
      <c r="Q249" s="1" t="s">
        <v>37</v>
      </c>
      <c r="R249" s="8" t="str">
        <f>IFERROR(VLOOKUP(A249,Sheet3!B:H,6,false),VLOOKUP(D249,Sheet2!A:C,2,false))</f>
        <v>https://assets.roomstogo.com/product/sealy-correct-comfort-bradford-hill-twin-xl-mattress_50028969_image-item</v>
      </c>
      <c r="S249" s="8" t="str">
        <f>IFERROR(VLOOKUP(A249,Sheet3!B:H,7,false),VLOOKUP(D249,Sheet2!A:C,3,false))</f>
        <v>https://assets.roomstogo.com/product/sealy-correct-comfort-bradford-hill-twin-xl-mattress_50028969_alt-image-1</v>
      </c>
      <c r="T249" s="11" t="s">
        <v>1297</v>
      </c>
    </row>
    <row r="250">
      <c r="A250" s="4">
        <v>5.0728975E7</v>
      </c>
      <c r="B250" s="5"/>
      <c r="C250" s="5"/>
      <c r="D250" s="1" t="s">
        <v>187</v>
      </c>
      <c r="E250" s="1" t="s">
        <v>606</v>
      </c>
      <c r="F250" s="6">
        <v>1497.0</v>
      </c>
      <c r="G250" s="6">
        <v>2299.0</v>
      </c>
      <c r="H250" s="1" t="s">
        <v>181</v>
      </c>
      <c r="I250" s="7"/>
      <c r="J250" s="7"/>
      <c r="K250" s="1" t="s">
        <v>568</v>
      </c>
      <c r="L250" s="1" t="s">
        <v>33</v>
      </c>
      <c r="M250" s="1" t="s">
        <v>42</v>
      </c>
      <c r="N250" s="1" t="s">
        <v>35</v>
      </c>
      <c r="O250" s="1" t="s">
        <v>34</v>
      </c>
      <c r="P250" s="1" t="s">
        <v>34</v>
      </c>
      <c r="Q250" s="1" t="s">
        <v>37</v>
      </c>
      <c r="R250" s="8" t="str">
        <f>IFERROR(VLOOKUP(A250,Sheet3!B:H,6,false),VLOOKUP(D250,Sheet2!A:C,2,false))</f>
        <v>https://assets.roomstogo.com/product/posturepedic-northgate-twin-xl-mattress_50028971_image-item</v>
      </c>
      <c r="S250" s="8" t="str">
        <f>IFERROR(VLOOKUP(A250,Sheet3!B:H,7,false),VLOOKUP(D250,Sheet2!A:C,3,false))</f>
        <v>https://assets.roomstogo.com/product/posturepedic-northgate-twin-xl-mattress_50028971_alt-image-1</v>
      </c>
      <c r="T250" s="11" t="s">
        <v>1298</v>
      </c>
    </row>
    <row r="251">
      <c r="A251" s="4">
        <v>5.0729179E7</v>
      </c>
      <c r="B251" s="5"/>
      <c r="C251" s="5"/>
      <c r="D251" s="1" t="s">
        <v>189</v>
      </c>
      <c r="E251" s="1" t="s">
        <v>607</v>
      </c>
      <c r="F251" s="6">
        <v>1077.0</v>
      </c>
      <c r="G251" s="6">
        <v>1199.0</v>
      </c>
      <c r="H251" s="1" t="s">
        <v>191</v>
      </c>
      <c r="I251" s="1" t="s">
        <v>192</v>
      </c>
      <c r="J251" s="1" t="s">
        <v>31</v>
      </c>
      <c r="K251" s="1" t="s">
        <v>568</v>
      </c>
      <c r="L251" s="1" t="s">
        <v>59</v>
      </c>
      <c r="M251" s="1" t="s">
        <v>36</v>
      </c>
      <c r="N251" s="1" t="s">
        <v>35</v>
      </c>
      <c r="O251" s="1" t="s">
        <v>36</v>
      </c>
      <c r="P251" s="1" t="s">
        <v>36</v>
      </c>
      <c r="Q251" s="1" t="s">
        <v>37</v>
      </c>
      <c r="R251" s="8" t="str">
        <f>IFERROR(VLOOKUP(A251,Sheet3!B:H,6,false),VLOOKUP(D251,Sheet2!A:C,2,false))</f>
        <v>https://assets.roomstogo.com/product/sealy-posturepedic-brierwood-twin-xl-mattress_50029175_image-item</v>
      </c>
      <c r="S251" s="8" t="str">
        <f>IFERROR(VLOOKUP(A251,Sheet3!B:H,7,false),VLOOKUP(D251,Sheet2!A:C,3,false))</f>
        <v>https://assets.roomstogo.com/product/sealy-posturepedic-brierwood-twin-xl-mattress_50029175_alt-image-1</v>
      </c>
      <c r="T251" s="11" t="s">
        <v>1299</v>
      </c>
    </row>
    <row r="252">
      <c r="A252" s="4">
        <v>5.0729206E7</v>
      </c>
      <c r="B252" s="9">
        <v>3.0</v>
      </c>
      <c r="C252" s="9">
        <v>4.0</v>
      </c>
      <c r="D252" s="1" t="s">
        <v>193</v>
      </c>
      <c r="E252" s="1" t="s">
        <v>608</v>
      </c>
      <c r="F252" s="6">
        <v>1397.0</v>
      </c>
      <c r="G252" s="6">
        <v>1599.0</v>
      </c>
      <c r="H252" s="1" t="s">
        <v>195</v>
      </c>
      <c r="I252" s="1" t="s">
        <v>196</v>
      </c>
      <c r="J252" s="1" t="s">
        <v>31</v>
      </c>
      <c r="K252" s="1" t="s">
        <v>568</v>
      </c>
      <c r="L252" s="1" t="s">
        <v>59</v>
      </c>
      <c r="M252" s="1" t="s">
        <v>34</v>
      </c>
      <c r="N252" s="1" t="s">
        <v>35</v>
      </c>
      <c r="O252" s="1" t="s">
        <v>34</v>
      </c>
      <c r="P252" s="1" t="s">
        <v>36</v>
      </c>
      <c r="Q252" s="1" t="s">
        <v>37</v>
      </c>
      <c r="R252" s="8" t="str">
        <f>IFERROR(VLOOKUP(A252,Sheet3!B:H,6,false),VLOOKUP(D252,Sheet2!A:C,2,false))</f>
        <v>https://assets.roomstogo.com/product/sealy-posturepedic-castle-rock-twin-xl-mattress_50029202_image-item</v>
      </c>
      <c r="S252" s="8" t="str">
        <f>IFERROR(VLOOKUP(A252,Sheet3!B:H,7,false),VLOOKUP(D252,Sheet2!A:C,3,false))</f>
        <v>https://assets.roomstogo.com/product/sealy-posturepedic-castle-rock-twin-xl-mattress_50029202_alt-image-1</v>
      </c>
      <c r="T252" s="11" t="s">
        <v>1300</v>
      </c>
    </row>
    <row r="253">
      <c r="A253" s="4">
        <v>5.0729218E7</v>
      </c>
      <c r="B253" s="9">
        <v>2.0</v>
      </c>
      <c r="C253" s="9">
        <v>3.5</v>
      </c>
      <c r="D253" s="1" t="s">
        <v>197</v>
      </c>
      <c r="E253" s="1" t="s">
        <v>611</v>
      </c>
      <c r="F253" s="6">
        <v>1577.0</v>
      </c>
      <c r="G253" s="6">
        <v>1799.0</v>
      </c>
      <c r="H253" s="1" t="s">
        <v>199</v>
      </c>
      <c r="I253" s="1" t="s">
        <v>200</v>
      </c>
      <c r="J253" s="1" t="s">
        <v>31</v>
      </c>
      <c r="K253" s="1" t="s">
        <v>568</v>
      </c>
      <c r="L253" s="1" t="s">
        <v>59</v>
      </c>
      <c r="M253" s="1" t="s">
        <v>34</v>
      </c>
      <c r="N253" s="1" t="s">
        <v>35</v>
      </c>
      <c r="O253" s="1" t="s">
        <v>42</v>
      </c>
      <c r="P253" s="1" t="s">
        <v>34</v>
      </c>
      <c r="Q253" s="1" t="s">
        <v>37</v>
      </c>
      <c r="R253" s="8" t="str">
        <f>IFERROR(VLOOKUP(A253,Sheet3!B:H,6,false),VLOOKUP(D253,Sheet2!A:C,2,false))</f>
        <v>https://assets.roomstogo.com/product/sealy-posturepedic-pebblebrook-twin-xl-mattress_50029214_image-item</v>
      </c>
      <c r="S253" s="8" t="str">
        <f>IFERROR(VLOOKUP(A253,Sheet3!B:H,7,false),VLOOKUP(D253,Sheet2!A:C,3,false))</f>
        <v>https://assets.roomstogo.com/product/sealy-posturepedic-pebblebrook-twin-xl-mattress_50029214_alt-image-1</v>
      </c>
      <c r="T253" s="11" t="s">
        <v>1301</v>
      </c>
    </row>
    <row r="254">
      <c r="A254" s="4">
        <v>5.0737051E7</v>
      </c>
      <c r="B254" s="9">
        <v>347.0</v>
      </c>
      <c r="C254" s="9">
        <v>4.52</v>
      </c>
      <c r="D254" s="1" t="s">
        <v>203</v>
      </c>
      <c r="E254" s="1" t="s">
        <v>612</v>
      </c>
      <c r="F254" s="6">
        <v>2599.0</v>
      </c>
      <c r="G254" s="6">
        <v>2599.0</v>
      </c>
      <c r="H254" s="1" t="s">
        <v>205</v>
      </c>
      <c r="I254" s="1" t="s">
        <v>206</v>
      </c>
      <c r="J254" s="1" t="s">
        <v>31</v>
      </c>
      <c r="K254" s="1" t="s">
        <v>568</v>
      </c>
      <c r="L254" s="1" t="s">
        <v>59</v>
      </c>
      <c r="M254" s="1" t="s">
        <v>34</v>
      </c>
      <c r="N254" s="1" t="s">
        <v>76</v>
      </c>
      <c r="O254" s="1" t="s">
        <v>50</v>
      </c>
      <c r="P254" s="1" t="s">
        <v>42</v>
      </c>
      <c r="Q254" s="1" t="s">
        <v>144</v>
      </c>
      <c r="R254" s="8" t="str">
        <f>IFERROR(VLOOKUP(A254,Sheet3!B:H,6,false),VLOOKUP(D254,Sheet2!A:C,2,false))</f>
        <v>https://assets.roomstogo.com/product/beautyrest-black-series-one-extra-firm-twin-xl-mattress_50037057_image-item</v>
      </c>
      <c r="S254" s="8" t="str">
        <f>IFERROR(VLOOKUP(A254,Sheet3!B:H,7,false),VLOOKUP(D254,Sheet2!A:C,3,false))</f>
        <v>https://assets.roomstogo.com/product/beautyrest-black-series-one-extra-firm-twin-xl-mattress_50037057_alt-image-1</v>
      </c>
      <c r="T254" s="11" t="s">
        <v>1302</v>
      </c>
    </row>
    <row r="255">
      <c r="A255" s="4">
        <v>5.0737138E7</v>
      </c>
      <c r="B255" s="9">
        <v>137.0</v>
      </c>
      <c r="C255" s="9">
        <v>4.58</v>
      </c>
      <c r="D255" s="1" t="s">
        <v>209</v>
      </c>
      <c r="E255" s="1" t="s">
        <v>613</v>
      </c>
      <c r="F255" s="6">
        <v>3599.0</v>
      </c>
      <c r="G255" s="6">
        <v>3599.0</v>
      </c>
      <c r="H255" s="1" t="s">
        <v>205</v>
      </c>
      <c r="I255" s="1" t="s">
        <v>211</v>
      </c>
      <c r="J255" s="1" t="s">
        <v>31</v>
      </c>
      <c r="K255" s="1" t="s">
        <v>568</v>
      </c>
      <c r="L255" s="1" t="s">
        <v>59</v>
      </c>
      <c r="M255" s="1" t="s">
        <v>42</v>
      </c>
      <c r="N255" s="1" t="s">
        <v>35</v>
      </c>
      <c r="O255" s="1" t="s">
        <v>50</v>
      </c>
      <c r="P255" s="1" t="s">
        <v>42</v>
      </c>
      <c r="Q255" s="1" t="s">
        <v>37</v>
      </c>
      <c r="R255" s="8" t="str">
        <f>IFERROR(VLOOKUP(A255,Sheet3!B:H,6,false),VLOOKUP(D255,Sheet2!A:C,2,false))</f>
        <v>https://assets.roomstogo.com/product/beautyrest-black-series-two-medium-twin-xl-mattress_50037134_image-item</v>
      </c>
      <c r="S255" s="8" t="str">
        <f>IFERROR(VLOOKUP(A255,Sheet3!B:H,7,false),VLOOKUP(D255,Sheet2!A:C,3,false))</f>
        <v>https://assets.roomstogo.com/product/beautyrest-black-series-two-medium-twin-xl-mattress_50037134_alt-image-1</v>
      </c>
      <c r="T255" s="11" t="s">
        <v>1303</v>
      </c>
    </row>
    <row r="256">
      <c r="A256" s="4">
        <v>5.0737227E7</v>
      </c>
      <c r="B256" s="9">
        <v>290.0</v>
      </c>
      <c r="C256" s="9">
        <v>4.72</v>
      </c>
      <c r="D256" s="1" t="s">
        <v>214</v>
      </c>
      <c r="E256" s="1" t="s">
        <v>614</v>
      </c>
      <c r="F256" s="6">
        <v>4899.0</v>
      </c>
      <c r="G256" s="6">
        <v>4899.0</v>
      </c>
      <c r="H256" s="1" t="s">
        <v>205</v>
      </c>
      <c r="I256" s="1" t="s">
        <v>216</v>
      </c>
      <c r="J256" s="1" t="s">
        <v>31</v>
      </c>
      <c r="K256" s="1" t="s">
        <v>568</v>
      </c>
      <c r="L256" s="1" t="s">
        <v>59</v>
      </c>
      <c r="M256" s="1" t="s">
        <v>50</v>
      </c>
      <c r="N256" s="1" t="s">
        <v>49</v>
      </c>
      <c r="O256" s="1" t="s">
        <v>50</v>
      </c>
      <c r="P256" s="1" t="s">
        <v>42</v>
      </c>
      <c r="Q256" s="1" t="s">
        <v>51</v>
      </c>
      <c r="R256" s="8" t="str">
        <f>IFERROR(VLOOKUP(A256,Sheet3!B:H,6,false),VLOOKUP(D256,Sheet2!A:C,2,false))</f>
        <v>https://assets.roomstogo.com/product/beautyrest-black-series-three-plush-pillow-top-twin-xl-mattress_50037223_image-item</v>
      </c>
      <c r="S256" s="8" t="str">
        <f>IFERROR(VLOOKUP(A256,Sheet3!B:H,7,false),VLOOKUP(D256,Sheet2!A:C,3,false))</f>
        <v>https://assets.roomstogo.com/product/beautyrest-black-series-three-plush-pillow-top-twin-xl-mattress_50037223_alt-image-1</v>
      </c>
      <c r="T256" s="11" t="s">
        <v>1304</v>
      </c>
    </row>
    <row r="257">
      <c r="A257" s="4">
        <v>5.074803E7</v>
      </c>
      <c r="B257" s="9">
        <v>438.0</v>
      </c>
      <c r="C257" s="9">
        <v>4.52</v>
      </c>
      <c r="D257" s="1" t="s">
        <v>219</v>
      </c>
      <c r="E257" s="1" t="s">
        <v>615</v>
      </c>
      <c r="F257" s="6">
        <v>2999.0</v>
      </c>
      <c r="G257" s="6">
        <v>2999.0</v>
      </c>
      <c r="H257" s="1" t="s">
        <v>221</v>
      </c>
      <c r="I257" s="1" t="s">
        <v>222</v>
      </c>
      <c r="J257" s="1" t="s">
        <v>31</v>
      </c>
      <c r="K257" s="1" t="s">
        <v>568</v>
      </c>
      <c r="L257" s="1" t="s">
        <v>59</v>
      </c>
      <c r="M257" s="1" t="s">
        <v>34</v>
      </c>
      <c r="N257" s="1" t="s">
        <v>76</v>
      </c>
      <c r="O257" s="1" t="s">
        <v>42</v>
      </c>
      <c r="P257" s="1" t="s">
        <v>34</v>
      </c>
      <c r="Q257" s="1" t="s">
        <v>77</v>
      </c>
      <c r="R257" s="8" t="str">
        <f>IFERROR(VLOOKUP(A257,Sheet3!B:H,6,false),VLOOKUP(D257,Sheet2!A:C,2,false))</f>
        <v>https://assets.roomstogo.com/product/stearns-and-foster-estate-firm-tight-top-twin-xl-mattress_50048036_image-item</v>
      </c>
      <c r="S257" s="8" t="str">
        <f>IFERROR(VLOOKUP(A257,Sheet3!B:H,7,false),VLOOKUP(D257,Sheet2!A:C,3,false))</f>
        <v>https://assets.roomstogo.com/product/stearns-and-foster-estate-firm-tight-top-twin-xl-mattress_50048036_alt-image-1</v>
      </c>
      <c r="T257" s="11" t="s">
        <v>1305</v>
      </c>
    </row>
    <row r="258">
      <c r="A258" s="4">
        <v>5.0748054E7</v>
      </c>
      <c r="B258" s="9">
        <v>7.0</v>
      </c>
      <c r="C258" s="9">
        <v>3.86</v>
      </c>
      <c r="D258" s="1" t="s">
        <v>223</v>
      </c>
      <c r="E258" s="1" t="s">
        <v>616</v>
      </c>
      <c r="F258" s="6">
        <v>3199.0</v>
      </c>
      <c r="G258" s="6">
        <v>3199.0</v>
      </c>
      <c r="H258" s="1" t="s">
        <v>221</v>
      </c>
      <c r="I258" s="1" t="s">
        <v>222</v>
      </c>
      <c r="J258" s="1" t="s">
        <v>31</v>
      </c>
      <c r="K258" s="1" t="s">
        <v>568</v>
      </c>
      <c r="L258" s="1" t="s">
        <v>59</v>
      </c>
      <c r="M258" s="1" t="s">
        <v>34</v>
      </c>
      <c r="N258" s="1" t="s">
        <v>76</v>
      </c>
      <c r="O258" s="1" t="s">
        <v>42</v>
      </c>
      <c r="P258" s="1" t="s">
        <v>34</v>
      </c>
      <c r="Q258" s="1" t="s">
        <v>77</v>
      </c>
      <c r="R258" s="8" t="str">
        <f>IFERROR(VLOOKUP(A258,Sheet3!B:H,6,false),VLOOKUP(D258,Sheet2!A:C,2,false))</f>
        <v>https://assets.roomstogo.com/product/stearns-and-foster-estate-firm-pillow-top-twin-xl-mattress_50048050_image-item</v>
      </c>
      <c r="S258" s="8" t="str">
        <f>IFERROR(VLOOKUP(A258,Sheet3!B:H,7,false),VLOOKUP(D258,Sheet2!A:C,3,false))</f>
        <v>https://assets.roomstogo.com/product/stearns-and-foster-estate-firm-pillow-top-twin-xl-mattress_50048050_alt-image-1</v>
      </c>
      <c r="T258" s="11" t="s">
        <v>1306</v>
      </c>
    </row>
    <row r="259">
      <c r="A259" s="4">
        <v>5.074827E7</v>
      </c>
      <c r="B259" s="5"/>
      <c r="C259" s="5"/>
      <c r="D259" s="1" t="s">
        <v>227</v>
      </c>
      <c r="E259" s="1" t="s">
        <v>617</v>
      </c>
      <c r="F259" s="6">
        <v>4799.0</v>
      </c>
      <c r="G259" s="6">
        <v>4799.0</v>
      </c>
      <c r="H259" s="1" t="s">
        <v>221</v>
      </c>
      <c r="I259" s="1" t="s">
        <v>229</v>
      </c>
      <c r="J259" s="1" t="s">
        <v>31</v>
      </c>
      <c r="K259" s="1" t="s">
        <v>568</v>
      </c>
      <c r="L259" s="1" t="s">
        <v>59</v>
      </c>
      <c r="M259" s="1" t="s">
        <v>42</v>
      </c>
      <c r="N259" s="1" t="s">
        <v>35</v>
      </c>
      <c r="O259" s="1" t="s">
        <v>50</v>
      </c>
      <c r="P259" s="1" t="s">
        <v>42</v>
      </c>
      <c r="Q259" s="1" t="s">
        <v>37</v>
      </c>
      <c r="R259" s="8" t="str">
        <f>IFERROR(VLOOKUP(A259,Sheet3!B:H,6,false),VLOOKUP(D259,Sheet2!A:C,2,false))</f>
        <v>https://assets.roomstogo.com/product/stearns-and-foster-lux-estate-elite-medium-pillow-top-twin-xl-mattress_50048276_image-item</v>
      </c>
      <c r="S259" s="8" t="str">
        <f>IFERROR(VLOOKUP(A259,Sheet3!B:H,7,false),VLOOKUP(D259,Sheet2!A:C,3,false))</f>
        <v>https://assets.roomstogo.com/product/stearns-and-foster-lux-estate-elite-medium-pillow-top-twin-xl-mattress_50048276_alt-image-1</v>
      </c>
      <c r="T259" s="11" t="s">
        <v>1307</v>
      </c>
    </row>
    <row r="260">
      <c r="A260" s="4">
        <v>5.0770114E7</v>
      </c>
      <c r="B260" s="9">
        <v>9006.0</v>
      </c>
      <c r="C260" s="9">
        <v>4.32</v>
      </c>
      <c r="D260" s="1" t="s">
        <v>232</v>
      </c>
      <c r="E260" s="1" t="s">
        <v>618</v>
      </c>
      <c r="F260" s="6">
        <v>2538.0</v>
      </c>
      <c r="G260" s="6">
        <v>3172.5</v>
      </c>
      <c r="H260" s="1" t="s">
        <v>234</v>
      </c>
      <c r="I260" s="7"/>
      <c r="J260" s="1" t="s">
        <v>31</v>
      </c>
      <c r="K260" s="1" t="s">
        <v>568</v>
      </c>
      <c r="L260" s="1" t="s">
        <v>59</v>
      </c>
      <c r="M260" s="1" t="s">
        <v>42</v>
      </c>
      <c r="N260" s="1" t="s">
        <v>35</v>
      </c>
      <c r="O260" s="1" t="s">
        <v>42</v>
      </c>
      <c r="P260" s="1" t="s">
        <v>34</v>
      </c>
      <c r="Q260" s="1" t="s">
        <v>37</v>
      </c>
      <c r="R260" s="8" t="str">
        <f>IFERROR(VLOOKUP(A260,Sheet3!B:H,6,false),VLOOKUP(D260,Sheet2!A:C,2,false))</f>
        <v>https://assets.roomstogo.com/product/helix-midnight-luxe-twin-xl-mattress_50070110_image-item</v>
      </c>
      <c r="S260" s="8" t="str">
        <f>IFERROR(VLOOKUP(A260,Sheet3!B:H,7,false),VLOOKUP(D260,Sheet2!A:C,3,false))</f>
        <v>https://assets.roomstogo.com/product/helix-midnight-luxe-twin-xl-mattress_50070110_alt-image-1</v>
      </c>
      <c r="T260" s="11" t="s">
        <v>1308</v>
      </c>
    </row>
    <row r="261">
      <c r="A261" s="4">
        <v>5.0770126E7</v>
      </c>
      <c r="B261" s="9">
        <v>501.0</v>
      </c>
      <c r="C261" s="9">
        <v>4.22</v>
      </c>
      <c r="D261" s="1" t="s">
        <v>237</v>
      </c>
      <c r="E261" s="1" t="s">
        <v>619</v>
      </c>
      <c r="F261" s="6">
        <v>3599.0</v>
      </c>
      <c r="G261" s="6">
        <v>4498.75</v>
      </c>
      <c r="H261" s="1" t="s">
        <v>234</v>
      </c>
      <c r="I261" s="7"/>
      <c r="J261" s="1" t="s">
        <v>31</v>
      </c>
      <c r="K261" s="1" t="s">
        <v>568</v>
      </c>
      <c r="L261" s="1" t="s">
        <v>59</v>
      </c>
      <c r="M261" s="1" t="s">
        <v>50</v>
      </c>
      <c r="N261" s="1" t="s">
        <v>35</v>
      </c>
      <c r="O261" s="1" t="s">
        <v>42</v>
      </c>
      <c r="P261" s="1" t="s">
        <v>42</v>
      </c>
      <c r="Q261" s="1" t="s">
        <v>37</v>
      </c>
      <c r="R261" s="8" t="str">
        <f>IFERROR(VLOOKUP(A261,Sheet3!B:H,6,false),VLOOKUP(D261,Sheet2!A:C,2,false))</f>
        <v>https://assets.roomstogo.com/product/helix-midnight-elite-twin-xl-mattress_50070122_image-item</v>
      </c>
      <c r="S261" s="8" t="str">
        <f>IFERROR(VLOOKUP(A261,Sheet3!B:H,7,false),VLOOKUP(D261,Sheet2!A:C,3,false))</f>
        <v>https://assets.roomstogo.com/product/helix-midnight-elite-twin-xl-mattress_50070122_alt-image-1</v>
      </c>
      <c r="T261" s="11" t="s">
        <v>1309</v>
      </c>
    </row>
    <row r="262">
      <c r="A262" s="4">
        <v>5.0800486E7</v>
      </c>
      <c r="B262" s="9">
        <v>14.0</v>
      </c>
      <c r="C262" s="9">
        <v>4.79</v>
      </c>
      <c r="D262" s="1" t="s">
        <v>447</v>
      </c>
      <c r="E262" s="1" t="s">
        <v>622</v>
      </c>
      <c r="F262" s="6">
        <v>649.0</v>
      </c>
      <c r="G262" s="6">
        <v>749.0</v>
      </c>
      <c r="H262" s="1" t="s">
        <v>449</v>
      </c>
      <c r="I262" s="1" t="s">
        <v>450</v>
      </c>
      <c r="J262" s="1" t="s">
        <v>31</v>
      </c>
      <c r="K262" s="1" t="s">
        <v>32</v>
      </c>
      <c r="L262" s="7"/>
      <c r="M262" s="7"/>
      <c r="N262" s="7"/>
      <c r="O262" s="7"/>
      <c r="P262" s="7"/>
      <c r="Q262" s="7"/>
      <c r="R262" s="11" t="str">
        <f>IFERROR(VLOOKUP(A262,Sheet3!B:H,6,false),VLOOKUP(D262,Sheet2!A:C,2,false))</f>
        <v>#N/A</v>
      </c>
      <c r="S262" s="11" t="str">
        <f>IFERROR(VLOOKUP(A262,Sheet3!B:H,7,false),VLOOKUP(D262,Sheet2!A:C,3,false))</f>
        <v>#N/A</v>
      </c>
      <c r="T262" s="11" t="s">
        <v>1310</v>
      </c>
    </row>
    <row r="263">
      <c r="A263" s="4">
        <v>5.0800513E7</v>
      </c>
      <c r="B263" s="9">
        <v>1.0</v>
      </c>
      <c r="C263" s="9">
        <v>5.0</v>
      </c>
      <c r="D263" s="1" t="s">
        <v>453</v>
      </c>
      <c r="E263" s="1" t="s">
        <v>624</v>
      </c>
      <c r="F263" s="6">
        <v>1399.0</v>
      </c>
      <c r="G263" s="6">
        <v>1599.0</v>
      </c>
      <c r="H263" s="1" t="s">
        <v>449</v>
      </c>
      <c r="I263" s="1" t="s">
        <v>455</v>
      </c>
      <c r="J263" s="1" t="s">
        <v>31</v>
      </c>
      <c r="K263" s="1" t="s">
        <v>32</v>
      </c>
      <c r="L263" s="7"/>
      <c r="M263" s="7"/>
      <c r="N263" s="7"/>
      <c r="O263" s="7"/>
      <c r="P263" s="7"/>
      <c r="Q263" s="7"/>
      <c r="R263" s="11" t="str">
        <f>IFERROR(VLOOKUP(A263,Sheet3!B:H,6,false),VLOOKUP(D263,Sheet2!A:C,2,false))</f>
        <v>#N/A</v>
      </c>
      <c r="S263" s="11" t="str">
        <f>IFERROR(VLOOKUP(A263,Sheet3!B:H,7,false),VLOOKUP(D263,Sheet2!A:C,3,false))</f>
        <v>#N/A</v>
      </c>
      <c r="T263" s="11" t="s">
        <v>1311</v>
      </c>
    </row>
    <row r="264">
      <c r="A264" s="4">
        <v>5.0808165E7</v>
      </c>
      <c r="B264" s="9">
        <v>1.0</v>
      </c>
      <c r="C264" s="9">
        <v>5.0</v>
      </c>
      <c r="D264" s="1" t="s">
        <v>458</v>
      </c>
      <c r="E264" s="1" t="s">
        <v>626</v>
      </c>
      <c r="F264" s="6">
        <v>1599.0</v>
      </c>
      <c r="G264" s="6">
        <v>1599.0</v>
      </c>
      <c r="H264" s="1" t="s">
        <v>64</v>
      </c>
      <c r="I264" s="1" t="s">
        <v>460</v>
      </c>
      <c r="J264" s="1" t="s">
        <v>31</v>
      </c>
      <c r="K264" s="1" t="s">
        <v>32</v>
      </c>
      <c r="L264" s="7"/>
      <c r="M264" s="7"/>
      <c r="N264" s="7"/>
      <c r="O264" s="7"/>
      <c r="P264" s="7"/>
      <c r="Q264" s="7"/>
      <c r="R264" s="11" t="str">
        <f>IFERROR(VLOOKUP(A264,Sheet3!B:H,6,false),VLOOKUP(D264,Sheet2!A:C,2,false))</f>
        <v>#N/A</v>
      </c>
      <c r="S264" s="11" t="str">
        <f>IFERROR(VLOOKUP(A264,Sheet3!B:H,7,false),VLOOKUP(D264,Sheet2!A:C,3,false))</f>
        <v>#N/A</v>
      </c>
      <c r="T264" s="11" t="s">
        <v>1312</v>
      </c>
    </row>
    <row r="265">
      <c r="A265" s="4">
        <v>5.0808189E7</v>
      </c>
      <c r="B265" s="9">
        <v>405.0</v>
      </c>
      <c r="C265" s="9">
        <v>4.6</v>
      </c>
      <c r="D265" s="1" t="s">
        <v>463</v>
      </c>
      <c r="E265" s="1" t="s">
        <v>628</v>
      </c>
      <c r="F265" s="6">
        <v>2099.0</v>
      </c>
      <c r="G265" s="6">
        <v>2099.0</v>
      </c>
      <c r="H265" s="1" t="s">
        <v>64</v>
      </c>
      <c r="I265" s="1" t="s">
        <v>465</v>
      </c>
      <c r="J265" s="1" t="s">
        <v>31</v>
      </c>
      <c r="K265" s="1" t="s">
        <v>32</v>
      </c>
      <c r="L265" s="7"/>
      <c r="M265" s="7"/>
      <c r="N265" s="7"/>
      <c r="O265" s="7"/>
      <c r="P265" s="7"/>
      <c r="Q265" s="7"/>
      <c r="R265" s="11" t="str">
        <f>IFERROR(VLOOKUP(A265,Sheet3!B:H,6,false),VLOOKUP(D265,Sheet2!A:C,2,false))</f>
        <v>#N/A</v>
      </c>
      <c r="S265" s="11" t="str">
        <f>IFERROR(VLOOKUP(A265,Sheet3!B:H,7,false),VLOOKUP(D265,Sheet2!A:C,3,false))</f>
        <v>#N/A</v>
      </c>
      <c r="T265" s="11" t="s">
        <v>1313</v>
      </c>
    </row>
    <row r="266">
      <c r="A266" s="4">
        <v>5.0808191E7</v>
      </c>
      <c r="B266" s="9">
        <v>5.0</v>
      </c>
      <c r="C266" s="9">
        <v>4.4</v>
      </c>
      <c r="D266" s="1" t="s">
        <v>549</v>
      </c>
      <c r="E266" s="1" t="s">
        <v>630</v>
      </c>
      <c r="F266" s="6">
        <v>2599.0</v>
      </c>
      <c r="G266" s="6">
        <v>2599.0</v>
      </c>
      <c r="H266" s="1" t="s">
        <v>64</v>
      </c>
      <c r="I266" s="1" t="s">
        <v>551</v>
      </c>
      <c r="J266" s="1" t="s">
        <v>31</v>
      </c>
      <c r="K266" s="1" t="s">
        <v>32</v>
      </c>
      <c r="L266" s="7"/>
      <c r="M266" s="7"/>
      <c r="N266" s="7"/>
      <c r="O266" s="7"/>
      <c r="P266" s="7"/>
      <c r="Q266" s="7"/>
      <c r="R266" s="11" t="str">
        <f>IFERROR(VLOOKUP(A266,Sheet3!B:H,6,false),VLOOKUP(D266,Sheet2!A:C,2,false))</f>
        <v>#N/A</v>
      </c>
      <c r="S266" s="11" t="str">
        <f>IFERROR(VLOOKUP(A266,Sheet3!B:H,7,false),VLOOKUP(D266,Sheet2!A:C,3,false))</f>
        <v>#N/A</v>
      </c>
      <c r="T266" s="11" t="s">
        <v>1314</v>
      </c>
    </row>
    <row r="267">
      <c r="A267" s="4">
        <v>5.0808836E7</v>
      </c>
      <c r="B267" s="9">
        <v>12.0</v>
      </c>
      <c r="C267" s="9">
        <v>3.33</v>
      </c>
      <c r="D267" s="1" t="s">
        <v>554</v>
      </c>
      <c r="E267" s="1" t="s">
        <v>632</v>
      </c>
      <c r="F267" s="6">
        <v>499.0</v>
      </c>
      <c r="G267" s="6">
        <v>499.0</v>
      </c>
      <c r="H267" s="1" t="s">
        <v>556</v>
      </c>
      <c r="I267" s="1" t="s">
        <v>633</v>
      </c>
      <c r="J267" s="1" t="s">
        <v>31</v>
      </c>
      <c r="K267" s="1" t="s">
        <v>32</v>
      </c>
      <c r="L267" s="7"/>
      <c r="M267" s="7"/>
      <c r="N267" s="7"/>
      <c r="O267" s="7"/>
      <c r="P267" s="7"/>
      <c r="Q267" s="7"/>
      <c r="R267" s="11" t="str">
        <f>IFERROR(VLOOKUP(A267,Sheet3!B:H,6,false),VLOOKUP(D267,Sheet2!A:C,2,false))</f>
        <v>#N/A</v>
      </c>
      <c r="S267" s="11" t="str">
        <f>IFERROR(VLOOKUP(A267,Sheet3!B:H,7,false),VLOOKUP(D267,Sheet2!A:C,3,false))</f>
        <v>#N/A</v>
      </c>
      <c r="T267" s="11" t="s">
        <v>1315</v>
      </c>
    </row>
    <row r="268">
      <c r="A268" s="4">
        <v>5.0808898E7</v>
      </c>
      <c r="B268" s="9">
        <v>17.0</v>
      </c>
      <c r="C268" s="9">
        <v>4.47</v>
      </c>
      <c r="D268" s="1" t="s">
        <v>560</v>
      </c>
      <c r="E268" s="1" t="s">
        <v>635</v>
      </c>
      <c r="F268" s="6">
        <v>749.0</v>
      </c>
      <c r="G268" s="6">
        <v>949.0</v>
      </c>
      <c r="H268" s="1" t="s">
        <v>556</v>
      </c>
      <c r="I268" s="7"/>
      <c r="J268" s="1" t="s">
        <v>31</v>
      </c>
      <c r="K268" s="1" t="s">
        <v>32</v>
      </c>
      <c r="L268" s="7"/>
      <c r="M268" s="7"/>
      <c r="N268" s="7"/>
      <c r="O268" s="7"/>
      <c r="P268" s="7"/>
      <c r="Q268" s="7"/>
      <c r="R268" s="11" t="str">
        <f>IFERROR(VLOOKUP(A268,Sheet3!B:H,6,false),VLOOKUP(D268,Sheet2!A:C,2,false))</f>
        <v>#N/A</v>
      </c>
      <c r="S268" s="11" t="str">
        <f>IFERROR(VLOOKUP(A268,Sheet3!B:H,7,false),VLOOKUP(D268,Sheet2!A:C,3,false))</f>
        <v>#N/A</v>
      </c>
      <c r="T268" s="11" t="s">
        <v>1316</v>
      </c>
    </row>
    <row r="269">
      <c r="A269" s="4">
        <v>5.0808951E7</v>
      </c>
      <c r="B269" s="9">
        <v>1.0</v>
      </c>
      <c r="C269" s="9">
        <v>5.0</v>
      </c>
      <c r="D269" s="1" t="s">
        <v>562</v>
      </c>
      <c r="E269" s="1" t="s">
        <v>638</v>
      </c>
      <c r="F269" s="6">
        <v>1499.0</v>
      </c>
      <c r="G269" s="6">
        <v>1699.0</v>
      </c>
      <c r="H269" s="1" t="s">
        <v>564</v>
      </c>
      <c r="I269" s="7"/>
      <c r="J269" s="7"/>
      <c r="K269" s="1" t="s">
        <v>32</v>
      </c>
      <c r="L269" s="7"/>
      <c r="M269" s="7"/>
      <c r="N269" s="7"/>
      <c r="O269" s="7"/>
      <c r="P269" s="7"/>
      <c r="Q269" s="7"/>
      <c r="R269" s="11" t="str">
        <f>IFERROR(VLOOKUP(A269,Sheet3!B:H,6,false),VLOOKUP(D269,Sheet2!A:C,2,false))</f>
        <v>#N/A</v>
      </c>
      <c r="S269" s="11" t="str">
        <f>IFERROR(VLOOKUP(A269,Sheet3!B:H,7,false),VLOOKUP(D269,Sheet2!A:C,3,false))</f>
        <v>#N/A</v>
      </c>
      <c r="T269" s="11" t="s">
        <v>1317</v>
      </c>
    </row>
    <row r="270">
      <c r="A270" s="4">
        <v>5.0818609E7</v>
      </c>
      <c r="B270" s="9">
        <v>11.0</v>
      </c>
      <c r="C270" s="9">
        <v>4.45</v>
      </c>
      <c r="D270" s="1" t="s">
        <v>369</v>
      </c>
      <c r="E270" s="1" t="s">
        <v>640</v>
      </c>
      <c r="F270" s="6">
        <v>899.0</v>
      </c>
      <c r="G270" s="6">
        <v>899.0</v>
      </c>
      <c r="H270" s="7"/>
      <c r="I270" s="1" t="s">
        <v>371</v>
      </c>
      <c r="J270" s="1" t="s">
        <v>31</v>
      </c>
      <c r="K270" s="1" t="s">
        <v>32</v>
      </c>
      <c r="L270" s="7"/>
      <c r="M270" s="7"/>
      <c r="N270" s="7"/>
      <c r="O270" s="7"/>
      <c r="P270" s="7"/>
      <c r="Q270" s="7"/>
      <c r="R270" s="11" t="str">
        <f>IFERROR(VLOOKUP(A270,Sheet3!B:H,6,false),VLOOKUP(D270,Sheet2!A:C,2,false))</f>
        <v>#N/A</v>
      </c>
      <c r="S270" s="11" t="str">
        <f>IFERROR(VLOOKUP(A270,Sheet3!B:H,7,false),VLOOKUP(D270,Sheet2!A:C,3,false))</f>
        <v>#N/A</v>
      </c>
      <c r="T270" s="11" t="s">
        <v>1318</v>
      </c>
    </row>
    <row r="271">
      <c r="A271" s="4">
        <v>5.1000481E7</v>
      </c>
      <c r="B271" s="9">
        <v>14.0</v>
      </c>
      <c r="C271" s="9">
        <v>4.79</v>
      </c>
      <c r="D271" s="1" t="s">
        <v>447</v>
      </c>
      <c r="E271" s="1" t="s">
        <v>643</v>
      </c>
      <c r="F271" s="6">
        <v>1199.0</v>
      </c>
      <c r="G271" s="6">
        <v>1299.0</v>
      </c>
      <c r="H271" s="1" t="s">
        <v>449</v>
      </c>
      <c r="I271" s="1" t="s">
        <v>450</v>
      </c>
      <c r="J271" s="1" t="s">
        <v>31</v>
      </c>
      <c r="K271" s="1" t="s">
        <v>568</v>
      </c>
      <c r="L271" s="7"/>
      <c r="M271" s="7"/>
      <c r="N271" s="7"/>
      <c r="O271" s="7"/>
      <c r="P271" s="7"/>
      <c r="Q271" s="7"/>
      <c r="R271" s="11" t="str">
        <f>IFERROR(VLOOKUP(A271,Sheet3!B:H,6,false),VLOOKUP(D271,Sheet2!A:C,2,false))</f>
        <v>#N/A</v>
      </c>
      <c r="S271" s="11" t="str">
        <f>IFERROR(VLOOKUP(A271,Sheet3!B:H,7,false),VLOOKUP(D271,Sheet2!A:C,3,false))</f>
        <v>#N/A</v>
      </c>
      <c r="T271" s="11" t="s">
        <v>1319</v>
      </c>
    </row>
    <row r="272">
      <c r="A272" s="4">
        <v>5.1000518E7</v>
      </c>
      <c r="B272" s="9">
        <v>1.0</v>
      </c>
      <c r="C272" s="9">
        <v>5.0</v>
      </c>
      <c r="D272" s="1" t="s">
        <v>453</v>
      </c>
      <c r="E272" s="1" t="s">
        <v>645</v>
      </c>
      <c r="F272" s="6">
        <v>1899.0</v>
      </c>
      <c r="G272" s="6">
        <v>2099.0</v>
      </c>
      <c r="H272" s="1" t="s">
        <v>449</v>
      </c>
      <c r="I272" s="1" t="s">
        <v>455</v>
      </c>
      <c r="J272" s="1" t="s">
        <v>31</v>
      </c>
      <c r="K272" s="1" t="s">
        <v>568</v>
      </c>
      <c r="L272" s="7"/>
      <c r="M272" s="7"/>
      <c r="N272" s="7"/>
      <c r="O272" s="7"/>
      <c r="P272" s="7"/>
      <c r="Q272" s="7"/>
      <c r="R272" s="11" t="str">
        <f>IFERROR(VLOOKUP(A272,Sheet3!B:H,6,false),VLOOKUP(D272,Sheet2!A:C,2,false))</f>
        <v>#N/A</v>
      </c>
      <c r="S272" s="11" t="str">
        <f>IFERROR(VLOOKUP(A272,Sheet3!B:H,7,false),VLOOKUP(D272,Sheet2!A:C,3,false))</f>
        <v>#N/A</v>
      </c>
      <c r="T272" s="11" t="s">
        <v>1320</v>
      </c>
    </row>
    <row r="273">
      <c r="A273" s="4">
        <v>5.100816E7</v>
      </c>
      <c r="B273" s="9">
        <v>1.0</v>
      </c>
      <c r="C273" s="9">
        <v>5.0</v>
      </c>
      <c r="D273" s="1" t="s">
        <v>458</v>
      </c>
      <c r="E273" s="1" t="s">
        <v>647</v>
      </c>
      <c r="F273" s="6">
        <v>2399.0</v>
      </c>
      <c r="G273" s="6">
        <v>2399.0</v>
      </c>
      <c r="H273" s="1" t="s">
        <v>64</v>
      </c>
      <c r="I273" s="1" t="s">
        <v>460</v>
      </c>
      <c r="J273" s="1" t="s">
        <v>31</v>
      </c>
      <c r="K273" s="1" t="s">
        <v>568</v>
      </c>
      <c r="L273" s="7"/>
      <c r="M273" s="7"/>
      <c r="N273" s="7"/>
      <c r="O273" s="7"/>
      <c r="P273" s="7"/>
      <c r="Q273" s="7"/>
      <c r="R273" s="11" t="str">
        <f>IFERROR(VLOOKUP(A273,Sheet3!B:H,6,false),VLOOKUP(D273,Sheet2!A:C,2,false))</f>
        <v>#N/A</v>
      </c>
      <c r="S273" s="11" t="str">
        <f>IFERROR(VLOOKUP(A273,Sheet3!B:H,7,false),VLOOKUP(D273,Sheet2!A:C,3,false))</f>
        <v>#N/A</v>
      </c>
      <c r="T273" s="11" t="s">
        <v>1321</v>
      </c>
    </row>
    <row r="274">
      <c r="A274" s="4">
        <v>5.1008184E7</v>
      </c>
      <c r="B274" s="9">
        <v>405.0</v>
      </c>
      <c r="C274" s="9">
        <v>4.6</v>
      </c>
      <c r="D274" s="1" t="s">
        <v>463</v>
      </c>
      <c r="E274" s="1" t="s">
        <v>649</v>
      </c>
      <c r="F274" s="6">
        <v>2899.0</v>
      </c>
      <c r="G274" s="6">
        <v>2899.0</v>
      </c>
      <c r="H274" s="1" t="s">
        <v>64</v>
      </c>
      <c r="I274" s="1" t="s">
        <v>465</v>
      </c>
      <c r="J274" s="1" t="s">
        <v>31</v>
      </c>
      <c r="K274" s="1" t="s">
        <v>568</v>
      </c>
      <c r="L274" s="7"/>
      <c r="M274" s="7"/>
      <c r="N274" s="7"/>
      <c r="O274" s="7"/>
      <c r="P274" s="7"/>
      <c r="Q274" s="7"/>
      <c r="R274" s="11" t="str">
        <f>IFERROR(VLOOKUP(A274,Sheet3!B:H,6,false),VLOOKUP(D274,Sheet2!A:C,2,false))</f>
        <v>#N/A</v>
      </c>
      <c r="S274" s="11" t="str">
        <f>IFERROR(VLOOKUP(A274,Sheet3!B:H,7,false),VLOOKUP(D274,Sheet2!A:C,3,false))</f>
        <v>#N/A</v>
      </c>
      <c r="T274" s="11" t="s">
        <v>1322</v>
      </c>
    </row>
    <row r="275">
      <c r="A275" s="4">
        <v>5.1008196E7</v>
      </c>
      <c r="B275" s="9">
        <v>5.0</v>
      </c>
      <c r="C275" s="9">
        <v>4.4</v>
      </c>
      <c r="D275" s="1" t="s">
        <v>549</v>
      </c>
      <c r="E275" s="1" t="s">
        <v>651</v>
      </c>
      <c r="F275" s="6">
        <v>3399.0</v>
      </c>
      <c r="G275" s="6">
        <v>3399.0</v>
      </c>
      <c r="H275" s="1" t="s">
        <v>64</v>
      </c>
      <c r="I275" s="1" t="s">
        <v>551</v>
      </c>
      <c r="J275" s="1" t="s">
        <v>31</v>
      </c>
      <c r="K275" s="1" t="s">
        <v>568</v>
      </c>
      <c r="L275" s="7"/>
      <c r="M275" s="7"/>
      <c r="N275" s="7"/>
      <c r="O275" s="7"/>
      <c r="P275" s="7"/>
      <c r="Q275" s="7"/>
      <c r="R275" s="11" t="str">
        <f>IFERROR(VLOOKUP(A275,Sheet3!B:H,6,false),VLOOKUP(D275,Sheet2!A:C,2,false))</f>
        <v>#N/A</v>
      </c>
      <c r="S275" s="11" t="str">
        <f>IFERROR(VLOOKUP(A275,Sheet3!B:H,7,false),VLOOKUP(D275,Sheet2!A:C,3,false))</f>
        <v>#N/A</v>
      </c>
      <c r="T275" s="11" t="s">
        <v>1323</v>
      </c>
    </row>
    <row r="276">
      <c r="A276" s="4">
        <v>5.1008831E7</v>
      </c>
      <c r="B276" s="9">
        <v>12.0</v>
      </c>
      <c r="C276" s="9">
        <v>3.33</v>
      </c>
      <c r="D276" s="1" t="s">
        <v>554</v>
      </c>
      <c r="E276" s="1" t="s">
        <v>653</v>
      </c>
      <c r="F276" s="6">
        <v>799.0</v>
      </c>
      <c r="G276" s="6">
        <v>799.0</v>
      </c>
      <c r="H276" s="1" t="s">
        <v>556</v>
      </c>
      <c r="I276" s="1" t="s">
        <v>633</v>
      </c>
      <c r="J276" s="1" t="s">
        <v>31</v>
      </c>
      <c r="K276" s="1" t="s">
        <v>568</v>
      </c>
      <c r="L276" s="7"/>
      <c r="M276" s="7"/>
      <c r="N276" s="7"/>
      <c r="O276" s="7"/>
      <c r="P276" s="7"/>
      <c r="Q276" s="7"/>
      <c r="R276" s="11" t="str">
        <f>IFERROR(VLOOKUP(A276,Sheet3!B:H,6,false),VLOOKUP(D276,Sheet2!A:C,2,false))</f>
        <v>#N/A</v>
      </c>
      <c r="S276" s="11" t="str">
        <f>IFERROR(VLOOKUP(A276,Sheet3!B:H,7,false),VLOOKUP(D276,Sheet2!A:C,3,false))</f>
        <v>#N/A</v>
      </c>
      <c r="T276" s="11" t="s">
        <v>1324</v>
      </c>
    </row>
    <row r="277">
      <c r="A277" s="4">
        <v>5.1008893E7</v>
      </c>
      <c r="B277" s="9">
        <v>17.0</v>
      </c>
      <c r="C277" s="9">
        <v>4.47</v>
      </c>
      <c r="D277" s="1" t="s">
        <v>560</v>
      </c>
      <c r="E277" s="1" t="s">
        <v>655</v>
      </c>
      <c r="F277" s="6">
        <v>1299.0</v>
      </c>
      <c r="G277" s="6">
        <v>1499.0</v>
      </c>
      <c r="H277" s="1" t="s">
        <v>556</v>
      </c>
      <c r="I277" s="7"/>
      <c r="J277" s="1" t="s">
        <v>31</v>
      </c>
      <c r="K277" s="1" t="s">
        <v>568</v>
      </c>
      <c r="L277" s="7"/>
      <c r="M277" s="7"/>
      <c r="N277" s="7"/>
      <c r="O277" s="7"/>
      <c r="P277" s="7"/>
      <c r="Q277" s="7"/>
      <c r="R277" s="11" t="str">
        <f>IFERROR(VLOOKUP(A277,Sheet3!B:H,6,false),VLOOKUP(D277,Sheet2!A:C,2,false))</f>
        <v>#N/A</v>
      </c>
      <c r="S277" s="11" t="str">
        <f>IFERROR(VLOOKUP(A277,Sheet3!B:H,7,false),VLOOKUP(D277,Sheet2!A:C,3,false))</f>
        <v>#N/A</v>
      </c>
      <c r="T277" s="11" t="s">
        <v>1325</v>
      </c>
    </row>
    <row r="278">
      <c r="A278" s="4">
        <v>5.1008956E7</v>
      </c>
      <c r="B278" s="9">
        <v>1.0</v>
      </c>
      <c r="C278" s="9">
        <v>5.0</v>
      </c>
      <c r="D278" s="1" t="s">
        <v>562</v>
      </c>
      <c r="E278" s="1" t="s">
        <v>657</v>
      </c>
      <c r="F278" s="6">
        <v>2099.0</v>
      </c>
      <c r="G278" s="6">
        <v>2299.0</v>
      </c>
      <c r="H278" s="1" t="s">
        <v>564</v>
      </c>
      <c r="I278" s="7"/>
      <c r="J278" s="7"/>
      <c r="K278" s="1" t="s">
        <v>568</v>
      </c>
      <c r="L278" s="7"/>
      <c r="M278" s="7"/>
      <c r="N278" s="7"/>
      <c r="O278" s="7"/>
      <c r="P278" s="7"/>
      <c r="Q278" s="7"/>
      <c r="R278" s="11" t="str">
        <f>IFERROR(VLOOKUP(A278,Sheet3!B:H,6,false),VLOOKUP(D278,Sheet2!A:C,2,false))</f>
        <v>#N/A</v>
      </c>
      <c r="S278" s="11" t="str">
        <f>IFERROR(VLOOKUP(A278,Sheet3!B:H,7,false),VLOOKUP(D278,Sheet2!A:C,3,false))</f>
        <v>#N/A</v>
      </c>
      <c r="T278" s="11" t="s">
        <v>1326</v>
      </c>
    </row>
    <row r="279">
      <c r="A279" s="4">
        <v>5.1010216E7</v>
      </c>
      <c r="B279" s="9">
        <v>4.0</v>
      </c>
      <c r="C279" s="9">
        <v>4.5</v>
      </c>
      <c r="D279" s="1" t="s">
        <v>661</v>
      </c>
      <c r="E279" s="1" t="s">
        <v>662</v>
      </c>
      <c r="F279" s="6">
        <v>59.99</v>
      </c>
      <c r="G279" s="6">
        <v>59.99</v>
      </c>
      <c r="H279" s="1" t="s">
        <v>663</v>
      </c>
      <c r="I279" s="1" t="s">
        <v>664</v>
      </c>
      <c r="J279" s="1" t="s">
        <v>31</v>
      </c>
      <c r="K279" s="1" t="s">
        <v>32</v>
      </c>
      <c r="L279" s="7"/>
      <c r="M279" s="7"/>
      <c r="N279" s="7"/>
      <c r="O279" s="7"/>
      <c r="P279" s="7"/>
      <c r="Q279" s="7"/>
      <c r="R279" s="8" t="str">
        <f>IFERROR(VLOOKUP(A279,Sheet3!B:H,6,false),VLOOKUP(D279,Sheet2!A:C,2,false))</f>
        <v>https://bedgear.com/cdn/shop/files/01-IPROTECT-Main.jpg</v>
      </c>
      <c r="S279" s="8" t="str">
        <f>IFERROR(VLOOKUP(A279,Sheet3!B:H,7,false),VLOOKUP(D279,Sheet2!A:C,3,false))</f>
        <v>https://bedgear.com/products/iprotect-mattress-protector</v>
      </c>
      <c r="T279" s="11" t="s">
        <v>1327</v>
      </c>
    </row>
    <row r="280">
      <c r="A280" s="4">
        <v>5.1010228E7</v>
      </c>
      <c r="B280" s="9">
        <v>4.0</v>
      </c>
      <c r="C280" s="9">
        <v>4.5</v>
      </c>
      <c r="D280" s="1" t="s">
        <v>661</v>
      </c>
      <c r="E280" s="1" t="s">
        <v>665</v>
      </c>
      <c r="F280" s="6">
        <v>49.99</v>
      </c>
      <c r="G280" s="6">
        <v>49.99</v>
      </c>
      <c r="H280" s="1" t="s">
        <v>663</v>
      </c>
      <c r="I280" s="1" t="s">
        <v>664</v>
      </c>
      <c r="J280" s="1" t="s">
        <v>31</v>
      </c>
      <c r="K280" s="1" t="s">
        <v>242</v>
      </c>
      <c r="L280" s="7"/>
      <c r="M280" s="7"/>
      <c r="N280" s="7"/>
      <c r="O280" s="7"/>
      <c r="P280" s="7"/>
      <c r="Q280" s="7"/>
      <c r="R280" s="8" t="str">
        <f>IFERROR(VLOOKUP(A280,Sheet3!B:H,6,false),VLOOKUP(D280,Sheet2!A:C,2,false))</f>
        <v>https://bedgear.com/cdn/shop/files/01-IPROTECT-Main.jpg</v>
      </c>
      <c r="S280" s="8" t="str">
        <f>IFERROR(VLOOKUP(A280,Sheet3!B:H,7,false),VLOOKUP(D280,Sheet2!A:C,3,false))</f>
        <v>https://bedgear.com/products/iprotect-mattress-protector</v>
      </c>
      <c r="T280" s="11" t="s">
        <v>1328</v>
      </c>
    </row>
    <row r="281">
      <c r="A281" s="4">
        <v>5.101023E7</v>
      </c>
      <c r="B281" s="9">
        <v>4.0</v>
      </c>
      <c r="C281" s="9">
        <v>4.5</v>
      </c>
      <c r="D281" s="1" t="s">
        <v>661</v>
      </c>
      <c r="E281" s="1" t="s">
        <v>666</v>
      </c>
      <c r="F281" s="6">
        <v>69.99</v>
      </c>
      <c r="G281" s="6">
        <v>69.99</v>
      </c>
      <c r="H281" s="1" t="s">
        <v>663</v>
      </c>
      <c r="I281" s="1" t="s">
        <v>664</v>
      </c>
      <c r="J281" s="1" t="s">
        <v>31</v>
      </c>
      <c r="K281" s="1" t="s">
        <v>373</v>
      </c>
      <c r="L281" s="7"/>
      <c r="M281" s="7"/>
      <c r="N281" s="7"/>
      <c r="O281" s="7"/>
      <c r="P281" s="7"/>
      <c r="Q281" s="7"/>
      <c r="R281" s="8" t="str">
        <f>IFERROR(VLOOKUP(A281,Sheet3!B:H,6,false),VLOOKUP(D281,Sheet2!A:C,2,false))</f>
        <v>https://bedgear.com/cdn/shop/files/01-IPROTECT-Main.jpg</v>
      </c>
      <c r="S281" s="8" t="str">
        <f>IFERROR(VLOOKUP(A281,Sheet3!B:H,7,false),VLOOKUP(D281,Sheet2!A:C,3,false))</f>
        <v>https://bedgear.com/products/iprotect-mattress-protector</v>
      </c>
      <c r="T281" s="11" t="s">
        <v>1329</v>
      </c>
    </row>
    <row r="282">
      <c r="A282" s="4">
        <v>5.1010242E7</v>
      </c>
      <c r="B282" s="9">
        <v>4.0</v>
      </c>
      <c r="C282" s="9">
        <v>4.5</v>
      </c>
      <c r="D282" s="1" t="s">
        <v>661</v>
      </c>
      <c r="E282" s="1" t="s">
        <v>667</v>
      </c>
      <c r="F282" s="6">
        <v>79.99</v>
      </c>
      <c r="G282" s="6">
        <v>79.99</v>
      </c>
      <c r="H282" s="1" t="s">
        <v>663</v>
      </c>
      <c r="I282" s="1" t="s">
        <v>664</v>
      </c>
      <c r="J282" s="1" t="s">
        <v>31</v>
      </c>
      <c r="K282" s="1" t="s">
        <v>470</v>
      </c>
      <c r="L282" s="7"/>
      <c r="M282" s="7"/>
      <c r="N282" s="7"/>
      <c r="O282" s="7"/>
      <c r="P282" s="7"/>
      <c r="Q282" s="7"/>
      <c r="R282" s="8" t="str">
        <f>IFERROR(VLOOKUP(A282,Sheet3!B:H,6,false),VLOOKUP(D282,Sheet2!A:C,2,false))</f>
        <v>https://bedgear.com/cdn/shop/files/01-IPROTECT-Main.jpg</v>
      </c>
      <c r="S282" s="8" t="str">
        <f>IFERROR(VLOOKUP(A282,Sheet3!B:H,7,false),VLOOKUP(D282,Sheet2!A:C,3,false))</f>
        <v>https://bedgear.com/products/iprotect-mattress-protector</v>
      </c>
      <c r="T282" s="11" t="s">
        <v>1330</v>
      </c>
    </row>
    <row r="283">
      <c r="A283" s="4">
        <v>5.1010254E7</v>
      </c>
      <c r="B283" s="9">
        <v>4.0</v>
      </c>
      <c r="C283" s="9">
        <v>4.5</v>
      </c>
      <c r="D283" s="1" t="s">
        <v>661</v>
      </c>
      <c r="E283" s="1" t="s">
        <v>668</v>
      </c>
      <c r="F283" s="6">
        <v>89.99</v>
      </c>
      <c r="G283" s="6">
        <v>89.99</v>
      </c>
      <c r="H283" s="1" t="s">
        <v>663</v>
      </c>
      <c r="I283" s="1" t="s">
        <v>664</v>
      </c>
      <c r="J283" s="1" t="s">
        <v>31</v>
      </c>
      <c r="K283" s="1" t="s">
        <v>568</v>
      </c>
      <c r="L283" s="7"/>
      <c r="M283" s="7"/>
      <c r="N283" s="7"/>
      <c r="O283" s="7"/>
      <c r="P283" s="7"/>
      <c r="Q283" s="7"/>
      <c r="R283" s="8" t="str">
        <f>IFERROR(VLOOKUP(A283,Sheet3!B:H,6,false),VLOOKUP(D283,Sheet2!A:C,2,false))</f>
        <v>https://bedgear.com/cdn/shop/files/01-IPROTECT-Main.jpg</v>
      </c>
      <c r="S283" s="8" t="str">
        <f>IFERROR(VLOOKUP(A283,Sheet3!B:H,7,false),VLOOKUP(D283,Sheet2!A:C,3,false))</f>
        <v>https://bedgear.com/products/iprotect-mattress-protector</v>
      </c>
      <c r="T283" s="11" t="s">
        <v>1331</v>
      </c>
    </row>
    <row r="284">
      <c r="A284" s="4">
        <v>5.1010266E7</v>
      </c>
      <c r="B284" s="5"/>
      <c r="C284" s="5"/>
      <c r="D284" s="1" t="s">
        <v>661</v>
      </c>
      <c r="E284" s="1" t="s">
        <v>669</v>
      </c>
      <c r="F284" s="6">
        <v>89.99</v>
      </c>
      <c r="G284" s="6">
        <v>89.99</v>
      </c>
      <c r="H284" s="1" t="s">
        <v>663</v>
      </c>
      <c r="I284" s="1" t="s">
        <v>664</v>
      </c>
      <c r="J284" s="1" t="s">
        <v>31</v>
      </c>
      <c r="K284" s="1" t="s">
        <v>670</v>
      </c>
      <c r="L284" s="7"/>
      <c r="M284" s="7"/>
      <c r="N284" s="7"/>
      <c r="O284" s="7"/>
      <c r="P284" s="7"/>
      <c r="Q284" s="7"/>
      <c r="R284" s="8" t="str">
        <f>IFERROR(VLOOKUP(A284,Sheet3!B:H,6,false),VLOOKUP(D284,Sheet2!A:C,2,false))</f>
        <v>https://bedgear.com/cdn/shop/files/01-IPROTECT-Main.jpg</v>
      </c>
      <c r="S284" s="8" t="str">
        <f>IFERROR(VLOOKUP(A284,Sheet3!B:H,7,false),VLOOKUP(D284,Sheet2!A:C,3,false))</f>
        <v>https://bedgear.com/products/iprotect-mattress-protector</v>
      </c>
      <c r="T284" s="11" t="s">
        <v>1332</v>
      </c>
    </row>
    <row r="285">
      <c r="A285" s="4">
        <v>5.1010406E7</v>
      </c>
      <c r="B285" s="5"/>
      <c r="C285" s="5"/>
      <c r="D285" s="1" t="s">
        <v>673</v>
      </c>
      <c r="E285" s="1" t="s">
        <v>673</v>
      </c>
      <c r="F285" s="6">
        <v>29.99</v>
      </c>
      <c r="G285" s="6">
        <v>29.99</v>
      </c>
      <c r="H285" s="1" t="s">
        <v>663</v>
      </c>
      <c r="I285" s="1" t="s">
        <v>674</v>
      </c>
      <c r="J285" s="1" t="s">
        <v>134</v>
      </c>
      <c r="K285" s="1" t="s">
        <v>675</v>
      </c>
      <c r="L285" s="7"/>
      <c r="M285" s="7"/>
      <c r="N285" s="7"/>
      <c r="O285" s="7"/>
      <c r="P285" s="7"/>
      <c r="Q285" s="7"/>
      <c r="R285" s="8" t="str">
        <f>IFERROR(VLOOKUP(A285,Sheet3!B:H,6,false),VLOOKUP(D285,Sheet2!A:C,2,false))</f>
        <v>https://bedgear.com/cdn/shop/files/01-DT-Main.jpg</v>
      </c>
      <c r="S285" s="8" t="str">
        <f>IFERROR(VLOOKUP(A285,Sheet3!B:H,7,false),VLOOKUP(D285,Sheet2!A:C,3,false))</f>
        <v>https://bedgear.com/collections/crib-protectors</v>
      </c>
      <c r="T285" s="11" t="s">
        <v>1333</v>
      </c>
    </row>
    <row r="286">
      <c r="A286" s="4">
        <v>5.1010418E7</v>
      </c>
      <c r="B286" s="5"/>
      <c r="C286" s="5"/>
      <c r="D286" s="1" t="s">
        <v>676</v>
      </c>
      <c r="E286" s="1" t="s">
        <v>676</v>
      </c>
      <c r="F286" s="6">
        <v>39.99</v>
      </c>
      <c r="G286" s="6">
        <v>39.99</v>
      </c>
      <c r="H286" s="1" t="s">
        <v>663</v>
      </c>
      <c r="I286" s="1" t="s">
        <v>677</v>
      </c>
      <c r="J286" s="1" t="s">
        <v>134</v>
      </c>
      <c r="K286" s="1" t="s">
        <v>675</v>
      </c>
      <c r="L286" s="7"/>
      <c r="M286" s="7"/>
      <c r="N286" s="7"/>
      <c r="O286" s="7"/>
      <c r="P286" s="7"/>
      <c r="Q286" s="7"/>
      <c r="R286" s="8" t="str">
        <f>IFERROR(VLOOKUP(A286,Sheet3!B:H,6,false),VLOOKUP(D286,Sheet2!A:C,2,false))</f>
        <v>https://bedgear.com/cdn/shop/files/01-VT-Main_ba2fd5b4-a14e-47c0-942b-e9c2aea9a2f6.jpg</v>
      </c>
      <c r="S286" s="8" t="str">
        <f>IFERROR(VLOOKUP(A286,Sheet3!B:H,7,false),VLOOKUP(D286,Sheet2!A:C,3,false))</f>
        <v>https://bedgear.com/collections/crib-protectors</v>
      </c>
      <c r="T286" s="11" t="s">
        <v>1334</v>
      </c>
    </row>
    <row r="287">
      <c r="A287" s="4">
        <v>5.1010608E7</v>
      </c>
      <c r="B287" s="9">
        <v>4.0</v>
      </c>
      <c r="C287" s="9">
        <v>3.5</v>
      </c>
      <c r="D287" s="1" t="s">
        <v>700</v>
      </c>
      <c r="E287" s="1" t="s">
        <v>701</v>
      </c>
      <c r="F287" s="6">
        <v>249.99</v>
      </c>
      <c r="G287" s="6">
        <v>249.99</v>
      </c>
      <c r="H287" s="1" t="s">
        <v>663</v>
      </c>
      <c r="I287" s="1" t="s">
        <v>702</v>
      </c>
      <c r="J287" s="1" t="s">
        <v>31</v>
      </c>
      <c r="K287" s="1" t="s">
        <v>242</v>
      </c>
      <c r="L287" s="7"/>
      <c r="M287" s="7"/>
      <c r="N287" s="7"/>
      <c r="O287" s="7"/>
      <c r="P287" s="7"/>
      <c r="Q287" s="7"/>
      <c r="R287" s="8" t="str">
        <f>IFERROR(VLOOKUP(A287,Sheet3!B:H,6,false),VLOOKUP(D287,Sheet2!A:C,2,false))</f>
        <v>https://bedgear.com/cdn/shop/files/01-VT-Main_ba2fd5b4-a14e-47c0-942b-e9c2aea9a2f6.jpg</v>
      </c>
      <c r="S287" s="8" t="str">
        <f>IFERROR(VLOOKUP(A287,Sheet3!B:H,7,false),VLOOKUP(D287,Sheet2!A:C,3,false))</f>
        <v>https://bedgear.com/products/ver-tex-mattress-protector</v>
      </c>
      <c r="T287" s="11" t="s">
        <v>1335</v>
      </c>
    </row>
    <row r="288">
      <c r="A288" s="4">
        <v>5.101061E7</v>
      </c>
      <c r="B288" s="9">
        <v>4.0</v>
      </c>
      <c r="C288" s="9">
        <v>3.5</v>
      </c>
      <c r="D288" s="1" t="s">
        <v>700</v>
      </c>
      <c r="E288" s="1" t="s">
        <v>703</v>
      </c>
      <c r="F288" s="6">
        <v>259.99</v>
      </c>
      <c r="G288" s="6">
        <v>259.99</v>
      </c>
      <c r="H288" s="1" t="s">
        <v>663</v>
      </c>
      <c r="I288" s="1" t="s">
        <v>704</v>
      </c>
      <c r="J288" s="1" t="s">
        <v>31</v>
      </c>
      <c r="K288" s="1" t="s">
        <v>32</v>
      </c>
      <c r="L288" s="7"/>
      <c r="M288" s="7"/>
      <c r="N288" s="7"/>
      <c r="O288" s="7"/>
      <c r="P288" s="7"/>
      <c r="Q288" s="7"/>
      <c r="R288" s="8" t="str">
        <f>IFERROR(VLOOKUP(A288,Sheet3!B:H,6,false),VLOOKUP(D288,Sheet2!A:C,2,false))</f>
        <v>https://bedgear.com/cdn/shop/files/01-VT-Main_ba2fd5b4-a14e-47c0-942b-e9c2aea9a2f6.jpg</v>
      </c>
      <c r="S288" s="8" t="str">
        <f>IFERROR(VLOOKUP(A288,Sheet3!B:H,7,false),VLOOKUP(D288,Sheet2!A:C,3,false))</f>
        <v>https://bedgear.com/products/ver-tex-mattress-protector</v>
      </c>
      <c r="T288" s="11" t="s">
        <v>1336</v>
      </c>
    </row>
    <row r="289">
      <c r="A289" s="4">
        <v>5.1010622E7</v>
      </c>
      <c r="B289" s="9">
        <v>4.0</v>
      </c>
      <c r="C289" s="9">
        <v>3.5</v>
      </c>
      <c r="D289" s="1" t="s">
        <v>700</v>
      </c>
      <c r="E289" s="1" t="s">
        <v>705</v>
      </c>
      <c r="F289" s="6">
        <v>259.99</v>
      </c>
      <c r="G289" s="6">
        <v>259.99</v>
      </c>
      <c r="H289" s="1" t="s">
        <v>663</v>
      </c>
      <c r="I289" s="1" t="s">
        <v>702</v>
      </c>
      <c r="J289" s="1" t="s">
        <v>31</v>
      </c>
      <c r="K289" s="1" t="s">
        <v>373</v>
      </c>
      <c r="L289" s="7"/>
      <c r="M289" s="7"/>
      <c r="N289" s="7"/>
      <c r="O289" s="7"/>
      <c r="P289" s="7"/>
      <c r="Q289" s="7"/>
      <c r="R289" s="8" t="str">
        <f>IFERROR(VLOOKUP(A289,Sheet3!B:H,6,false),VLOOKUP(D289,Sheet2!A:C,2,false))</f>
        <v>https://bedgear.com/cdn/shop/files/01-VT-Main_ba2fd5b4-a14e-47c0-942b-e9c2aea9a2f6.jpg</v>
      </c>
      <c r="S289" s="8" t="str">
        <f>IFERROR(VLOOKUP(A289,Sheet3!B:H,7,false),VLOOKUP(D289,Sheet2!A:C,3,false))</f>
        <v>https://bedgear.com/products/ver-tex-mattress-protector</v>
      </c>
      <c r="T289" s="11" t="s">
        <v>1337</v>
      </c>
    </row>
    <row r="290">
      <c r="A290" s="4">
        <v>5.1010634E7</v>
      </c>
      <c r="B290" s="9">
        <v>4.0</v>
      </c>
      <c r="C290" s="9">
        <v>3.5</v>
      </c>
      <c r="D290" s="1" t="s">
        <v>700</v>
      </c>
      <c r="E290" s="1" t="s">
        <v>706</v>
      </c>
      <c r="F290" s="6">
        <v>279.99</v>
      </c>
      <c r="G290" s="6">
        <v>279.99</v>
      </c>
      <c r="H290" s="1" t="s">
        <v>663</v>
      </c>
      <c r="I290" s="1" t="s">
        <v>702</v>
      </c>
      <c r="J290" s="1" t="s">
        <v>31</v>
      </c>
      <c r="K290" s="1" t="s">
        <v>470</v>
      </c>
      <c r="L290" s="7"/>
      <c r="M290" s="7"/>
      <c r="N290" s="7"/>
      <c r="O290" s="7"/>
      <c r="P290" s="7"/>
      <c r="Q290" s="7"/>
      <c r="R290" s="8" t="str">
        <f>IFERROR(VLOOKUP(A290,Sheet3!B:H,6,false),VLOOKUP(D290,Sheet2!A:C,2,false))</f>
        <v>https://bedgear.com/cdn/shop/files/01-VT-Main_ba2fd5b4-a14e-47c0-942b-e9c2aea9a2f6.jpg</v>
      </c>
      <c r="S290" s="8" t="str">
        <f>IFERROR(VLOOKUP(A290,Sheet3!B:H,7,false),VLOOKUP(D290,Sheet2!A:C,3,false))</f>
        <v>https://bedgear.com/products/ver-tex-mattress-protector</v>
      </c>
      <c r="T290" s="11" t="s">
        <v>1338</v>
      </c>
    </row>
    <row r="291">
      <c r="A291" s="4">
        <v>5.1010646E7</v>
      </c>
      <c r="B291" s="9">
        <v>4.0</v>
      </c>
      <c r="C291" s="9">
        <v>3.5</v>
      </c>
      <c r="D291" s="1" t="s">
        <v>700</v>
      </c>
      <c r="E291" s="1" t="s">
        <v>707</v>
      </c>
      <c r="F291" s="6">
        <v>299.99</v>
      </c>
      <c r="G291" s="6">
        <v>299.99</v>
      </c>
      <c r="H291" s="1" t="s">
        <v>663</v>
      </c>
      <c r="I291" s="1" t="s">
        <v>702</v>
      </c>
      <c r="J291" s="1" t="s">
        <v>31</v>
      </c>
      <c r="K291" s="1" t="s">
        <v>568</v>
      </c>
      <c r="L291" s="7"/>
      <c r="M291" s="7"/>
      <c r="N291" s="7"/>
      <c r="O291" s="7"/>
      <c r="P291" s="7"/>
      <c r="Q291" s="7"/>
      <c r="R291" s="8" t="str">
        <f>IFERROR(VLOOKUP(A291,Sheet3!B:H,6,false),VLOOKUP(D291,Sheet2!A:C,2,false))</f>
        <v>https://bedgear.com/cdn/shop/files/01-VT-Main_ba2fd5b4-a14e-47c0-942b-e9c2aea9a2f6.jpg</v>
      </c>
      <c r="S291" s="8" t="str">
        <f>IFERROR(VLOOKUP(A291,Sheet3!B:H,7,false),VLOOKUP(D291,Sheet2!A:C,3,false))</f>
        <v>https://bedgear.com/products/ver-tex-mattress-protector</v>
      </c>
      <c r="T291" s="11" t="s">
        <v>1339</v>
      </c>
    </row>
    <row r="292">
      <c r="A292" s="4">
        <v>5.1010658E7</v>
      </c>
      <c r="B292" s="5"/>
      <c r="C292" s="5"/>
      <c r="D292" s="1" t="s">
        <v>700</v>
      </c>
      <c r="E292" s="1" t="s">
        <v>708</v>
      </c>
      <c r="F292" s="6">
        <v>299.99</v>
      </c>
      <c r="G292" s="6">
        <v>299.99</v>
      </c>
      <c r="H292" s="1" t="s">
        <v>663</v>
      </c>
      <c r="I292" s="1" t="s">
        <v>702</v>
      </c>
      <c r="J292" s="1" t="s">
        <v>31</v>
      </c>
      <c r="K292" s="1" t="s">
        <v>670</v>
      </c>
      <c r="L292" s="7"/>
      <c r="M292" s="7"/>
      <c r="N292" s="7"/>
      <c r="O292" s="7"/>
      <c r="P292" s="7"/>
      <c r="Q292" s="7"/>
      <c r="R292" s="8" t="str">
        <f>IFERROR(VLOOKUP(A292,Sheet3!B:H,6,false),VLOOKUP(D292,Sheet2!A:C,2,false))</f>
        <v>https://bedgear.com/cdn/shop/files/01-VT-Main_ba2fd5b4-a14e-47c0-942b-e9c2aea9a2f6.jpg</v>
      </c>
      <c r="S292" s="8" t="str">
        <f>IFERROR(VLOOKUP(A292,Sheet3!B:H,7,false),VLOOKUP(D292,Sheet2!A:C,3,false))</f>
        <v>https://bedgear.com/products/ver-tex-mattress-protector</v>
      </c>
      <c r="T292" s="11" t="s">
        <v>1340</v>
      </c>
    </row>
    <row r="293">
      <c r="A293" s="4">
        <v>5.101066E7</v>
      </c>
      <c r="B293" s="5"/>
      <c r="C293" s="5"/>
      <c r="D293" s="1" t="s">
        <v>700</v>
      </c>
      <c r="E293" s="1" t="s">
        <v>709</v>
      </c>
      <c r="F293" s="6">
        <v>359.99</v>
      </c>
      <c r="G293" s="6">
        <v>359.99</v>
      </c>
      <c r="H293" s="1" t="s">
        <v>663</v>
      </c>
      <c r="I293" s="1" t="s">
        <v>702</v>
      </c>
      <c r="J293" s="1" t="s">
        <v>31</v>
      </c>
      <c r="K293" s="1" t="s">
        <v>710</v>
      </c>
      <c r="L293" s="7"/>
      <c r="M293" s="7"/>
      <c r="N293" s="7"/>
      <c r="O293" s="7"/>
      <c r="P293" s="7"/>
      <c r="Q293" s="7"/>
      <c r="R293" s="8" t="str">
        <f>IFERROR(VLOOKUP(A293,Sheet3!B:H,6,false),VLOOKUP(D293,Sheet2!A:C,2,false))</f>
        <v>https://bedgear.com/cdn/shop/files/01-VT-Main_ba2fd5b4-a14e-47c0-942b-e9c2aea9a2f6.jpg</v>
      </c>
      <c r="S293" s="8" t="str">
        <f>IFERROR(VLOOKUP(A293,Sheet3!B:H,7,false),VLOOKUP(D293,Sheet2!A:C,3,false))</f>
        <v>https://bedgear.com/products/ver-tex-mattress-protector</v>
      </c>
      <c r="T293" s="11" t="s">
        <v>1341</v>
      </c>
    </row>
    <row r="294">
      <c r="A294" s="4">
        <v>5.1010672E7</v>
      </c>
      <c r="B294" s="9">
        <v>4.0</v>
      </c>
      <c r="C294" s="9">
        <v>3.5</v>
      </c>
      <c r="D294" s="1" t="s">
        <v>700</v>
      </c>
      <c r="E294" s="1" t="s">
        <v>711</v>
      </c>
      <c r="F294" s="6">
        <v>359.99</v>
      </c>
      <c r="G294" s="6">
        <v>359.99</v>
      </c>
      <c r="H294" s="1" t="s">
        <v>663</v>
      </c>
      <c r="I294" s="1" t="s">
        <v>712</v>
      </c>
      <c r="J294" s="1" t="s">
        <v>31</v>
      </c>
      <c r="K294" s="1" t="s">
        <v>692</v>
      </c>
      <c r="L294" s="7"/>
      <c r="M294" s="7"/>
      <c r="N294" s="7"/>
      <c r="O294" s="7"/>
      <c r="P294" s="7"/>
      <c r="Q294" s="7"/>
      <c r="R294" s="8" t="str">
        <f>IFERROR(VLOOKUP(A294,Sheet3!B:H,6,false),VLOOKUP(D294,Sheet2!A:C,2,false))</f>
        <v>https://bedgear.com/cdn/shop/files/01-VT-Main_ba2fd5b4-a14e-47c0-942b-e9c2aea9a2f6.jpg</v>
      </c>
      <c r="S294" s="8" t="str">
        <f>IFERROR(VLOOKUP(A294,Sheet3!B:H,7,false),VLOOKUP(D294,Sheet2!A:C,3,false))</f>
        <v>https://bedgear.com/products/ver-tex-mattress-protector</v>
      </c>
      <c r="T294" s="11" t="s">
        <v>1342</v>
      </c>
    </row>
    <row r="295">
      <c r="A295" s="4">
        <v>5.1018604E7</v>
      </c>
      <c r="B295" s="9">
        <v>11.0</v>
      </c>
      <c r="C295" s="9">
        <v>4.45</v>
      </c>
      <c r="D295" s="1" t="s">
        <v>369</v>
      </c>
      <c r="E295" s="1" t="s">
        <v>722</v>
      </c>
      <c r="F295" s="6">
        <v>1499.0</v>
      </c>
      <c r="G295" s="6">
        <v>1499.0</v>
      </c>
      <c r="H295" s="1" t="s">
        <v>468</v>
      </c>
      <c r="I295" s="1" t="s">
        <v>371</v>
      </c>
      <c r="J295" s="1" t="s">
        <v>31</v>
      </c>
      <c r="K295" s="1" t="s">
        <v>568</v>
      </c>
      <c r="L295" s="7"/>
      <c r="M295" s="7"/>
      <c r="N295" s="7"/>
      <c r="O295" s="7"/>
      <c r="P295" s="7"/>
      <c r="Q295" s="7"/>
      <c r="R295" s="11" t="str">
        <f>IFERROR(VLOOKUP(A295,Sheet3!B:H,6,false),VLOOKUP(D295,Sheet2!A:C,2,false))</f>
        <v>#N/A</v>
      </c>
      <c r="S295" s="11" t="str">
        <f>IFERROR(VLOOKUP(A295,Sheet3!B:H,7,false),VLOOKUP(D295,Sheet2!A:C,3,false))</f>
        <v>#N/A</v>
      </c>
      <c r="T295" s="11" t="s">
        <v>1343</v>
      </c>
    </row>
    <row r="296">
      <c r="A296" s="4">
        <v>5.1020003E7</v>
      </c>
      <c r="B296" s="5"/>
      <c r="C296" s="5"/>
      <c r="D296" s="1" t="s">
        <v>723</v>
      </c>
      <c r="E296" s="1" t="s">
        <v>724</v>
      </c>
      <c r="F296" s="6">
        <v>9.99</v>
      </c>
      <c r="G296" s="6">
        <v>9.99</v>
      </c>
      <c r="H296" s="1" t="s">
        <v>663</v>
      </c>
      <c r="I296" s="1" t="s">
        <v>725</v>
      </c>
      <c r="J296" s="1" t="s">
        <v>31</v>
      </c>
      <c r="K296" s="1" t="s">
        <v>470</v>
      </c>
      <c r="L296" s="7"/>
      <c r="M296" s="7"/>
      <c r="N296" s="7"/>
      <c r="O296" s="7"/>
      <c r="P296" s="7"/>
      <c r="Q296" s="7"/>
      <c r="R296" s="8" t="str">
        <f>IFERROR(VLOOKUP(A296,Sheet3!B:H,6,false),VLOOKUP(D296,Sheet2!A:C,2,false))</f>
        <v>https://bedgear.com/cdn/shop/files/iPROTECT-PP-01-ProductShot-Main_07a57982-54a7-462b-a090-cb92f6110793.jpg</v>
      </c>
      <c r="S296" s="8" t="str">
        <f>IFERROR(VLOOKUP(A296,Sheet3!B:H,7,false),VLOOKUP(D296,Sheet2!A:C,3,false))</f>
        <v>https://bedgear.com/products/iprotect-pillow-protector</v>
      </c>
      <c r="T296" s="11" t="s">
        <v>1344</v>
      </c>
    </row>
    <row r="297">
      <c r="A297" s="4">
        <v>5.1020015E7</v>
      </c>
      <c r="B297" s="5"/>
      <c r="C297" s="5"/>
      <c r="D297" s="1" t="s">
        <v>723</v>
      </c>
      <c r="E297" s="1" t="s">
        <v>726</v>
      </c>
      <c r="F297" s="6">
        <v>14.99</v>
      </c>
      <c r="G297" s="6">
        <v>14.99</v>
      </c>
      <c r="H297" s="1" t="s">
        <v>663</v>
      </c>
      <c r="I297" s="1" t="s">
        <v>725</v>
      </c>
      <c r="J297" s="1" t="s">
        <v>31</v>
      </c>
      <c r="K297" s="1" t="s">
        <v>568</v>
      </c>
      <c r="L297" s="7"/>
      <c r="M297" s="7"/>
      <c r="N297" s="7"/>
      <c r="O297" s="7"/>
      <c r="P297" s="7"/>
      <c r="Q297" s="7"/>
      <c r="R297" s="8" t="str">
        <f>IFERROR(VLOOKUP(A297,Sheet3!B:H,6,false),VLOOKUP(D297,Sheet2!A:C,2,false))</f>
        <v>https://bedgear.com/cdn/shop/files/iPROTECT-PP-01-ProductShot-Main_07a57982-54a7-462b-a090-cb92f6110793.jpg</v>
      </c>
      <c r="S297" s="8" t="str">
        <f>IFERROR(VLOOKUP(A297,Sheet3!B:H,7,false),VLOOKUP(D297,Sheet2!A:C,3,false))</f>
        <v>https://bedgear.com/products/iprotect-pillow-protector</v>
      </c>
      <c r="T297" s="11" t="s">
        <v>1345</v>
      </c>
    </row>
    <row r="298">
      <c r="A298" s="4">
        <v>5.1100546E7</v>
      </c>
      <c r="B298" s="5"/>
      <c r="C298" s="5"/>
      <c r="D298" s="1" t="s">
        <v>28</v>
      </c>
      <c r="E298" s="1" t="s">
        <v>727</v>
      </c>
      <c r="F298" s="6">
        <v>1319.0</v>
      </c>
      <c r="G298" s="6">
        <v>1649.0</v>
      </c>
      <c r="H298" s="1" t="s">
        <v>30</v>
      </c>
      <c r="I298" s="7"/>
      <c r="J298" s="1" t="s">
        <v>31</v>
      </c>
      <c r="K298" s="1" t="s">
        <v>728</v>
      </c>
      <c r="L298" s="1" t="s">
        <v>33</v>
      </c>
      <c r="M298" s="1" t="s">
        <v>34</v>
      </c>
      <c r="N298" s="1" t="s">
        <v>35</v>
      </c>
      <c r="O298" s="1" t="s">
        <v>34</v>
      </c>
      <c r="P298" s="1" t="s">
        <v>36</v>
      </c>
      <c r="Q298" s="1" t="s">
        <v>37</v>
      </c>
      <c r="R298" s="8" t="str">
        <f>IFERROR(VLOOKUP(A298,Sheet3!B:H,6,false),VLOOKUP(D298,Sheet2!A:C,2,false))</f>
        <v>https://assets.roomstogo.com/product/casper-cloud-one-twin-xl-mattress_50000543_image-item</v>
      </c>
      <c r="S298" s="8" t="str">
        <f>IFERROR(VLOOKUP(A298,Sheet3!B:H,7,false),VLOOKUP(D298,Sheet2!A:C,3,false))</f>
        <v>https://assets.roomstogo.com/product/casper-cloud-one-twin-xl-mattress_50000543_alt-image-1</v>
      </c>
      <c r="T298" s="11" t="s">
        <v>1346</v>
      </c>
    </row>
    <row r="299">
      <c r="A299" s="4">
        <v>5.1100572E7</v>
      </c>
      <c r="B299" s="5"/>
      <c r="C299" s="5"/>
      <c r="D299" s="1" t="s">
        <v>38</v>
      </c>
      <c r="E299" s="1" t="s">
        <v>729</v>
      </c>
      <c r="F299" s="6">
        <v>2595.0</v>
      </c>
      <c r="G299" s="6">
        <v>3295.0</v>
      </c>
      <c r="H299" s="1" t="s">
        <v>30</v>
      </c>
      <c r="I299" s="1" t="s">
        <v>40</v>
      </c>
      <c r="J299" s="1" t="s">
        <v>31</v>
      </c>
      <c r="K299" s="1" t="s">
        <v>670</v>
      </c>
      <c r="L299" s="1" t="s">
        <v>41</v>
      </c>
      <c r="M299" s="1" t="s">
        <v>34</v>
      </c>
      <c r="N299" s="1" t="s">
        <v>35</v>
      </c>
      <c r="O299" s="1" t="s">
        <v>34</v>
      </c>
      <c r="P299" s="1" t="s">
        <v>42</v>
      </c>
      <c r="Q299" s="1" t="s">
        <v>37</v>
      </c>
      <c r="R299" s="8" t="str">
        <f>IFERROR(VLOOKUP(A299,Sheet3!B:H,6,false),VLOOKUP(D299,Sheet2!A:C,2,false))</f>
        <v>https://assets.roomstogo.com/product/casper-snow-20-twin-xl-mattress_50000579_image-item</v>
      </c>
      <c r="S299" s="8" t="str">
        <f>IFERROR(VLOOKUP(A299,Sheet3!B:H,7,false),VLOOKUP(D299,Sheet2!A:C,3,false))</f>
        <v>https://assets.roomstogo.com/product/casper-snow-20-twin-xl-mattress_50000579_alt-image-1</v>
      </c>
      <c r="T299" s="11" t="s">
        <v>1347</v>
      </c>
    </row>
    <row r="300">
      <c r="A300" s="4">
        <v>5.1100584E7</v>
      </c>
      <c r="B300" s="5"/>
      <c r="C300" s="5"/>
      <c r="D300" s="1" t="s">
        <v>46</v>
      </c>
      <c r="E300" s="1" t="s">
        <v>730</v>
      </c>
      <c r="F300" s="6">
        <v>3895.0</v>
      </c>
      <c r="G300" s="6">
        <v>4895.0</v>
      </c>
      <c r="H300" s="1" t="s">
        <v>30</v>
      </c>
      <c r="I300" s="1" t="s">
        <v>48</v>
      </c>
      <c r="J300" s="1" t="s">
        <v>31</v>
      </c>
      <c r="K300" s="1" t="s">
        <v>670</v>
      </c>
      <c r="L300" s="1" t="s">
        <v>41</v>
      </c>
      <c r="M300" s="1" t="s">
        <v>42</v>
      </c>
      <c r="N300" s="1" t="s">
        <v>49</v>
      </c>
      <c r="O300" s="1" t="s">
        <v>34</v>
      </c>
      <c r="P300" s="1" t="s">
        <v>50</v>
      </c>
      <c r="Q300" s="1" t="s">
        <v>51</v>
      </c>
      <c r="R300" s="8" t="str">
        <f>IFERROR(VLOOKUP(A300,Sheet3!B:H,6,false),VLOOKUP(D300,Sheet2!A:C,2,false))</f>
        <v>https://assets.roomstogo.com/product/casper-snow-max-twin-xl-mattress_50000581_image-item</v>
      </c>
      <c r="S300" s="8" t="str">
        <f>IFERROR(VLOOKUP(A300,Sheet3!B:H,7,false),VLOOKUP(D300,Sheet2!A:C,3,false))</f>
        <v>https://assets.roomstogo.com/product/casper-snow-max-twin-xl-mattress_50000581_alt-image-1</v>
      </c>
      <c r="T300" s="11" t="s">
        <v>1348</v>
      </c>
    </row>
    <row r="301">
      <c r="A301" s="4">
        <v>5.1100685E7</v>
      </c>
      <c r="B301" s="5"/>
      <c r="C301" s="5"/>
      <c r="D301" s="1" t="s">
        <v>52</v>
      </c>
      <c r="E301" s="1" t="s">
        <v>731</v>
      </c>
      <c r="F301" s="6">
        <v>1199.0</v>
      </c>
      <c r="G301" s="6">
        <v>1299.0</v>
      </c>
      <c r="H301" s="1" t="s">
        <v>30</v>
      </c>
      <c r="I301" s="1" t="s">
        <v>244</v>
      </c>
      <c r="J301" s="1" t="s">
        <v>31</v>
      </c>
      <c r="K301" s="1" t="s">
        <v>670</v>
      </c>
      <c r="L301" s="1" t="s">
        <v>33</v>
      </c>
      <c r="M301" s="1" t="s">
        <v>36</v>
      </c>
      <c r="N301" s="1" t="s">
        <v>35</v>
      </c>
      <c r="O301" s="1" t="s">
        <v>36</v>
      </c>
      <c r="P301" s="1" t="s">
        <v>36</v>
      </c>
      <c r="Q301" s="1" t="s">
        <v>37</v>
      </c>
      <c r="R301" s="8" t="str">
        <f>IFERROR(VLOOKUP(A301,Sheet3!B:H,6,false),VLOOKUP(D301,Sheet2!A:C,2,false))</f>
        <v>https://assets.roomstogo.com/product/casper-onyx-20-twin-xl-mattress_50000682_image-item</v>
      </c>
      <c r="S301" s="8" t="str">
        <f>IFERROR(VLOOKUP(A301,Sheet3!B:H,7,false),VLOOKUP(D301,Sheet2!A:C,3,false))</f>
        <v>https://assets.roomstogo.com/product/casper-onyx-20-twin-xl-mattress_50000682_alt-image-1</v>
      </c>
      <c r="T301" s="11" t="s">
        <v>1349</v>
      </c>
    </row>
    <row r="302">
      <c r="A302" s="4">
        <v>5.1101776E7</v>
      </c>
      <c r="B302" s="5"/>
      <c r="C302" s="5"/>
      <c r="D302" s="1" t="s">
        <v>56</v>
      </c>
      <c r="E302" s="1" t="s">
        <v>732</v>
      </c>
      <c r="F302" s="6">
        <v>1777.0</v>
      </c>
      <c r="G302" s="6">
        <v>4899.0</v>
      </c>
      <c r="H302" s="1" t="s">
        <v>58</v>
      </c>
      <c r="I302" s="7"/>
      <c r="J302" s="7"/>
      <c r="K302" s="1" t="s">
        <v>670</v>
      </c>
      <c r="L302" s="1" t="s">
        <v>59</v>
      </c>
      <c r="M302" s="1" t="s">
        <v>42</v>
      </c>
      <c r="N302" s="1" t="s">
        <v>35</v>
      </c>
      <c r="O302" s="1" t="s">
        <v>42</v>
      </c>
      <c r="P302" s="1" t="s">
        <v>34</v>
      </c>
      <c r="Q302" s="1" t="s">
        <v>37</v>
      </c>
      <c r="R302" s="8" t="str">
        <f>IFERROR(VLOOKUP(A302,Sheet3!B:H,6,false),VLOOKUP(D302,Sheet2!A:C,2,false))</f>
        <v>https://assets.roomstogo.com/product/kingsdown-smart-match-20-twin-xl-mattress_50001773_image-item</v>
      </c>
      <c r="S302" s="8" t="str">
        <f>IFERROR(VLOOKUP(A302,Sheet3!B:H,7,false),VLOOKUP(D302,Sheet2!A:C,3,false))</f>
        <v>https://assets.roomstogo.com/product/kingsdown-smart-match-20-twin-xl-mattress_50001773_alt-image-1</v>
      </c>
      <c r="T302" s="11" t="s">
        <v>1350</v>
      </c>
    </row>
    <row r="303">
      <c r="A303" s="4">
        <v>5.1107463E7</v>
      </c>
      <c r="B303" s="5"/>
      <c r="C303" s="5"/>
      <c r="D303" s="1" t="s">
        <v>62</v>
      </c>
      <c r="E303" s="1" t="s">
        <v>733</v>
      </c>
      <c r="F303" s="6">
        <v>2899.0</v>
      </c>
      <c r="G303" s="6">
        <v>2899.0</v>
      </c>
      <c r="H303" s="1" t="s">
        <v>64</v>
      </c>
      <c r="I303" s="1" t="s">
        <v>65</v>
      </c>
      <c r="J303" s="1" t="s">
        <v>31</v>
      </c>
      <c r="K303" s="1" t="s">
        <v>670</v>
      </c>
      <c r="L303" s="1" t="s">
        <v>33</v>
      </c>
      <c r="M303" s="1" t="s">
        <v>42</v>
      </c>
      <c r="N303" s="1" t="s">
        <v>35</v>
      </c>
      <c r="O303" s="1" t="s">
        <v>42</v>
      </c>
      <c r="P303" s="1" t="s">
        <v>42</v>
      </c>
      <c r="Q303" s="1" t="s">
        <v>37</v>
      </c>
      <c r="R303" s="8" t="str">
        <f>IFERROR(VLOOKUP(A303,Sheet3!B:H,6,false),VLOOKUP(D303,Sheet2!A:C,2,false))</f>
        <v>https://assets.roomstogo.com/product/tempur-pedic-adapt-20-medium-twin-xl-mattress_50007460_image-item</v>
      </c>
      <c r="S303" s="8" t="str">
        <f>IFERROR(VLOOKUP(A303,Sheet3!B:H,7,false),VLOOKUP(D303,Sheet2!A:C,3,false))</f>
        <v>https://assets.roomstogo.com/product/tempur-pedic-adapt-20-medium-twin-xl-mattress_50007460_alt-image-1</v>
      </c>
      <c r="T303" s="11" t="s">
        <v>1351</v>
      </c>
    </row>
    <row r="304">
      <c r="A304" s="4">
        <v>5.1107475E7</v>
      </c>
      <c r="B304" s="5"/>
      <c r="C304" s="5"/>
      <c r="D304" s="1" t="s">
        <v>68</v>
      </c>
      <c r="E304" s="1" t="s">
        <v>734</v>
      </c>
      <c r="F304" s="6">
        <v>3199.0</v>
      </c>
      <c r="G304" s="6">
        <v>3199.0</v>
      </c>
      <c r="H304" s="1" t="s">
        <v>64</v>
      </c>
      <c r="I304" s="1" t="s">
        <v>70</v>
      </c>
      <c r="J304" s="1" t="s">
        <v>31</v>
      </c>
      <c r="K304" s="1" t="s">
        <v>670</v>
      </c>
      <c r="L304" s="1" t="s">
        <v>41</v>
      </c>
      <c r="M304" s="1" t="s">
        <v>42</v>
      </c>
      <c r="N304" s="1" t="s">
        <v>35</v>
      </c>
      <c r="O304" s="1" t="s">
        <v>42</v>
      </c>
      <c r="P304" s="1" t="s">
        <v>42</v>
      </c>
      <c r="Q304" s="1" t="s">
        <v>37</v>
      </c>
      <c r="R304" s="8" t="str">
        <f>IFERROR(VLOOKUP(A304,Sheet3!B:H,6,false),VLOOKUP(D304,Sheet2!A:C,2,false))</f>
        <v>https://assets.roomstogo.com/product/tempur-pedic-adapt-20-medium-hybrid-twin-xl-mattress_50007472_image-item</v>
      </c>
      <c r="S304" s="8" t="str">
        <f>IFERROR(VLOOKUP(A304,Sheet3!B:H,7,false),VLOOKUP(D304,Sheet2!A:C,3,false))</f>
        <v>https://assets.roomstogo.com/product/tempur-pedic-adapt-20-medium-hybrid-twin-xl-mattress_50007472_alt-image-1</v>
      </c>
      <c r="T304" s="11" t="s">
        <v>1352</v>
      </c>
    </row>
    <row r="305">
      <c r="A305" s="4">
        <v>5.1107487E7</v>
      </c>
      <c r="B305" s="5"/>
      <c r="C305" s="5"/>
      <c r="D305" s="1" t="s">
        <v>73</v>
      </c>
      <c r="E305" s="1" t="s">
        <v>735</v>
      </c>
      <c r="F305" s="6">
        <v>4099.0</v>
      </c>
      <c r="G305" s="6">
        <v>4099.0</v>
      </c>
      <c r="H305" s="1" t="s">
        <v>64</v>
      </c>
      <c r="I305" s="1" t="s">
        <v>75</v>
      </c>
      <c r="J305" s="1" t="s">
        <v>31</v>
      </c>
      <c r="K305" s="1" t="s">
        <v>670</v>
      </c>
      <c r="L305" s="1" t="s">
        <v>33</v>
      </c>
      <c r="M305" s="1" t="s">
        <v>42</v>
      </c>
      <c r="N305" s="1" t="s">
        <v>76</v>
      </c>
      <c r="O305" s="1" t="s">
        <v>50</v>
      </c>
      <c r="P305" s="1" t="s">
        <v>42</v>
      </c>
      <c r="Q305" s="1" t="s">
        <v>77</v>
      </c>
      <c r="R305" s="8" t="str">
        <f>IFERROR(VLOOKUP(A305,Sheet3!B:H,6,false),VLOOKUP(D305,Sheet2!A:C,2,false))</f>
        <v>https://assets.roomstogo.com/product/tempur-pedic-proadapt-20-firm-twin-xl-mattress_50007484_image-item</v>
      </c>
      <c r="S305" s="8" t="str">
        <f>IFERROR(VLOOKUP(A305,Sheet3!B:H,7,false),VLOOKUP(D305,Sheet2!A:C,3,false))</f>
        <v>https://assets.roomstogo.com/product/tempur-pedic-proadapt-20-firm-twin-xl-mattress_50007484_alt-image-1</v>
      </c>
      <c r="T305" s="11" t="s">
        <v>1353</v>
      </c>
    </row>
    <row r="306">
      <c r="A306" s="4">
        <v>5.1107514E7</v>
      </c>
      <c r="B306" s="5"/>
      <c r="C306" s="5"/>
      <c r="D306" s="1" t="s">
        <v>80</v>
      </c>
      <c r="E306" s="1" t="s">
        <v>736</v>
      </c>
      <c r="F306" s="6">
        <v>5099.0</v>
      </c>
      <c r="G306" s="6">
        <v>5099.0</v>
      </c>
      <c r="H306" s="1" t="s">
        <v>64</v>
      </c>
      <c r="I306" s="1" t="s">
        <v>82</v>
      </c>
      <c r="J306" s="1" t="s">
        <v>31</v>
      </c>
      <c r="K306" s="1" t="s">
        <v>670</v>
      </c>
      <c r="L306" s="1" t="s">
        <v>41</v>
      </c>
      <c r="M306" s="1" t="s">
        <v>42</v>
      </c>
      <c r="N306" s="1" t="s">
        <v>35</v>
      </c>
      <c r="O306" s="1" t="s">
        <v>50</v>
      </c>
      <c r="P306" s="1" t="s">
        <v>50</v>
      </c>
      <c r="Q306" s="1" t="s">
        <v>37</v>
      </c>
      <c r="R306" s="8" t="str">
        <f>IFERROR(VLOOKUP(A306,Sheet3!B:H,6,false),VLOOKUP(D306,Sheet2!A:C,2,false))</f>
        <v>https://assets.roomstogo.com/product/tempur-pedic-probreeze-20-medium-hybrid-twin-xl-mattress_50007511_image-item</v>
      </c>
      <c r="S306" s="8" t="str">
        <f>IFERROR(VLOOKUP(A306,Sheet3!B:H,7,false),VLOOKUP(D306,Sheet2!A:C,3,false))</f>
        <v>https://assets.roomstogo.com/product/tempur-pedic-probreeze-20-medium-hybrid-twin-xl-mattress_50007511_image-item</v>
      </c>
      <c r="T306" s="11" t="s">
        <v>1354</v>
      </c>
    </row>
    <row r="307">
      <c r="A307" s="4">
        <v>5.1107526E7</v>
      </c>
      <c r="B307" s="9">
        <v>5219.0</v>
      </c>
      <c r="C307" s="9">
        <v>4.27</v>
      </c>
      <c r="D307" s="1" t="s">
        <v>85</v>
      </c>
      <c r="E307" s="1" t="s">
        <v>737</v>
      </c>
      <c r="F307" s="6">
        <v>4099.0</v>
      </c>
      <c r="G307" s="6">
        <v>4099.0</v>
      </c>
      <c r="H307" s="1" t="s">
        <v>64</v>
      </c>
      <c r="I307" s="1" t="s">
        <v>75</v>
      </c>
      <c r="J307" s="1" t="s">
        <v>31</v>
      </c>
      <c r="K307" s="1" t="s">
        <v>670</v>
      </c>
      <c r="L307" s="1" t="s">
        <v>33</v>
      </c>
      <c r="M307" s="1" t="s">
        <v>42</v>
      </c>
      <c r="N307" s="1" t="s">
        <v>35</v>
      </c>
      <c r="O307" s="1" t="s">
        <v>50</v>
      </c>
      <c r="P307" s="1" t="s">
        <v>42</v>
      </c>
      <c r="Q307" s="1" t="s">
        <v>37</v>
      </c>
      <c r="R307" s="8" t="str">
        <f>IFERROR(VLOOKUP(A307,Sheet3!B:H,6,false),VLOOKUP(D307,Sheet2!A:C,2,false))</f>
        <v>https://assets.roomstogo.com/product/tempur-pedic-proadapt-20-medium-twin-xl-mattress_50007523_image-item</v>
      </c>
      <c r="S307" s="8" t="str">
        <f>IFERROR(VLOOKUP(A307,Sheet3!B:H,7,false),VLOOKUP(D307,Sheet2!A:C,3,false))</f>
        <v>https://assets.roomstogo.com/product/tempur-pedic-proadapt-20-medium-twin-xl-mattress_50007523_alt-image-1</v>
      </c>
      <c r="T307" s="11" t="s">
        <v>1355</v>
      </c>
    </row>
    <row r="308">
      <c r="A308" s="4">
        <v>5.1107538E7</v>
      </c>
      <c r="B308" s="5"/>
      <c r="C308" s="5"/>
      <c r="D308" s="1" t="s">
        <v>89</v>
      </c>
      <c r="E308" s="1" t="s">
        <v>738</v>
      </c>
      <c r="F308" s="6">
        <v>4099.0</v>
      </c>
      <c r="G308" s="6">
        <v>4099.0</v>
      </c>
      <c r="H308" s="1" t="s">
        <v>64</v>
      </c>
      <c r="I308" s="1" t="s">
        <v>91</v>
      </c>
      <c r="J308" s="1" t="s">
        <v>31</v>
      </c>
      <c r="K308" s="1" t="s">
        <v>670</v>
      </c>
      <c r="L308" s="1" t="s">
        <v>33</v>
      </c>
      <c r="M308" s="1" t="s">
        <v>50</v>
      </c>
      <c r="N308" s="1" t="s">
        <v>49</v>
      </c>
      <c r="O308" s="1" t="s">
        <v>50</v>
      </c>
      <c r="P308" s="1" t="s">
        <v>42</v>
      </c>
      <c r="Q308" s="1" t="s">
        <v>51</v>
      </c>
      <c r="R308" s="8" t="str">
        <f>IFERROR(VLOOKUP(A308,Sheet3!B:H,6,false),VLOOKUP(D308,Sheet2!A:C,2,false))</f>
        <v>https://assets.roomstogo.com/product/tempur-pedic-proadapt-20-soft-twin-xl-mattress_50007535_image-item</v>
      </c>
      <c r="S308" s="8" t="str">
        <f>IFERROR(VLOOKUP(A308,Sheet3!B:H,7,false),VLOOKUP(D308,Sheet2!A:C,3,false))</f>
        <v>https://assets.roomstogo.com/product/tempur-pedic-proadapt-20-soft-twin-xl-mattress_50007535_alt-image-1</v>
      </c>
      <c r="T308" s="11" t="s">
        <v>1356</v>
      </c>
    </row>
    <row r="309">
      <c r="A309" s="4">
        <v>5.1107552E7</v>
      </c>
      <c r="B309" s="5"/>
      <c r="C309" s="5"/>
      <c r="D309" s="1" t="s">
        <v>94</v>
      </c>
      <c r="E309" s="1" t="s">
        <v>739</v>
      </c>
      <c r="F309" s="6">
        <v>4099.0</v>
      </c>
      <c r="G309" s="6">
        <v>4099.0</v>
      </c>
      <c r="H309" s="1" t="s">
        <v>64</v>
      </c>
      <c r="I309" s="1" t="s">
        <v>390</v>
      </c>
      <c r="J309" s="1" t="s">
        <v>31</v>
      </c>
      <c r="K309" s="1" t="s">
        <v>670</v>
      </c>
      <c r="L309" s="1" t="s">
        <v>41</v>
      </c>
      <c r="M309" s="1" t="s">
        <v>42</v>
      </c>
      <c r="N309" s="1" t="s">
        <v>35</v>
      </c>
      <c r="O309" s="1" t="s">
        <v>50</v>
      </c>
      <c r="P309" s="1" t="s">
        <v>42</v>
      </c>
      <c r="Q309" s="1" t="s">
        <v>37</v>
      </c>
      <c r="R309" s="8" t="str">
        <f>IFERROR(VLOOKUP(A309,Sheet3!B:H,6,false),VLOOKUP(D309,Sheet2!A:C,2,false))</f>
        <v>https://assets.roomstogo.com/product/tempur-pedic-proadapt-20-medium-hybrid-twin-xl-mattress_50007559_image-item</v>
      </c>
      <c r="S309" s="8" t="str">
        <f>IFERROR(VLOOKUP(A309,Sheet3!B:H,7,false),VLOOKUP(D309,Sheet2!A:C,3,false))</f>
        <v>https://assets.roomstogo.com/product/tempur-pedic-proadapt-20-medium-hybrid-twin-xl-mattress_50007559_alt-image-1</v>
      </c>
      <c r="T309" s="11" t="s">
        <v>1357</v>
      </c>
    </row>
    <row r="310">
      <c r="A310" s="4">
        <v>5.1107564E7</v>
      </c>
      <c r="B310" s="5"/>
      <c r="C310" s="5"/>
      <c r="D310" s="1" t="s">
        <v>99</v>
      </c>
      <c r="E310" s="1" t="s">
        <v>740</v>
      </c>
      <c r="F310" s="6">
        <v>5399.0</v>
      </c>
      <c r="G310" s="6">
        <v>5399.0</v>
      </c>
      <c r="H310" s="1" t="s">
        <v>64</v>
      </c>
      <c r="I310" s="1" t="s">
        <v>101</v>
      </c>
      <c r="J310" s="1" t="s">
        <v>31</v>
      </c>
      <c r="K310" s="1" t="s">
        <v>670</v>
      </c>
      <c r="L310" s="1" t="s">
        <v>33</v>
      </c>
      <c r="M310" s="1" t="s">
        <v>50</v>
      </c>
      <c r="N310" s="1" t="s">
        <v>49</v>
      </c>
      <c r="O310" s="1" t="s">
        <v>50</v>
      </c>
      <c r="P310" s="1" t="s">
        <v>42</v>
      </c>
      <c r="Q310" s="1" t="s">
        <v>51</v>
      </c>
      <c r="R310" s="8" t="str">
        <f>IFERROR(VLOOKUP(A310,Sheet3!B:H,6,false),VLOOKUP(D310,Sheet2!A:C,2,false))</f>
        <v>https://assets.roomstogo.com/product/tempur-pedic-luxeadapt-20-soft-twin-xl-mattress_50007561_image-item</v>
      </c>
      <c r="S310" s="8" t="str">
        <f>IFERROR(VLOOKUP(A310,Sheet3!B:H,7,false),VLOOKUP(D310,Sheet2!A:C,3,false))</f>
        <v>https://assets.roomstogo.com/product/tempur-pedic-luxeadapt-20-soft-twin-xl-mattress_50007561_alt-image-1</v>
      </c>
      <c r="T310" s="11" t="s">
        <v>1358</v>
      </c>
    </row>
    <row r="311">
      <c r="A311" s="4">
        <v>5.1107588E7</v>
      </c>
      <c r="B311" s="5"/>
      <c r="C311" s="5"/>
      <c r="D311" s="1" t="s">
        <v>104</v>
      </c>
      <c r="E311" s="1" t="s">
        <v>741</v>
      </c>
      <c r="F311" s="6">
        <v>5399.0</v>
      </c>
      <c r="G311" s="6">
        <v>5399.0</v>
      </c>
      <c r="H311" s="1" t="s">
        <v>64</v>
      </c>
      <c r="I311" s="1" t="s">
        <v>106</v>
      </c>
      <c r="J311" s="1" t="s">
        <v>31</v>
      </c>
      <c r="K311" s="1" t="s">
        <v>670</v>
      </c>
      <c r="L311" s="1" t="s">
        <v>41</v>
      </c>
      <c r="M311" s="1" t="s">
        <v>50</v>
      </c>
      <c r="N311" s="1" t="s">
        <v>35</v>
      </c>
      <c r="O311" s="1" t="s">
        <v>50</v>
      </c>
      <c r="P311" s="1" t="s">
        <v>42</v>
      </c>
      <c r="Q311" s="1" t="s">
        <v>37</v>
      </c>
      <c r="R311" s="8" t="str">
        <f>IFERROR(VLOOKUP(A311,Sheet3!B:H,6,false),VLOOKUP(D311,Sheet2!A:C,2,false))</f>
        <v>https://assets.roomstogo.com/product/tempur-pedic-luxeadapt-20-medium-hybrid-twin-xl-mattress_50007585_image-item</v>
      </c>
      <c r="S311" s="8" t="str">
        <f>IFERROR(VLOOKUP(A311,Sheet3!B:H,7,false),VLOOKUP(D311,Sheet2!A:C,3,false))</f>
        <v>https://assets.roomstogo.com/product/tempur-pedic-luxeadapt-20-medium-hybrid-twin-xl-mattress_50007585_alt-image-1</v>
      </c>
      <c r="T311" s="11" t="s">
        <v>1359</v>
      </c>
    </row>
    <row r="312">
      <c r="A312" s="4">
        <v>5.1107627E7</v>
      </c>
      <c r="B312" s="5"/>
      <c r="C312" s="5"/>
      <c r="D312" s="1" t="s">
        <v>109</v>
      </c>
      <c r="E312" s="1" t="s">
        <v>742</v>
      </c>
      <c r="F312" s="6">
        <v>6399.0</v>
      </c>
      <c r="G312" s="6">
        <v>6399.0</v>
      </c>
      <c r="H312" s="1" t="s">
        <v>64</v>
      </c>
      <c r="I312" s="1" t="s">
        <v>111</v>
      </c>
      <c r="J312" s="1" t="s">
        <v>31</v>
      </c>
      <c r="K312" s="1" t="s">
        <v>670</v>
      </c>
      <c r="L312" s="1" t="s">
        <v>33</v>
      </c>
      <c r="M312" s="1" t="s">
        <v>50</v>
      </c>
      <c r="N312" s="1" t="s">
        <v>76</v>
      </c>
      <c r="O312" s="1" t="s">
        <v>50</v>
      </c>
      <c r="P312" s="1" t="s">
        <v>50</v>
      </c>
      <c r="Q312" s="1" t="s">
        <v>77</v>
      </c>
      <c r="R312" s="8" t="str">
        <f>IFERROR(VLOOKUP(A312,Sheet3!B:H,6,false),VLOOKUP(D312,Sheet2!A:C,2,false))</f>
        <v>https://assets.roomstogo.com/product/tempur-pedic-luxebreeze-20-firm-twin-xl-mattress_50007624_image-item</v>
      </c>
      <c r="S312" s="8" t="str">
        <f>IFERROR(VLOOKUP(A312,Sheet3!B:H,7,false),VLOOKUP(D312,Sheet2!A:C,3,false))</f>
        <v>https://assets.roomstogo.com/product/tempur-pedic-luxebreeze-20-firm-twin-xl-mattress_50007624_image-item</v>
      </c>
      <c r="T312" s="11" t="s">
        <v>1360</v>
      </c>
    </row>
    <row r="313">
      <c r="A313" s="4">
        <v>5.1109873E7</v>
      </c>
      <c r="B313" s="5"/>
      <c r="C313" s="5"/>
      <c r="D313" s="1" t="s">
        <v>112</v>
      </c>
      <c r="E313" s="1" t="s">
        <v>743</v>
      </c>
      <c r="F313" s="6">
        <v>1397.0</v>
      </c>
      <c r="G313" s="6">
        <v>1699.0</v>
      </c>
      <c r="H313" s="1" t="s">
        <v>114</v>
      </c>
      <c r="I313" s="7"/>
      <c r="J313" s="1" t="s">
        <v>31</v>
      </c>
      <c r="K313" s="1" t="s">
        <v>728</v>
      </c>
      <c r="L313" s="1" t="s">
        <v>41</v>
      </c>
      <c r="M313" s="1" t="s">
        <v>34</v>
      </c>
      <c r="N313" s="1" t="s">
        <v>35</v>
      </c>
      <c r="O313" s="1" t="s">
        <v>34</v>
      </c>
      <c r="P313" s="1" t="s">
        <v>34</v>
      </c>
      <c r="Q313" s="1" t="s">
        <v>37</v>
      </c>
      <c r="R313" s="8" t="str">
        <f>IFERROR(VLOOKUP(A313,Sheet3!B:H,6,false),VLOOKUP(D313,Sheet2!A:C,2,false))</f>
        <v>https://assets.roomstogo.com/product/tuft-needle-stitch-tn31-twin-xl-mattress_50009870_image-item</v>
      </c>
      <c r="S313" s="8" t="str">
        <f>IFERROR(VLOOKUP(A313,Sheet3!B:H,7,false),VLOOKUP(D313,Sheet2!A:C,3,false))</f>
        <v>https://assets.roomstogo.com/product/tuft-needle-stitch-tn31-twin-xl-mattress_50009870_alt-image-1</v>
      </c>
      <c r="T313" s="11" t="s">
        <v>1361</v>
      </c>
    </row>
    <row r="314">
      <c r="A314" s="4">
        <v>5.1109885E7</v>
      </c>
      <c r="B314" s="5"/>
      <c r="C314" s="5"/>
      <c r="D314" s="1" t="s">
        <v>115</v>
      </c>
      <c r="E314" s="1" t="s">
        <v>744</v>
      </c>
      <c r="F314" s="6">
        <v>1495.0</v>
      </c>
      <c r="G314" s="6">
        <v>2199.0</v>
      </c>
      <c r="H314" s="1" t="s">
        <v>114</v>
      </c>
      <c r="I314" s="7"/>
      <c r="J314" s="1" t="s">
        <v>31</v>
      </c>
      <c r="K314" s="1" t="s">
        <v>728</v>
      </c>
      <c r="L314" s="1" t="s">
        <v>41</v>
      </c>
      <c r="M314" s="1" t="s">
        <v>42</v>
      </c>
      <c r="N314" s="1" t="s">
        <v>76</v>
      </c>
      <c r="O314" s="1" t="s">
        <v>42</v>
      </c>
      <c r="P314" s="1" t="s">
        <v>42</v>
      </c>
      <c r="Q314" s="1" t="s">
        <v>77</v>
      </c>
      <c r="R314" s="8" t="str">
        <f>IFERROR(VLOOKUP(A314,Sheet3!B:H,6,false),VLOOKUP(D314,Sheet2!A:C,2,false))</f>
        <v>https://assets.roomstogo.com/product/tuft-needle-stitch-tn51-twin-xl-mattress_50009882_image-item</v>
      </c>
      <c r="S314" s="8" t="str">
        <f>IFERROR(VLOOKUP(A314,Sheet3!B:H,7,false),VLOOKUP(D314,Sheet2!A:C,3,false))</f>
        <v>https://assets.roomstogo.com/product/tuft-needle-stitch-tn51-twin-xl-mattress_50009882_alt-image-1</v>
      </c>
      <c r="T314" s="11" t="s">
        <v>1362</v>
      </c>
    </row>
    <row r="315">
      <c r="A315" s="4">
        <v>5.11099E7</v>
      </c>
      <c r="B315" s="5"/>
      <c r="C315" s="5"/>
      <c r="D315" s="1" t="s">
        <v>117</v>
      </c>
      <c r="E315" s="1" t="s">
        <v>745</v>
      </c>
      <c r="F315" s="6">
        <v>2497.0</v>
      </c>
      <c r="G315" s="6">
        <v>2999.0</v>
      </c>
      <c r="H315" s="1" t="s">
        <v>114</v>
      </c>
      <c r="I315" s="7"/>
      <c r="J315" s="1" t="s">
        <v>31</v>
      </c>
      <c r="K315" s="1" t="s">
        <v>670</v>
      </c>
      <c r="L315" s="1" t="s">
        <v>41</v>
      </c>
      <c r="M315" s="1" t="s">
        <v>50</v>
      </c>
      <c r="N315" s="1" t="s">
        <v>49</v>
      </c>
      <c r="O315" s="1" t="s">
        <v>42</v>
      </c>
      <c r="P315" s="1" t="s">
        <v>42</v>
      </c>
      <c r="Q315" s="1" t="s">
        <v>51</v>
      </c>
      <c r="R315" s="8" t="str">
        <f>IFERROR(VLOOKUP(A315,Sheet3!B:H,6,false),VLOOKUP(D315,Sheet2!A:C,2,false))</f>
        <v>https://assets.roomstogo.com/product/tuft-needle-stitch-tn91-twin-xl-mattress_50009907_image-item</v>
      </c>
      <c r="S315" s="8" t="str">
        <f>IFERROR(VLOOKUP(A315,Sheet3!B:H,7,false),VLOOKUP(D315,Sheet2!A:C,3,false))</f>
        <v>https://assets.roomstogo.com/product/tuft-needle-stitch-tn91-twin-xl-mattress_50009907_alt-image-1</v>
      </c>
      <c r="T315" s="11" t="s">
        <v>1363</v>
      </c>
    </row>
    <row r="316">
      <c r="A316" s="4">
        <v>5.1109936E7</v>
      </c>
      <c r="B316" s="5"/>
      <c r="C316" s="5"/>
      <c r="D316" s="1" t="s">
        <v>119</v>
      </c>
      <c r="E316" s="1" t="s">
        <v>746</v>
      </c>
      <c r="F316" s="6">
        <v>1177.0</v>
      </c>
      <c r="G316" s="6">
        <v>1299.0</v>
      </c>
      <c r="H316" s="1" t="s">
        <v>114</v>
      </c>
      <c r="I316" s="1" t="s">
        <v>121</v>
      </c>
      <c r="J316" s="1" t="s">
        <v>31</v>
      </c>
      <c r="K316" s="1" t="s">
        <v>670</v>
      </c>
      <c r="L316" s="1" t="s">
        <v>33</v>
      </c>
      <c r="M316" s="1" t="s">
        <v>36</v>
      </c>
      <c r="N316" s="1" t="s">
        <v>76</v>
      </c>
      <c r="O316" s="1" t="s">
        <v>36</v>
      </c>
      <c r="P316" s="1" t="s">
        <v>36</v>
      </c>
      <c r="Q316" s="1" t="s">
        <v>77</v>
      </c>
      <c r="R316" s="8" t="str">
        <f>IFERROR(VLOOKUP(A316,Sheet3!B:H,6,false),VLOOKUP(D316,Sheet2!A:C,2,false))</f>
        <v>https://assets.roomstogo.com/product/tuft-needle-tn1-twin-xl-mattress_50009933_image-item</v>
      </c>
      <c r="S316" s="8" t="str">
        <f>IFERROR(VLOOKUP(A316,Sheet3!B:H,7,false),VLOOKUP(D316,Sheet2!A:C,3,false))</f>
        <v>https://assets.roomstogo.com/product/tuft-needle-tn1-twin-xl-mattress_50009933_alt-image-1</v>
      </c>
      <c r="T316" s="11" t="s">
        <v>1364</v>
      </c>
    </row>
    <row r="317">
      <c r="A317" s="4">
        <v>5.1110674E7</v>
      </c>
      <c r="B317" s="9">
        <v>192.0</v>
      </c>
      <c r="C317" s="9">
        <v>4.4</v>
      </c>
      <c r="D317" s="1" t="s">
        <v>127</v>
      </c>
      <c r="E317" s="1" t="s">
        <v>747</v>
      </c>
      <c r="F317" s="6">
        <v>1195.0</v>
      </c>
      <c r="G317" s="6">
        <v>1499.99</v>
      </c>
      <c r="H317" s="1" t="s">
        <v>129</v>
      </c>
      <c r="I317" s="1" t="s">
        <v>130</v>
      </c>
      <c r="J317" s="1" t="s">
        <v>31</v>
      </c>
      <c r="K317" s="1" t="s">
        <v>670</v>
      </c>
      <c r="L317" s="1" t="s">
        <v>41</v>
      </c>
      <c r="M317" s="1" t="s">
        <v>34</v>
      </c>
      <c r="N317" s="1" t="s">
        <v>35</v>
      </c>
      <c r="O317" s="1" t="s">
        <v>34</v>
      </c>
      <c r="P317" s="1" t="s">
        <v>34</v>
      </c>
      <c r="Q317" s="1" t="s">
        <v>37</v>
      </c>
      <c r="R317" s="8" t="str">
        <f>IFERROR(VLOOKUP(A317,Sheet3!B:H,6,false),VLOOKUP(D317,Sheet2!A:C,2,false))</f>
        <v>https://assets.roomstogo.com/product/beautyrest-select-broad-peak-medium-hybrid-twin-xl-mattress_50010671_image-item</v>
      </c>
      <c r="S317" s="8" t="str">
        <f>IFERROR(VLOOKUP(A317,Sheet3!B:H,7,false),VLOOKUP(D317,Sheet2!A:C,3,false))</f>
        <v>https://assets.roomstogo.com/product/beautyrest-select-broad-peak-medium-hybrid-twin-xl-mattress_50010671_alt-image-1</v>
      </c>
      <c r="T317" s="11" t="s">
        <v>1365</v>
      </c>
    </row>
    <row r="318">
      <c r="A318" s="4">
        <v>5.1122213E7</v>
      </c>
      <c r="B318" s="5"/>
      <c r="C318" s="5"/>
      <c r="D318" s="1" t="s">
        <v>163</v>
      </c>
      <c r="E318" s="1" t="s">
        <v>748</v>
      </c>
      <c r="F318" s="6">
        <v>697.0</v>
      </c>
      <c r="G318" s="6">
        <v>999.99</v>
      </c>
      <c r="H318" s="1" t="s">
        <v>165</v>
      </c>
      <c r="I318" s="1" t="s">
        <v>166</v>
      </c>
      <c r="J318" s="1" t="s">
        <v>31</v>
      </c>
      <c r="K318" s="1" t="s">
        <v>670</v>
      </c>
      <c r="L318" s="1" t="s">
        <v>41</v>
      </c>
      <c r="M318" s="1" t="s">
        <v>36</v>
      </c>
      <c r="N318" s="1" t="s">
        <v>35</v>
      </c>
      <c r="O318" s="1" t="s">
        <v>34</v>
      </c>
      <c r="P318" s="1" t="s">
        <v>36</v>
      </c>
      <c r="Q318" s="1" t="s">
        <v>37</v>
      </c>
      <c r="R318" s="8" t="str">
        <f>IFERROR(VLOOKUP(A318,Sheet3!B:H,6,false),VLOOKUP(D318,Sheet2!A:C,2,false))</f>
        <v>https://assets.roomstogo.com/product/beauty-sleep-oceana-mist-medium-hybrid-twin-xl-mattress_50022210_image-item</v>
      </c>
      <c r="S318" s="8" t="str">
        <f>IFERROR(VLOOKUP(A318,Sheet3!B:H,7,false),VLOOKUP(D318,Sheet2!A:C,3,false))</f>
        <v>https://assets.roomstogo.com/product/beauty-sleep-oceana-mist-medium-hybrid-twin-xl-mattress_50022210_alt-image-8</v>
      </c>
      <c r="T318" s="11" t="s">
        <v>1366</v>
      </c>
    </row>
    <row r="319">
      <c r="A319" s="4">
        <v>5.112574E7</v>
      </c>
      <c r="B319" s="5"/>
      <c r="C319" s="5"/>
      <c r="D319" s="1" t="s">
        <v>169</v>
      </c>
      <c r="E319" s="1" t="s">
        <v>749</v>
      </c>
      <c r="F319" s="6">
        <v>1749.0</v>
      </c>
      <c r="G319" s="6">
        <v>1749.0</v>
      </c>
      <c r="H319" s="1" t="s">
        <v>171</v>
      </c>
      <c r="I319" s="1" t="s">
        <v>172</v>
      </c>
      <c r="J319" s="1" t="s">
        <v>31</v>
      </c>
      <c r="K319" s="1" t="s">
        <v>670</v>
      </c>
      <c r="L319" s="1" t="s">
        <v>59</v>
      </c>
      <c r="M319" s="1" t="s">
        <v>42</v>
      </c>
      <c r="N319" s="1" t="s">
        <v>49</v>
      </c>
      <c r="O319" s="1" t="s">
        <v>42</v>
      </c>
      <c r="P319" s="1" t="s">
        <v>42</v>
      </c>
      <c r="Q319" s="1" t="s">
        <v>51</v>
      </c>
      <c r="R319" s="8" t="str">
        <f>IFERROR(VLOOKUP(A319,Sheet3!B:H,6,false),VLOOKUP(D319,Sheet2!A:C,2,false))</f>
        <v>https://assets.roomstogo.com/product/beautyrest-world-class-level-three-plush-twin-xl-mattress_50025747_image-item</v>
      </c>
      <c r="S319" s="8" t="str">
        <f>IFERROR(VLOOKUP(A319,Sheet3!B:H,7,false),VLOOKUP(D319,Sheet2!A:C,3,false))</f>
        <v>https://assets.roomstogo.com/product/beautyrest-world-class-level-three-plush-twin-xl-mattress_50025747_alt-image-13</v>
      </c>
      <c r="T319" s="11" t="s">
        <v>1367</v>
      </c>
    </row>
    <row r="320">
      <c r="A320" s="4">
        <v>5.1125752E7</v>
      </c>
      <c r="B320" s="5"/>
      <c r="C320" s="5"/>
      <c r="D320" s="1" t="s">
        <v>173</v>
      </c>
      <c r="E320" s="1" t="s">
        <v>750</v>
      </c>
      <c r="F320" s="6">
        <v>1949.0</v>
      </c>
      <c r="G320" s="6">
        <v>1949.0</v>
      </c>
      <c r="H320" s="1" t="s">
        <v>171</v>
      </c>
      <c r="I320" s="1" t="s">
        <v>175</v>
      </c>
      <c r="J320" s="1" t="s">
        <v>31</v>
      </c>
      <c r="K320" s="1" t="s">
        <v>670</v>
      </c>
      <c r="L320" s="1" t="s">
        <v>59</v>
      </c>
      <c r="M320" s="1" t="s">
        <v>42</v>
      </c>
      <c r="N320" s="1" t="s">
        <v>35</v>
      </c>
      <c r="O320" s="1" t="s">
        <v>42</v>
      </c>
      <c r="P320" s="1" t="s">
        <v>42</v>
      </c>
      <c r="Q320" s="1" t="s">
        <v>37</v>
      </c>
      <c r="R320" s="8" t="str">
        <f>IFERROR(VLOOKUP(A320,Sheet3!B:H,6,false),VLOOKUP(D320,Sheet2!A:C,2,false))</f>
        <v>https://assets.roomstogo.com/product/beautyrest-world-class-level-three-medium-pillow-top-twin-xl-mattress_50025759_image-item</v>
      </c>
      <c r="S320" s="8" t="str">
        <f>IFERROR(VLOOKUP(A320,Sheet3!B:H,7,false),VLOOKUP(D320,Sheet2!A:C,3,false))</f>
        <v>https://assets.roomstogo.com/product/beautyrest-world-class-level-three-medium-pillow-top-twin-xl-mattress_50025759_alt-image-13</v>
      </c>
      <c r="T320" s="11" t="s">
        <v>1368</v>
      </c>
    </row>
    <row r="321">
      <c r="A321" s="4">
        <v>5.1125803E7</v>
      </c>
      <c r="B321" s="5"/>
      <c r="C321" s="5"/>
      <c r="D321" s="1" t="s">
        <v>176</v>
      </c>
      <c r="E321" s="1" t="s">
        <v>751</v>
      </c>
      <c r="F321" s="6">
        <v>2299.0</v>
      </c>
      <c r="G321" s="6">
        <v>2299.0</v>
      </c>
      <c r="H321" s="1" t="s">
        <v>171</v>
      </c>
      <c r="I321" s="1" t="s">
        <v>178</v>
      </c>
      <c r="J321" s="1" t="s">
        <v>31</v>
      </c>
      <c r="K321" s="1" t="s">
        <v>670</v>
      </c>
      <c r="L321" s="1" t="s">
        <v>59</v>
      </c>
      <c r="M321" s="1" t="s">
        <v>50</v>
      </c>
      <c r="N321" s="1" t="s">
        <v>49</v>
      </c>
      <c r="O321" s="1" t="s">
        <v>42</v>
      </c>
      <c r="P321" s="1" t="s">
        <v>42</v>
      </c>
      <c r="Q321" s="1" t="s">
        <v>51</v>
      </c>
      <c r="R321" s="8" t="str">
        <f>IFERROR(VLOOKUP(A321,Sheet3!B:H,6,false),VLOOKUP(D321,Sheet2!A:C,2,false))</f>
        <v>https://assets.roomstogo.com/product/beautyrest-world-class-level-four-plush-pillow-top-twin-xl-mattress_50025800_image-item</v>
      </c>
      <c r="S321" s="8" t="str">
        <f>IFERROR(VLOOKUP(A321,Sheet3!B:H,7,false),VLOOKUP(D321,Sheet2!A:C,3,false))</f>
        <v>https://assets.roomstogo.com/product/beautyrest-world-class-level-four-plush-pillow-top-twin-xl-mattress_50025800_alt-image-13</v>
      </c>
      <c r="T321" s="11" t="s">
        <v>1369</v>
      </c>
    </row>
    <row r="322">
      <c r="A322" s="4">
        <v>5.112895E7</v>
      </c>
      <c r="B322" s="5"/>
      <c r="C322" s="5"/>
      <c r="D322" s="1" t="s">
        <v>179</v>
      </c>
      <c r="E322" s="1" t="s">
        <v>752</v>
      </c>
      <c r="F322" s="6">
        <v>1397.0</v>
      </c>
      <c r="G322" s="6">
        <v>1999.0</v>
      </c>
      <c r="H322" s="1" t="s">
        <v>181</v>
      </c>
      <c r="I322" s="7"/>
      <c r="J322" s="1" t="s">
        <v>31</v>
      </c>
      <c r="K322" s="1" t="s">
        <v>670</v>
      </c>
      <c r="L322" s="1" t="s">
        <v>59</v>
      </c>
      <c r="M322" s="1" t="s">
        <v>42</v>
      </c>
      <c r="N322" s="1" t="s">
        <v>49</v>
      </c>
      <c r="O322" s="1" t="s">
        <v>34</v>
      </c>
      <c r="P322" s="1" t="s">
        <v>34</v>
      </c>
      <c r="Q322" s="1" t="s">
        <v>182</v>
      </c>
      <c r="R322" s="8" t="str">
        <f>IFERROR(VLOOKUP(A322,Sheet3!B:H,6,false),VLOOKUP(D322,Sheet2!A:C,2,false))</f>
        <v>https://assets.roomstogo.com/product/sealy-correct-comfort-kerry-park-twin-xl-mattress_50028957_image-item</v>
      </c>
      <c r="S322" s="8" t="str">
        <f>IFERROR(VLOOKUP(A322,Sheet3!B:H,7,false),VLOOKUP(D322,Sheet2!A:C,3,false))</f>
        <v>https://assets.roomstogo.com/product/sealy-correct-comfort-kerry-park-twin-xl-mattress_50028957_alt-image-1</v>
      </c>
      <c r="T322" s="11" t="s">
        <v>1370</v>
      </c>
    </row>
    <row r="323">
      <c r="A323" s="4">
        <v>5.1128974E7</v>
      </c>
      <c r="B323" s="5"/>
      <c r="C323" s="5"/>
      <c r="D323" s="1" t="s">
        <v>187</v>
      </c>
      <c r="E323" s="1" t="s">
        <v>753</v>
      </c>
      <c r="F323" s="6">
        <v>1497.0</v>
      </c>
      <c r="G323" s="6">
        <v>2299.0</v>
      </c>
      <c r="H323" s="1" t="s">
        <v>181</v>
      </c>
      <c r="I323" s="7"/>
      <c r="J323" s="7"/>
      <c r="K323" s="1" t="s">
        <v>670</v>
      </c>
      <c r="L323" s="1" t="s">
        <v>33</v>
      </c>
      <c r="M323" s="1" t="s">
        <v>42</v>
      </c>
      <c r="N323" s="1" t="s">
        <v>35</v>
      </c>
      <c r="O323" s="1" t="s">
        <v>34</v>
      </c>
      <c r="P323" s="1" t="s">
        <v>34</v>
      </c>
      <c r="Q323" s="1" t="s">
        <v>37</v>
      </c>
      <c r="R323" s="8" t="str">
        <f>IFERROR(VLOOKUP(A323,Sheet3!B:H,6,false),VLOOKUP(D323,Sheet2!A:C,2,false))</f>
        <v>https://assets.roomstogo.com/product/posturepedic-northgate-twin-xl-mattress_50028971_image-item</v>
      </c>
      <c r="S323" s="8" t="str">
        <f>IFERROR(VLOOKUP(A323,Sheet3!B:H,7,false),VLOOKUP(D323,Sheet2!A:C,3,false))</f>
        <v>https://assets.roomstogo.com/product/posturepedic-northgate-twin-xl-mattress_50028971_alt-image-1</v>
      </c>
      <c r="T323" s="11" t="s">
        <v>1371</v>
      </c>
    </row>
    <row r="324">
      <c r="A324" s="4">
        <v>5.1129178E7</v>
      </c>
      <c r="B324" s="5"/>
      <c r="C324" s="5"/>
      <c r="D324" s="1" t="s">
        <v>189</v>
      </c>
      <c r="E324" s="1" t="s">
        <v>754</v>
      </c>
      <c r="F324" s="6">
        <v>1077.0</v>
      </c>
      <c r="G324" s="6">
        <v>1199.0</v>
      </c>
      <c r="H324" s="1" t="s">
        <v>191</v>
      </c>
      <c r="I324" s="1" t="s">
        <v>192</v>
      </c>
      <c r="J324" s="1" t="s">
        <v>31</v>
      </c>
      <c r="K324" s="1" t="s">
        <v>670</v>
      </c>
      <c r="L324" s="1" t="s">
        <v>59</v>
      </c>
      <c r="M324" s="1" t="s">
        <v>36</v>
      </c>
      <c r="N324" s="1" t="s">
        <v>35</v>
      </c>
      <c r="O324" s="1" t="s">
        <v>36</v>
      </c>
      <c r="P324" s="1" t="s">
        <v>36</v>
      </c>
      <c r="Q324" s="1" t="s">
        <v>37</v>
      </c>
      <c r="R324" s="8" t="str">
        <f>IFERROR(VLOOKUP(A324,Sheet3!B:H,6,false),VLOOKUP(D324,Sheet2!A:C,2,false))</f>
        <v>https://assets.roomstogo.com/product/sealy-posturepedic-brierwood-twin-xl-mattress_50029175_image-item</v>
      </c>
      <c r="S324" s="8" t="str">
        <f>IFERROR(VLOOKUP(A324,Sheet3!B:H,7,false),VLOOKUP(D324,Sheet2!A:C,3,false))</f>
        <v>https://assets.roomstogo.com/product/sealy-posturepedic-brierwood-twin-xl-mattress_50029175_alt-image-1</v>
      </c>
      <c r="T324" s="11" t="s">
        <v>1372</v>
      </c>
    </row>
    <row r="325">
      <c r="A325" s="4">
        <v>5.1129205E7</v>
      </c>
      <c r="B325" s="5"/>
      <c r="C325" s="5"/>
      <c r="D325" s="1" t="s">
        <v>193</v>
      </c>
      <c r="E325" s="1" t="s">
        <v>755</v>
      </c>
      <c r="F325" s="6">
        <v>1397.0</v>
      </c>
      <c r="G325" s="6">
        <v>1599.0</v>
      </c>
      <c r="H325" s="1" t="s">
        <v>195</v>
      </c>
      <c r="I325" s="1" t="s">
        <v>196</v>
      </c>
      <c r="J325" s="1" t="s">
        <v>31</v>
      </c>
      <c r="K325" s="1" t="s">
        <v>670</v>
      </c>
      <c r="L325" s="7"/>
      <c r="M325" s="1" t="s">
        <v>34</v>
      </c>
      <c r="N325" s="1" t="s">
        <v>35</v>
      </c>
      <c r="O325" s="1" t="s">
        <v>34</v>
      </c>
      <c r="P325" s="1" t="s">
        <v>36</v>
      </c>
      <c r="Q325" s="1" t="s">
        <v>37</v>
      </c>
      <c r="R325" s="8" t="str">
        <f>IFERROR(VLOOKUP(A325,Sheet3!B:H,6,false),VLOOKUP(D325,Sheet2!A:C,2,false))</f>
        <v>https://assets.roomstogo.com/product/sealy-posturepedic-castle-rock-twin-xl-mattress_50029202_image-item</v>
      </c>
      <c r="S325" s="8" t="str">
        <f>IFERROR(VLOOKUP(A325,Sheet3!B:H,7,false),VLOOKUP(D325,Sheet2!A:C,3,false))</f>
        <v>https://assets.roomstogo.com/product/sealy-posturepedic-castle-rock-twin-xl-mattress_50029202_alt-image-1</v>
      </c>
      <c r="T325" s="11" t="s">
        <v>1373</v>
      </c>
    </row>
    <row r="326">
      <c r="A326" s="4">
        <v>5.1129217E7</v>
      </c>
      <c r="B326" s="9">
        <v>2.0</v>
      </c>
      <c r="C326" s="9">
        <v>3.5</v>
      </c>
      <c r="D326" s="1" t="s">
        <v>197</v>
      </c>
      <c r="E326" s="1" t="s">
        <v>756</v>
      </c>
      <c r="F326" s="6">
        <v>1577.0</v>
      </c>
      <c r="G326" s="6">
        <v>1799.0</v>
      </c>
      <c r="H326" s="1" t="s">
        <v>199</v>
      </c>
      <c r="I326" s="1" t="s">
        <v>200</v>
      </c>
      <c r="J326" s="1" t="s">
        <v>31</v>
      </c>
      <c r="K326" s="1" t="s">
        <v>670</v>
      </c>
      <c r="L326" s="1" t="s">
        <v>59</v>
      </c>
      <c r="M326" s="1" t="s">
        <v>34</v>
      </c>
      <c r="N326" s="1" t="s">
        <v>35</v>
      </c>
      <c r="O326" s="1" t="s">
        <v>42</v>
      </c>
      <c r="P326" s="1" t="s">
        <v>34</v>
      </c>
      <c r="Q326" s="1" t="s">
        <v>37</v>
      </c>
      <c r="R326" s="8" t="str">
        <f>IFERROR(VLOOKUP(A326,Sheet3!B:H,6,false),VLOOKUP(D326,Sheet2!A:C,2,false))</f>
        <v>https://assets.roomstogo.com/product/sealy-posturepedic-pebblebrook-twin-xl-mattress_50029214_image-item</v>
      </c>
      <c r="S326" s="8" t="str">
        <f>IFERROR(VLOOKUP(A326,Sheet3!B:H,7,false),VLOOKUP(D326,Sheet2!A:C,3,false))</f>
        <v>https://assets.roomstogo.com/product/sealy-posturepedic-pebblebrook-twin-xl-mattress_50029214_alt-image-1</v>
      </c>
      <c r="T326" s="11" t="s">
        <v>1374</v>
      </c>
    </row>
    <row r="327">
      <c r="A327" s="4">
        <v>5.113705E7</v>
      </c>
      <c r="B327" s="5"/>
      <c r="C327" s="5"/>
      <c r="D327" s="1" t="s">
        <v>203</v>
      </c>
      <c r="E327" s="1" t="s">
        <v>757</v>
      </c>
      <c r="F327" s="6">
        <v>2599.0</v>
      </c>
      <c r="G327" s="6">
        <v>2599.0</v>
      </c>
      <c r="H327" s="1" t="s">
        <v>205</v>
      </c>
      <c r="I327" s="1" t="s">
        <v>206</v>
      </c>
      <c r="J327" s="1" t="s">
        <v>31</v>
      </c>
      <c r="K327" s="1" t="s">
        <v>670</v>
      </c>
      <c r="L327" s="1" t="s">
        <v>59</v>
      </c>
      <c r="M327" s="1" t="s">
        <v>34</v>
      </c>
      <c r="N327" s="1" t="s">
        <v>76</v>
      </c>
      <c r="O327" s="1" t="s">
        <v>50</v>
      </c>
      <c r="P327" s="1" t="s">
        <v>42</v>
      </c>
      <c r="Q327" s="1" t="s">
        <v>144</v>
      </c>
      <c r="R327" s="8" t="str">
        <f>IFERROR(VLOOKUP(A327,Sheet3!B:H,6,false),VLOOKUP(D327,Sheet2!A:C,2,false))</f>
        <v>https://assets.roomstogo.com/product/beautyrest-black-series-one-extra-firm-twin-xl-mattress_50037057_image-item</v>
      </c>
      <c r="S327" s="8" t="str">
        <f>IFERROR(VLOOKUP(A327,Sheet3!B:H,7,false),VLOOKUP(D327,Sheet2!A:C,3,false))</f>
        <v>https://assets.roomstogo.com/product/beautyrest-black-series-one-extra-firm-twin-xl-mattress_50037057_alt-image-1</v>
      </c>
      <c r="T327" s="11" t="s">
        <v>1375</v>
      </c>
    </row>
    <row r="328">
      <c r="A328" s="4">
        <v>5.1137137E7</v>
      </c>
      <c r="B328" s="5"/>
      <c r="C328" s="5"/>
      <c r="D328" s="1" t="s">
        <v>209</v>
      </c>
      <c r="E328" s="1" t="s">
        <v>758</v>
      </c>
      <c r="F328" s="6">
        <v>3599.0</v>
      </c>
      <c r="G328" s="6">
        <v>3599.0</v>
      </c>
      <c r="H328" s="1" t="s">
        <v>205</v>
      </c>
      <c r="I328" s="1" t="s">
        <v>211</v>
      </c>
      <c r="J328" s="1" t="s">
        <v>31</v>
      </c>
      <c r="K328" s="1" t="s">
        <v>670</v>
      </c>
      <c r="L328" s="1" t="s">
        <v>59</v>
      </c>
      <c r="M328" s="1" t="s">
        <v>42</v>
      </c>
      <c r="N328" s="1" t="s">
        <v>35</v>
      </c>
      <c r="O328" s="1" t="s">
        <v>50</v>
      </c>
      <c r="P328" s="1" t="s">
        <v>42</v>
      </c>
      <c r="Q328" s="1" t="s">
        <v>37</v>
      </c>
      <c r="R328" s="8" t="str">
        <f>IFERROR(VLOOKUP(A328,Sheet3!B:H,6,false),VLOOKUP(D328,Sheet2!A:C,2,false))</f>
        <v>https://assets.roomstogo.com/product/beautyrest-black-series-two-medium-twin-xl-mattress_50037134_image-item</v>
      </c>
      <c r="S328" s="8" t="str">
        <f>IFERROR(VLOOKUP(A328,Sheet3!B:H,7,false),VLOOKUP(D328,Sheet2!A:C,3,false))</f>
        <v>https://assets.roomstogo.com/product/beautyrest-black-series-two-medium-twin-xl-mattress_50037134_alt-image-1</v>
      </c>
      <c r="T328" s="11" t="s">
        <v>1376</v>
      </c>
    </row>
    <row r="329">
      <c r="A329" s="4">
        <v>5.1137226E7</v>
      </c>
      <c r="B329" s="5"/>
      <c r="C329" s="5"/>
      <c r="D329" s="1" t="s">
        <v>214</v>
      </c>
      <c r="E329" s="1" t="s">
        <v>759</v>
      </c>
      <c r="F329" s="6">
        <v>4899.0</v>
      </c>
      <c r="G329" s="6">
        <v>4899.0</v>
      </c>
      <c r="H329" s="1" t="s">
        <v>205</v>
      </c>
      <c r="I329" s="1" t="s">
        <v>216</v>
      </c>
      <c r="J329" s="1" t="s">
        <v>31</v>
      </c>
      <c r="K329" s="1" t="s">
        <v>670</v>
      </c>
      <c r="L329" s="1" t="s">
        <v>59</v>
      </c>
      <c r="M329" s="1" t="s">
        <v>50</v>
      </c>
      <c r="N329" s="1" t="s">
        <v>49</v>
      </c>
      <c r="O329" s="1" t="s">
        <v>50</v>
      </c>
      <c r="P329" s="1" t="s">
        <v>42</v>
      </c>
      <c r="Q329" s="1" t="s">
        <v>51</v>
      </c>
      <c r="R329" s="8" t="str">
        <f>IFERROR(VLOOKUP(A329,Sheet3!B:H,6,false),VLOOKUP(D329,Sheet2!A:C,2,false))</f>
        <v>https://assets.roomstogo.com/product/beautyrest-black-series-three-plush-pillow-top-twin-xl-mattress_50037223_image-item</v>
      </c>
      <c r="S329" s="8" t="str">
        <f>IFERROR(VLOOKUP(A329,Sheet3!B:H,7,false),VLOOKUP(D329,Sheet2!A:C,3,false))</f>
        <v>https://assets.roomstogo.com/product/beautyrest-black-series-three-plush-pillow-top-twin-xl-mattress_50037223_alt-image-1</v>
      </c>
      <c r="T329" s="11" t="s">
        <v>1377</v>
      </c>
    </row>
    <row r="330">
      <c r="A330" s="4">
        <v>5.1148039E7</v>
      </c>
      <c r="B330" s="5"/>
      <c r="C330" s="5"/>
      <c r="D330" s="1" t="s">
        <v>219</v>
      </c>
      <c r="E330" s="1" t="s">
        <v>760</v>
      </c>
      <c r="F330" s="6">
        <v>2999.0</v>
      </c>
      <c r="G330" s="6">
        <v>2999.0</v>
      </c>
      <c r="H330" s="1" t="s">
        <v>221</v>
      </c>
      <c r="I330" s="1" t="s">
        <v>222</v>
      </c>
      <c r="J330" s="1" t="s">
        <v>31</v>
      </c>
      <c r="K330" s="1" t="s">
        <v>670</v>
      </c>
      <c r="L330" s="1" t="s">
        <v>59</v>
      </c>
      <c r="M330" s="1" t="s">
        <v>34</v>
      </c>
      <c r="N330" s="1" t="s">
        <v>76</v>
      </c>
      <c r="O330" s="1" t="s">
        <v>42</v>
      </c>
      <c r="P330" s="1" t="s">
        <v>34</v>
      </c>
      <c r="Q330" s="1" t="s">
        <v>77</v>
      </c>
      <c r="R330" s="8" t="str">
        <f>IFERROR(VLOOKUP(A330,Sheet3!B:H,6,false),VLOOKUP(D330,Sheet2!A:C,2,false))</f>
        <v>https://assets.roomstogo.com/product/stearns-and-foster-estate-firm-tight-top-twin-xl-mattress_50048036_image-item</v>
      </c>
      <c r="S330" s="8" t="str">
        <f>IFERROR(VLOOKUP(A330,Sheet3!B:H,7,false),VLOOKUP(D330,Sheet2!A:C,3,false))</f>
        <v>https://assets.roomstogo.com/product/stearns-and-foster-estate-firm-tight-top-twin-xl-mattress_50048036_alt-image-1</v>
      </c>
      <c r="T330" s="11" t="s">
        <v>1378</v>
      </c>
    </row>
    <row r="331">
      <c r="A331" s="4">
        <v>5.1148104E7</v>
      </c>
      <c r="B331" s="5"/>
      <c r="C331" s="5"/>
      <c r="D331" s="1" t="s">
        <v>761</v>
      </c>
      <c r="E331" s="1" t="s">
        <v>762</v>
      </c>
      <c r="F331" s="6">
        <v>4099.0</v>
      </c>
      <c r="G331" s="6">
        <v>4099.0</v>
      </c>
      <c r="H331" s="1" t="s">
        <v>221</v>
      </c>
      <c r="I331" s="1" t="s">
        <v>763</v>
      </c>
      <c r="J331" s="1" t="s">
        <v>31</v>
      </c>
      <c r="K331" s="1" t="s">
        <v>670</v>
      </c>
      <c r="L331" s="1" t="s">
        <v>59</v>
      </c>
      <c r="M331" s="1" t="s">
        <v>42</v>
      </c>
      <c r="N331" s="1" t="s">
        <v>76</v>
      </c>
      <c r="O331" s="1" t="s">
        <v>50</v>
      </c>
      <c r="P331" s="1" t="s">
        <v>42</v>
      </c>
      <c r="Q331" s="1" t="s">
        <v>77</v>
      </c>
      <c r="R331" s="8" t="str">
        <f>IFERROR(VLOOKUP(A331,Sheet3!B:H,6,false),VLOOKUP(D331,Sheet2!A:C,2,false))</f>
        <v>https://assets.roomstogo.com/product/stearns-and-foster-lux-estate-firm-pillow-top-twin-xl-mattress_50048101_image-item</v>
      </c>
      <c r="S331" s="8" t="str">
        <f>IFERROR(VLOOKUP(A331,Sheet3!B:H,7,false),VLOOKUP(D331,Sheet2!A:C,3,false))</f>
        <v>https://assets.roomstogo.com/product/stearns-and-foster-lux-estate-firm-pillow-top-twin-xl-mattress_50048101_alt-image-1</v>
      </c>
      <c r="T331" s="11" t="s">
        <v>1379</v>
      </c>
    </row>
    <row r="332">
      <c r="A332" s="4">
        <v>5.1148279E7</v>
      </c>
      <c r="B332" s="5"/>
      <c r="C332" s="5"/>
      <c r="D332" s="1" t="s">
        <v>227</v>
      </c>
      <c r="E332" s="1" t="s">
        <v>764</v>
      </c>
      <c r="F332" s="6">
        <v>4799.0</v>
      </c>
      <c r="G332" s="6">
        <v>4799.0</v>
      </c>
      <c r="H332" s="1" t="s">
        <v>221</v>
      </c>
      <c r="I332" s="1" t="s">
        <v>229</v>
      </c>
      <c r="J332" s="1" t="s">
        <v>31</v>
      </c>
      <c r="K332" s="1" t="s">
        <v>670</v>
      </c>
      <c r="L332" s="1" t="s">
        <v>59</v>
      </c>
      <c r="M332" s="1" t="s">
        <v>42</v>
      </c>
      <c r="N332" s="1" t="s">
        <v>35</v>
      </c>
      <c r="O332" s="1" t="s">
        <v>50</v>
      </c>
      <c r="P332" s="1" t="s">
        <v>42</v>
      </c>
      <c r="Q332" s="1" t="s">
        <v>37</v>
      </c>
      <c r="R332" s="8" t="str">
        <f>IFERROR(VLOOKUP(A332,Sheet3!B:H,6,false),VLOOKUP(D332,Sheet2!A:C,2,false))</f>
        <v>https://assets.roomstogo.com/product/stearns-and-foster-lux-estate-elite-medium-pillow-top-twin-xl-mattress_50048276_image-item</v>
      </c>
      <c r="S332" s="8" t="str">
        <f>IFERROR(VLOOKUP(A332,Sheet3!B:H,7,false),VLOOKUP(D332,Sheet2!A:C,3,false))</f>
        <v>https://assets.roomstogo.com/product/stearns-and-foster-lux-estate-elite-medium-pillow-top-twin-xl-mattress_50048276_alt-image-1</v>
      </c>
      <c r="T332" s="11" t="s">
        <v>1380</v>
      </c>
    </row>
    <row r="333">
      <c r="A333" s="4">
        <v>5.1170113E7</v>
      </c>
      <c r="B333" s="9">
        <v>9006.0</v>
      </c>
      <c r="C333" s="9">
        <v>4.32</v>
      </c>
      <c r="D333" s="1" t="s">
        <v>232</v>
      </c>
      <c r="E333" s="1" t="s">
        <v>765</v>
      </c>
      <c r="F333" s="6">
        <v>2538.0</v>
      </c>
      <c r="G333" s="6">
        <v>3172.5</v>
      </c>
      <c r="H333" s="1" t="s">
        <v>234</v>
      </c>
      <c r="I333" s="7"/>
      <c r="J333" s="1" t="s">
        <v>31</v>
      </c>
      <c r="K333" s="1" t="s">
        <v>670</v>
      </c>
      <c r="L333" s="1" t="s">
        <v>59</v>
      </c>
      <c r="M333" s="1" t="s">
        <v>42</v>
      </c>
      <c r="N333" s="1" t="s">
        <v>35</v>
      </c>
      <c r="O333" s="1" t="s">
        <v>42</v>
      </c>
      <c r="P333" s="1" t="s">
        <v>34</v>
      </c>
      <c r="Q333" s="1" t="s">
        <v>37</v>
      </c>
      <c r="R333" s="8" t="str">
        <f>IFERROR(VLOOKUP(A333,Sheet3!B:H,6,false),VLOOKUP(D333,Sheet2!A:C,2,false))</f>
        <v>https://assets.roomstogo.com/product/helix-midnight-luxe-twin-xl-mattress_50070110_image-item</v>
      </c>
      <c r="S333" s="8" t="str">
        <f>IFERROR(VLOOKUP(A333,Sheet3!B:H,7,false),VLOOKUP(D333,Sheet2!A:C,3,false))</f>
        <v>https://assets.roomstogo.com/product/helix-midnight-luxe-twin-xl-mattress_50070110_alt-image-1</v>
      </c>
      <c r="T333" s="11" t="s">
        <v>1381</v>
      </c>
    </row>
    <row r="334">
      <c r="A334" s="4">
        <v>5.1170125E7</v>
      </c>
      <c r="B334" s="5"/>
      <c r="C334" s="5"/>
      <c r="D334" s="1" t="s">
        <v>237</v>
      </c>
      <c r="E334" s="1" t="s">
        <v>766</v>
      </c>
      <c r="F334" s="6">
        <v>3599.0</v>
      </c>
      <c r="G334" s="6">
        <v>4498.75</v>
      </c>
      <c r="H334" s="1" t="s">
        <v>234</v>
      </c>
      <c r="I334" s="7"/>
      <c r="J334" s="1" t="s">
        <v>31</v>
      </c>
      <c r="K334" s="1" t="s">
        <v>670</v>
      </c>
      <c r="L334" s="1" t="s">
        <v>59</v>
      </c>
      <c r="M334" s="1" t="s">
        <v>50</v>
      </c>
      <c r="N334" s="1" t="s">
        <v>35</v>
      </c>
      <c r="O334" s="1" t="s">
        <v>42</v>
      </c>
      <c r="P334" s="1" t="s">
        <v>42</v>
      </c>
      <c r="Q334" s="1" t="s">
        <v>37</v>
      </c>
      <c r="R334" s="8" t="str">
        <f>IFERROR(VLOOKUP(A334,Sheet3!B:H,6,false),VLOOKUP(D334,Sheet2!A:C,2,false))</f>
        <v>https://assets.roomstogo.com/product/helix-midnight-elite-twin-xl-mattress_50070122_image-item</v>
      </c>
      <c r="S334" s="8" t="str">
        <f>IFERROR(VLOOKUP(A334,Sheet3!B:H,7,false),VLOOKUP(D334,Sheet2!A:C,3,false))</f>
        <v>https://assets.roomstogo.com/product/helix-midnight-elite-twin-xl-mattress_50070122_alt-image-1</v>
      </c>
      <c r="T334" s="11" t="s">
        <v>1382</v>
      </c>
    </row>
    <row r="335">
      <c r="A335" s="4">
        <v>5.1300487E7</v>
      </c>
      <c r="B335" s="5"/>
      <c r="C335" s="5"/>
      <c r="D335" s="1" t="s">
        <v>447</v>
      </c>
      <c r="E335" s="1" t="s">
        <v>767</v>
      </c>
      <c r="F335" s="6">
        <v>649.0</v>
      </c>
      <c r="G335" s="6">
        <v>749.0</v>
      </c>
      <c r="H335" s="1" t="s">
        <v>449</v>
      </c>
      <c r="I335" s="1" t="s">
        <v>450</v>
      </c>
      <c r="J335" s="1" t="s">
        <v>31</v>
      </c>
      <c r="K335" s="1" t="s">
        <v>710</v>
      </c>
      <c r="L335" s="7"/>
      <c r="M335" s="7"/>
      <c r="N335" s="7"/>
      <c r="O335" s="7"/>
      <c r="P335" s="7"/>
      <c r="Q335" s="7"/>
      <c r="R335" s="11" t="str">
        <f>IFERROR(VLOOKUP(A335,Sheet3!B:H,6,false),VLOOKUP(D335,Sheet2!A:C,2,false))</f>
        <v>#N/A</v>
      </c>
      <c r="S335" s="11" t="str">
        <f>IFERROR(VLOOKUP(A335,Sheet3!B:H,7,false),VLOOKUP(D335,Sheet2!A:C,3,false))</f>
        <v>#N/A</v>
      </c>
      <c r="T335" s="11" t="s">
        <v>1383</v>
      </c>
    </row>
    <row r="336">
      <c r="A336" s="4">
        <v>5.1300514E7</v>
      </c>
      <c r="B336" s="5"/>
      <c r="C336" s="5"/>
      <c r="D336" s="1" t="s">
        <v>453</v>
      </c>
      <c r="E336" s="1" t="s">
        <v>768</v>
      </c>
      <c r="F336" s="6">
        <v>1399.0</v>
      </c>
      <c r="G336" s="6">
        <v>1599.0</v>
      </c>
      <c r="H336" s="1" t="s">
        <v>449</v>
      </c>
      <c r="I336" s="1" t="s">
        <v>455</v>
      </c>
      <c r="J336" s="1" t="s">
        <v>31</v>
      </c>
      <c r="K336" s="1" t="s">
        <v>710</v>
      </c>
      <c r="L336" s="7"/>
      <c r="M336" s="7"/>
      <c r="N336" s="7"/>
      <c r="O336" s="7"/>
      <c r="P336" s="7"/>
      <c r="Q336" s="7"/>
      <c r="R336" s="11" t="str">
        <f>IFERROR(VLOOKUP(A336,Sheet3!B:H,6,false),VLOOKUP(D336,Sheet2!A:C,2,false))</f>
        <v>#N/A</v>
      </c>
      <c r="S336" s="11" t="str">
        <f>IFERROR(VLOOKUP(A336,Sheet3!B:H,7,false),VLOOKUP(D336,Sheet2!A:C,3,false))</f>
        <v>#N/A</v>
      </c>
      <c r="T336" s="11" t="s">
        <v>1384</v>
      </c>
    </row>
    <row r="337">
      <c r="A337" s="4">
        <v>5.1307467E7</v>
      </c>
      <c r="B337" s="5"/>
      <c r="C337" s="5"/>
      <c r="D337" s="1" t="s">
        <v>62</v>
      </c>
      <c r="E337" s="1" t="s">
        <v>769</v>
      </c>
      <c r="F337" s="6">
        <v>1699.0</v>
      </c>
      <c r="G337" s="6">
        <v>1699.0</v>
      </c>
      <c r="H337" s="1" t="s">
        <v>64</v>
      </c>
      <c r="I337" s="1" t="s">
        <v>65</v>
      </c>
      <c r="J337" s="1" t="s">
        <v>31</v>
      </c>
      <c r="K337" s="1" t="s">
        <v>710</v>
      </c>
      <c r="L337" s="1" t="s">
        <v>33</v>
      </c>
      <c r="M337" s="1" t="s">
        <v>42</v>
      </c>
      <c r="N337" s="1" t="s">
        <v>35</v>
      </c>
      <c r="O337" s="1" t="s">
        <v>42</v>
      </c>
      <c r="P337" s="1" t="s">
        <v>42</v>
      </c>
      <c r="Q337" s="1" t="s">
        <v>37</v>
      </c>
      <c r="R337" s="8" t="str">
        <f>IFERROR(VLOOKUP(A337,Sheet3!B:H,6,false),VLOOKUP(D337,Sheet2!A:C,2,false))</f>
        <v>https://assets.roomstogo.com/product/tempur-pedic-adapt-20-medium-twin-xl-mattress_50007460_image-item</v>
      </c>
      <c r="S337" s="8" t="str">
        <f>IFERROR(VLOOKUP(A337,Sheet3!B:H,7,false),VLOOKUP(D337,Sheet2!A:C,3,false))</f>
        <v>https://assets.roomstogo.com/product/tempur-pedic-adapt-20-medium-twin-xl-mattress_50007460_alt-image-1</v>
      </c>
      <c r="T337" s="11" t="s">
        <v>1385</v>
      </c>
    </row>
    <row r="338">
      <c r="A338" s="4">
        <v>5.1307479E7</v>
      </c>
      <c r="B338" s="5"/>
      <c r="C338" s="5"/>
      <c r="D338" s="1" t="s">
        <v>68</v>
      </c>
      <c r="E338" s="1" t="s">
        <v>770</v>
      </c>
      <c r="F338" s="6">
        <v>1999.0</v>
      </c>
      <c r="G338" s="6">
        <v>1999.0</v>
      </c>
      <c r="H338" s="1" t="s">
        <v>64</v>
      </c>
      <c r="I338" s="1" t="s">
        <v>70</v>
      </c>
      <c r="J338" s="1" t="s">
        <v>31</v>
      </c>
      <c r="K338" s="1" t="s">
        <v>710</v>
      </c>
      <c r="L338" s="1" t="s">
        <v>41</v>
      </c>
      <c r="M338" s="1" t="s">
        <v>42</v>
      </c>
      <c r="N338" s="1" t="s">
        <v>35</v>
      </c>
      <c r="O338" s="1" t="s">
        <v>42</v>
      </c>
      <c r="P338" s="1" t="s">
        <v>42</v>
      </c>
      <c r="Q338" s="1" t="s">
        <v>37</v>
      </c>
      <c r="R338" s="8" t="str">
        <f>IFERROR(VLOOKUP(A338,Sheet3!B:H,6,false),VLOOKUP(D338,Sheet2!A:C,2,false))</f>
        <v>https://assets.roomstogo.com/product/tempur-pedic-adapt-20-medium-hybrid-twin-xl-mattress_50007472_image-item</v>
      </c>
      <c r="S338" s="8" t="str">
        <f>IFERROR(VLOOKUP(A338,Sheet3!B:H,7,false),VLOOKUP(D338,Sheet2!A:C,3,false))</f>
        <v>https://assets.roomstogo.com/product/tempur-pedic-adapt-20-medium-hybrid-twin-xl-mattress_50007472_alt-image-1</v>
      </c>
      <c r="T338" s="11" t="s">
        <v>1386</v>
      </c>
    </row>
    <row r="339">
      <c r="A339" s="4">
        <v>5.1307481E7</v>
      </c>
      <c r="B339" s="9">
        <v>245.0</v>
      </c>
      <c r="C339" s="9">
        <v>4.62</v>
      </c>
      <c r="D339" s="1" t="s">
        <v>73</v>
      </c>
      <c r="E339" s="1" t="s">
        <v>771</v>
      </c>
      <c r="F339" s="6">
        <v>2899.0</v>
      </c>
      <c r="G339" s="6">
        <v>2899.0</v>
      </c>
      <c r="H339" s="1" t="s">
        <v>64</v>
      </c>
      <c r="I339" s="1" t="s">
        <v>75</v>
      </c>
      <c r="J339" s="1" t="s">
        <v>31</v>
      </c>
      <c r="K339" s="1" t="s">
        <v>710</v>
      </c>
      <c r="L339" s="1" t="s">
        <v>33</v>
      </c>
      <c r="M339" s="1" t="s">
        <v>42</v>
      </c>
      <c r="N339" s="1" t="s">
        <v>76</v>
      </c>
      <c r="O339" s="1" t="s">
        <v>50</v>
      </c>
      <c r="P339" s="1" t="s">
        <v>42</v>
      </c>
      <c r="Q339" s="1" t="s">
        <v>77</v>
      </c>
      <c r="R339" s="8" t="str">
        <f>IFERROR(VLOOKUP(A339,Sheet3!B:H,6,false),VLOOKUP(D339,Sheet2!A:C,2,false))</f>
        <v>https://assets.roomstogo.com/product/tempur-pedic-proadapt-20-firm-twin-xl-mattress_50007484_image-item</v>
      </c>
      <c r="S339" s="8" t="str">
        <f>IFERROR(VLOOKUP(A339,Sheet3!B:H,7,false),VLOOKUP(D339,Sheet2!A:C,3,false))</f>
        <v>https://assets.roomstogo.com/product/tempur-pedic-proadapt-20-firm-twin-xl-mattress_50007484_alt-image-1</v>
      </c>
      <c r="T339" s="11" t="s">
        <v>1387</v>
      </c>
    </row>
    <row r="340">
      <c r="A340" s="4">
        <v>5.1307518E7</v>
      </c>
      <c r="B340" s="5"/>
      <c r="C340" s="5"/>
      <c r="D340" s="1" t="s">
        <v>80</v>
      </c>
      <c r="E340" s="1" t="s">
        <v>772</v>
      </c>
      <c r="F340" s="6">
        <v>3899.0</v>
      </c>
      <c r="G340" s="6">
        <v>3899.0</v>
      </c>
      <c r="H340" s="1" t="s">
        <v>64</v>
      </c>
      <c r="I340" s="1" t="s">
        <v>82</v>
      </c>
      <c r="J340" s="1" t="s">
        <v>31</v>
      </c>
      <c r="K340" s="1" t="s">
        <v>710</v>
      </c>
      <c r="L340" s="1" t="s">
        <v>41</v>
      </c>
      <c r="M340" s="1" t="s">
        <v>42</v>
      </c>
      <c r="N340" s="1" t="s">
        <v>35</v>
      </c>
      <c r="O340" s="1" t="s">
        <v>50</v>
      </c>
      <c r="P340" s="1" t="s">
        <v>50</v>
      </c>
      <c r="Q340" s="1" t="s">
        <v>37</v>
      </c>
      <c r="R340" s="8" t="str">
        <f>IFERROR(VLOOKUP(A340,Sheet3!B:H,6,false),VLOOKUP(D340,Sheet2!A:C,2,false))</f>
        <v>https://assets.roomstogo.com/product/tempur-pedic-probreeze-20-medium-hybrid-twin-xl-mattress_50007511_image-item</v>
      </c>
      <c r="S340" s="8" t="str">
        <f>IFERROR(VLOOKUP(A340,Sheet3!B:H,7,false),VLOOKUP(D340,Sheet2!A:C,3,false))</f>
        <v>https://assets.roomstogo.com/product/tempur-pedic-probreeze-20-medium-hybrid-twin-xl-mattress_50007511_image-item</v>
      </c>
      <c r="T340" s="11" t="s">
        <v>1388</v>
      </c>
    </row>
    <row r="341">
      <c r="A341" s="4">
        <v>5.130752E7</v>
      </c>
      <c r="B341" s="5"/>
      <c r="C341" s="5"/>
      <c r="D341" s="1" t="s">
        <v>85</v>
      </c>
      <c r="E341" s="1" t="s">
        <v>773</v>
      </c>
      <c r="F341" s="6">
        <v>2899.0</v>
      </c>
      <c r="G341" s="6">
        <v>2899.0</v>
      </c>
      <c r="H341" s="1" t="s">
        <v>64</v>
      </c>
      <c r="I341" s="1" t="s">
        <v>75</v>
      </c>
      <c r="J341" s="1" t="s">
        <v>31</v>
      </c>
      <c r="K341" s="1" t="s">
        <v>710</v>
      </c>
      <c r="L341" s="1" t="s">
        <v>33</v>
      </c>
      <c r="M341" s="1" t="s">
        <v>42</v>
      </c>
      <c r="N341" s="1" t="s">
        <v>35</v>
      </c>
      <c r="O341" s="1" t="s">
        <v>50</v>
      </c>
      <c r="P341" s="1" t="s">
        <v>42</v>
      </c>
      <c r="Q341" s="1" t="s">
        <v>37</v>
      </c>
      <c r="R341" s="8" t="str">
        <f>IFERROR(VLOOKUP(A341,Sheet3!B:H,6,false),VLOOKUP(D341,Sheet2!A:C,2,false))</f>
        <v>https://assets.roomstogo.com/product/tempur-pedic-proadapt-20-medium-twin-xl-mattress_50007523_image-item</v>
      </c>
      <c r="S341" s="8" t="str">
        <f>IFERROR(VLOOKUP(A341,Sheet3!B:H,7,false),VLOOKUP(D341,Sheet2!A:C,3,false))</f>
        <v>https://assets.roomstogo.com/product/tempur-pedic-proadapt-20-medium-twin-xl-mattress_50007523_alt-image-1</v>
      </c>
      <c r="T341" s="11" t="s">
        <v>1389</v>
      </c>
    </row>
    <row r="342">
      <c r="A342" s="4">
        <v>5.1307532E7</v>
      </c>
      <c r="B342" s="5"/>
      <c r="C342" s="5"/>
      <c r="D342" s="1" t="s">
        <v>89</v>
      </c>
      <c r="E342" s="1" t="s">
        <v>774</v>
      </c>
      <c r="F342" s="6">
        <v>2899.0</v>
      </c>
      <c r="G342" s="6">
        <v>2899.0</v>
      </c>
      <c r="H342" s="1" t="s">
        <v>64</v>
      </c>
      <c r="I342" s="1" t="s">
        <v>91</v>
      </c>
      <c r="J342" s="1" t="s">
        <v>31</v>
      </c>
      <c r="K342" s="1" t="s">
        <v>710</v>
      </c>
      <c r="L342" s="1" t="s">
        <v>33</v>
      </c>
      <c r="M342" s="1" t="s">
        <v>50</v>
      </c>
      <c r="N342" s="1" t="s">
        <v>49</v>
      </c>
      <c r="O342" s="1" t="s">
        <v>50</v>
      </c>
      <c r="P342" s="1" t="s">
        <v>42</v>
      </c>
      <c r="Q342" s="1" t="s">
        <v>51</v>
      </c>
      <c r="R342" s="8" t="str">
        <f>IFERROR(VLOOKUP(A342,Sheet3!B:H,6,false),VLOOKUP(D342,Sheet2!A:C,2,false))</f>
        <v>https://assets.roomstogo.com/product/tempur-pedic-proadapt-20-soft-twin-xl-mattress_50007535_image-item</v>
      </c>
      <c r="S342" s="8" t="str">
        <f>IFERROR(VLOOKUP(A342,Sheet3!B:H,7,false),VLOOKUP(D342,Sheet2!A:C,3,false))</f>
        <v>https://assets.roomstogo.com/product/tempur-pedic-proadapt-20-soft-twin-xl-mattress_50007535_alt-image-1</v>
      </c>
      <c r="T342" s="11" t="s">
        <v>1390</v>
      </c>
    </row>
    <row r="343">
      <c r="A343" s="4">
        <v>5.1307556E7</v>
      </c>
      <c r="B343" s="9">
        <v>975.0</v>
      </c>
      <c r="C343" s="9">
        <v>4.38</v>
      </c>
      <c r="D343" s="1" t="s">
        <v>94</v>
      </c>
      <c r="E343" s="1" t="s">
        <v>775</v>
      </c>
      <c r="F343" s="6">
        <v>2899.0</v>
      </c>
      <c r="G343" s="6">
        <v>2899.0</v>
      </c>
      <c r="H343" s="1" t="s">
        <v>64</v>
      </c>
      <c r="I343" s="1" t="s">
        <v>390</v>
      </c>
      <c r="J343" s="1" t="s">
        <v>31</v>
      </c>
      <c r="K343" s="1" t="s">
        <v>710</v>
      </c>
      <c r="L343" s="1" t="s">
        <v>41</v>
      </c>
      <c r="M343" s="1" t="s">
        <v>42</v>
      </c>
      <c r="N343" s="1" t="s">
        <v>35</v>
      </c>
      <c r="O343" s="1" t="s">
        <v>50</v>
      </c>
      <c r="P343" s="1" t="s">
        <v>42</v>
      </c>
      <c r="Q343" s="1" t="s">
        <v>37</v>
      </c>
      <c r="R343" s="8" t="str">
        <f>IFERROR(VLOOKUP(A343,Sheet3!B:H,6,false),VLOOKUP(D343,Sheet2!A:C,2,false))</f>
        <v>https://assets.roomstogo.com/product/tempur-pedic-proadapt-20-medium-hybrid-twin-xl-mattress_50007559_image-item</v>
      </c>
      <c r="S343" s="8" t="str">
        <f>IFERROR(VLOOKUP(A343,Sheet3!B:H,7,false),VLOOKUP(D343,Sheet2!A:C,3,false))</f>
        <v>https://assets.roomstogo.com/product/tempur-pedic-proadapt-20-medium-hybrid-twin-xl-mattress_50007559_alt-image-1</v>
      </c>
      <c r="T343" s="11" t="s">
        <v>1391</v>
      </c>
    </row>
    <row r="344">
      <c r="A344" s="4">
        <v>5.1307568E7</v>
      </c>
      <c r="B344" s="5"/>
      <c r="C344" s="5"/>
      <c r="D344" s="1" t="s">
        <v>99</v>
      </c>
      <c r="E344" s="1" t="s">
        <v>776</v>
      </c>
      <c r="F344" s="6">
        <v>4199.0</v>
      </c>
      <c r="G344" s="6">
        <v>4199.0</v>
      </c>
      <c r="H344" s="1" t="s">
        <v>64</v>
      </c>
      <c r="I344" s="1" t="s">
        <v>101</v>
      </c>
      <c r="J344" s="1" t="s">
        <v>31</v>
      </c>
      <c r="K344" s="1" t="s">
        <v>710</v>
      </c>
      <c r="L344" s="1" t="s">
        <v>33</v>
      </c>
      <c r="M344" s="1" t="s">
        <v>50</v>
      </c>
      <c r="N344" s="1" t="s">
        <v>49</v>
      </c>
      <c r="O344" s="1" t="s">
        <v>50</v>
      </c>
      <c r="P344" s="1" t="s">
        <v>42</v>
      </c>
      <c r="Q344" s="1" t="s">
        <v>51</v>
      </c>
      <c r="R344" s="8" t="str">
        <f>IFERROR(VLOOKUP(A344,Sheet3!B:H,6,false),VLOOKUP(D344,Sheet2!A:C,2,false))</f>
        <v>https://assets.roomstogo.com/product/tempur-pedic-luxeadapt-20-soft-twin-xl-mattress_50007561_image-item</v>
      </c>
      <c r="S344" s="8" t="str">
        <f>IFERROR(VLOOKUP(A344,Sheet3!B:H,7,false),VLOOKUP(D344,Sheet2!A:C,3,false))</f>
        <v>https://assets.roomstogo.com/product/tempur-pedic-luxeadapt-20-soft-twin-xl-mattress_50007561_alt-image-1</v>
      </c>
      <c r="T344" s="11" t="s">
        <v>1392</v>
      </c>
    </row>
    <row r="345">
      <c r="A345" s="4">
        <v>5.1307621E7</v>
      </c>
      <c r="B345" s="5"/>
      <c r="C345" s="5"/>
      <c r="D345" s="1" t="s">
        <v>109</v>
      </c>
      <c r="E345" s="1" t="s">
        <v>777</v>
      </c>
      <c r="F345" s="6">
        <v>5199.0</v>
      </c>
      <c r="G345" s="6">
        <v>5199.0</v>
      </c>
      <c r="H345" s="1" t="s">
        <v>64</v>
      </c>
      <c r="I345" s="1" t="s">
        <v>111</v>
      </c>
      <c r="J345" s="1" t="s">
        <v>31</v>
      </c>
      <c r="K345" s="1" t="s">
        <v>710</v>
      </c>
      <c r="L345" s="1" t="s">
        <v>33</v>
      </c>
      <c r="M345" s="1" t="s">
        <v>50</v>
      </c>
      <c r="N345" s="1" t="s">
        <v>76</v>
      </c>
      <c r="O345" s="1" t="s">
        <v>50</v>
      </c>
      <c r="P345" s="1" t="s">
        <v>50</v>
      </c>
      <c r="Q345" s="1" t="s">
        <v>77</v>
      </c>
      <c r="R345" s="8" t="str">
        <f>IFERROR(VLOOKUP(A345,Sheet3!B:H,6,false),VLOOKUP(D345,Sheet2!A:C,2,false))</f>
        <v>https://assets.roomstogo.com/product/tempur-pedic-luxebreeze-20-firm-twin-xl-mattress_50007624_image-item</v>
      </c>
      <c r="S345" s="8" t="str">
        <f>IFERROR(VLOOKUP(A345,Sheet3!B:H,7,false),VLOOKUP(D345,Sheet2!A:C,3,false))</f>
        <v>https://assets.roomstogo.com/product/tempur-pedic-luxebreeze-20-firm-twin-xl-mattress_50007624_image-item</v>
      </c>
      <c r="T345" s="11" t="s">
        <v>1393</v>
      </c>
    </row>
    <row r="346">
      <c r="A346" s="4">
        <v>5.1308166E7</v>
      </c>
      <c r="B346" s="5"/>
      <c r="C346" s="5"/>
      <c r="D346" s="1" t="s">
        <v>458</v>
      </c>
      <c r="E346" s="1" t="s">
        <v>778</v>
      </c>
      <c r="F346" s="6">
        <v>1599.0</v>
      </c>
      <c r="G346" s="6">
        <v>1599.0</v>
      </c>
      <c r="H346" s="1" t="s">
        <v>64</v>
      </c>
      <c r="I346" s="1" t="s">
        <v>460</v>
      </c>
      <c r="J346" s="1" t="s">
        <v>31</v>
      </c>
      <c r="K346" s="1" t="s">
        <v>710</v>
      </c>
      <c r="L346" s="7"/>
      <c r="M346" s="7"/>
      <c r="N346" s="7"/>
      <c r="O346" s="7"/>
      <c r="P346" s="7"/>
      <c r="Q346" s="7"/>
      <c r="R346" s="11" t="str">
        <f>IFERROR(VLOOKUP(A346,Sheet3!B:H,6,false),VLOOKUP(D346,Sheet2!A:C,2,false))</f>
        <v>#N/A</v>
      </c>
      <c r="S346" s="11" t="str">
        <f>IFERROR(VLOOKUP(A346,Sheet3!B:H,7,false),VLOOKUP(D346,Sheet2!A:C,3,false))</f>
        <v>#N/A</v>
      </c>
      <c r="T346" s="11" t="s">
        <v>1394</v>
      </c>
    </row>
    <row r="347">
      <c r="A347" s="4">
        <v>5.130818E7</v>
      </c>
      <c r="B347" s="5"/>
      <c r="C347" s="5"/>
      <c r="D347" s="1" t="s">
        <v>463</v>
      </c>
      <c r="E347" s="1" t="s">
        <v>779</v>
      </c>
      <c r="F347" s="6">
        <v>2099.0</v>
      </c>
      <c r="G347" s="6">
        <v>2099.0</v>
      </c>
      <c r="H347" s="1" t="s">
        <v>64</v>
      </c>
      <c r="I347" s="1" t="s">
        <v>465</v>
      </c>
      <c r="J347" s="1" t="s">
        <v>31</v>
      </c>
      <c r="K347" s="1" t="s">
        <v>710</v>
      </c>
      <c r="L347" s="7"/>
      <c r="M347" s="7"/>
      <c r="N347" s="7"/>
      <c r="O347" s="7"/>
      <c r="P347" s="7"/>
      <c r="Q347" s="7"/>
      <c r="R347" s="11" t="str">
        <f>IFERROR(VLOOKUP(A347,Sheet3!B:H,6,false),VLOOKUP(D347,Sheet2!A:C,2,false))</f>
        <v>#N/A</v>
      </c>
      <c r="S347" s="11" t="str">
        <f>IFERROR(VLOOKUP(A347,Sheet3!B:H,7,false),VLOOKUP(D347,Sheet2!A:C,3,false))</f>
        <v>#N/A</v>
      </c>
      <c r="T347" s="11" t="s">
        <v>1395</v>
      </c>
    </row>
    <row r="348">
      <c r="A348" s="4">
        <v>5.1308192E7</v>
      </c>
      <c r="B348" s="5"/>
      <c r="C348" s="5"/>
      <c r="D348" s="1" t="s">
        <v>549</v>
      </c>
      <c r="E348" s="1" t="s">
        <v>780</v>
      </c>
      <c r="F348" s="6">
        <v>2599.0</v>
      </c>
      <c r="G348" s="6">
        <v>2599.0</v>
      </c>
      <c r="H348" s="1" t="s">
        <v>64</v>
      </c>
      <c r="I348" s="1" t="s">
        <v>551</v>
      </c>
      <c r="J348" s="1" t="s">
        <v>31</v>
      </c>
      <c r="K348" s="1" t="s">
        <v>710</v>
      </c>
      <c r="L348" s="7"/>
      <c r="M348" s="7"/>
      <c r="N348" s="7"/>
      <c r="O348" s="7"/>
      <c r="P348" s="7"/>
      <c r="Q348" s="7"/>
      <c r="R348" s="11" t="str">
        <f>IFERROR(VLOOKUP(A348,Sheet3!B:H,6,false),VLOOKUP(D348,Sheet2!A:C,2,false))</f>
        <v>#N/A</v>
      </c>
      <c r="S348" s="11" t="str">
        <f>IFERROR(VLOOKUP(A348,Sheet3!B:H,7,false),VLOOKUP(D348,Sheet2!A:C,3,false))</f>
        <v>#N/A</v>
      </c>
      <c r="T348" s="11" t="s">
        <v>1396</v>
      </c>
    </row>
    <row r="349">
      <c r="A349" s="4">
        <v>5.13186E7</v>
      </c>
      <c r="B349" s="5"/>
      <c r="C349" s="5"/>
      <c r="D349" s="1" t="s">
        <v>369</v>
      </c>
      <c r="E349" s="1" t="s">
        <v>781</v>
      </c>
      <c r="F349" s="6">
        <v>899.0</v>
      </c>
      <c r="G349" s="6">
        <v>899.0</v>
      </c>
      <c r="H349" s="7"/>
      <c r="I349" s="1" t="s">
        <v>371</v>
      </c>
      <c r="J349" s="1" t="s">
        <v>31</v>
      </c>
      <c r="K349" s="1" t="s">
        <v>710</v>
      </c>
      <c r="L349" s="7"/>
      <c r="M349" s="7"/>
      <c r="N349" s="7"/>
      <c r="O349" s="7"/>
      <c r="P349" s="7"/>
      <c r="Q349" s="7"/>
      <c r="R349" s="11" t="str">
        <f>IFERROR(VLOOKUP(A349,Sheet3!B:H,6,false),VLOOKUP(D349,Sheet2!A:C,2,false))</f>
        <v>#N/A</v>
      </c>
      <c r="S349" s="11" t="str">
        <f>IFERROR(VLOOKUP(A349,Sheet3!B:H,7,false),VLOOKUP(D349,Sheet2!A:C,3,false))</f>
        <v>#N/A</v>
      </c>
      <c r="T349" s="11" t="s">
        <v>1397</v>
      </c>
    </row>
    <row r="350">
      <c r="A350" s="4">
        <v>5.1337054E7</v>
      </c>
      <c r="B350" s="5"/>
      <c r="C350" s="5"/>
      <c r="D350" s="1" t="s">
        <v>203</v>
      </c>
      <c r="E350" s="1" t="s">
        <v>782</v>
      </c>
      <c r="F350" s="6">
        <v>1549.0</v>
      </c>
      <c r="G350" s="6">
        <v>1549.0</v>
      </c>
      <c r="H350" s="1" t="s">
        <v>205</v>
      </c>
      <c r="I350" s="1" t="s">
        <v>206</v>
      </c>
      <c r="J350" s="1" t="s">
        <v>31</v>
      </c>
      <c r="K350" s="1" t="s">
        <v>710</v>
      </c>
      <c r="L350" s="1" t="s">
        <v>59</v>
      </c>
      <c r="M350" s="1" t="s">
        <v>34</v>
      </c>
      <c r="N350" s="1" t="s">
        <v>76</v>
      </c>
      <c r="O350" s="1" t="s">
        <v>50</v>
      </c>
      <c r="P350" s="1" t="s">
        <v>42</v>
      </c>
      <c r="Q350" s="1" t="s">
        <v>144</v>
      </c>
      <c r="R350" s="8" t="str">
        <f>IFERROR(VLOOKUP(A350,Sheet3!B:H,6,false),VLOOKUP(D350,Sheet2!A:C,2,false))</f>
        <v>https://assets.roomstogo.com/product/beautyrest-black-series-one-extra-firm-twin-xl-mattress_50037057_image-item</v>
      </c>
      <c r="S350" s="8" t="str">
        <f>IFERROR(VLOOKUP(A350,Sheet3!B:H,7,false),VLOOKUP(D350,Sheet2!A:C,3,false))</f>
        <v>https://assets.roomstogo.com/product/beautyrest-black-series-one-extra-firm-twin-xl-mattress_50037057_alt-image-1</v>
      </c>
      <c r="T350" s="11" t="s">
        <v>1398</v>
      </c>
    </row>
    <row r="351">
      <c r="A351" s="4">
        <v>5.133722E7</v>
      </c>
      <c r="B351" s="5"/>
      <c r="C351" s="5"/>
      <c r="D351" s="1" t="s">
        <v>214</v>
      </c>
      <c r="E351" s="1" t="s">
        <v>783</v>
      </c>
      <c r="F351" s="6">
        <v>3649.0</v>
      </c>
      <c r="G351" s="6">
        <v>3649.0</v>
      </c>
      <c r="H351" s="1" t="s">
        <v>205</v>
      </c>
      <c r="I351" s="1" t="s">
        <v>216</v>
      </c>
      <c r="J351" s="1" t="s">
        <v>31</v>
      </c>
      <c r="K351" s="1" t="s">
        <v>710</v>
      </c>
      <c r="L351" s="1" t="s">
        <v>59</v>
      </c>
      <c r="M351" s="1" t="s">
        <v>50</v>
      </c>
      <c r="N351" s="1" t="s">
        <v>49</v>
      </c>
      <c r="O351" s="1" t="s">
        <v>50</v>
      </c>
      <c r="P351" s="1" t="s">
        <v>42</v>
      </c>
      <c r="Q351" s="1" t="s">
        <v>51</v>
      </c>
      <c r="R351" s="8" t="str">
        <f>IFERROR(VLOOKUP(A351,Sheet3!B:H,6,false),VLOOKUP(D351,Sheet2!A:C,2,false))</f>
        <v>https://assets.roomstogo.com/product/beautyrest-black-series-three-plush-pillow-top-twin-xl-mattress_50037223_image-item</v>
      </c>
      <c r="S351" s="8" t="str">
        <f>IFERROR(VLOOKUP(A351,Sheet3!B:H,7,false),VLOOKUP(D351,Sheet2!A:C,3,false))</f>
        <v>https://assets.roomstogo.com/product/beautyrest-black-series-three-plush-pillow-top-twin-xl-mattress_50037223_alt-image-1</v>
      </c>
      <c r="T351" s="11" t="s">
        <v>1399</v>
      </c>
    </row>
    <row r="352">
      <c r="A352" s="4">
        <v>5.1348033E7</v>
      </c>
      <c r="B352" s="5"/>
      <c r="C352" s="5"/>
      <c r="D352" s="1" t="s">
        <v>219</v>
      </c>
      <c r="E352" s="1" t="s">
        <v>784</v>
      </c>
      <c r="F352" s="6">
        <v>2099.0</v>
      </c>
      <c r="G352" s="6">
        <v>2299.0</v>
      </c>
      <c r="H352" s="1" t="s">
        <v>221</v>
      </c>
      <c r="I352" s="7"/>
      <c r="J352" s="7"/>
      <c r="K352" s="1" t="s">
        <v>710</v>
      </c>
      <c r="L352" s="1" t="s">
        <v>59</v>
      </c>
      <c r="M352" s="1" t="s">
        <v>42</v>
      </c>
      <c r="N352" s="1" t="s">
        <v>76</v>
      </c>
      <c r="O352" s="1" t="s">
        <v>34</v>
      </c>
      <c r="P352" s="1" t="s">
        <v>34</v>
      </c>
      <c r="Q352" s="1" t="s">
        <v>77</v>
      </c>
      <c r="R352" s="8" t="str">
        <f>IFERROR(VLOOKUP(A352,Sheet3!B:H,6,false),VLOOKUP(D352,Sheet2!A:C,2,false))</f>
        <v>https://assets.roomstogo.com/product/stearns-and-foster-estate-firm-tight-top-twin-xl-mattress_50048036_image-item</v>
      </c>
      <c r="S352" s="8" t="str">
        <f>IFERROR(VLOOKUP(A352,Sheet3!B:H,7,false),VLOOKUP(D352,Sheet2!A:C,3,false))</f>
        <v>https://assets.roomstogo.com/product/stearns-and-foster-estate-firm-tight-top-twin-xl-mattress_50048036_alt-image-1</v>
      </c>
      <c r="T352" s="11" t="s">
        <v>1400</v>
      </c>
    </row>
    <row r="353">
      <c r="A353" s="4">
        <v>5.150816E7</v>
      </c>
      <c r="B353" s="9">
        <v>1.0</v>
      </c>
      <c r="C353" s="9">
        <v>5.0</v>
      </c>
      <c r="D353" s="1" t="s">
        <v>458</v>
      </c>
      <c r="E353" s="1" t="s">
        <v>787</v>
      </c>
      <c r="F353" s="6">
        <v>2399.0</v>
      </c>
      <c r="G353" s="6">
        <v>2399.0</v>
      </c>
      <c r="H353" s="1" t="s">
        <v>64</v>
      </c>
      <c r="I353" s="1" t="s">
        <v>460</v>
      </c>
      <c r="J353" s="1" t="s">
        <v>31</v>
      </c>
      <c r="K353" s="1" t="s">
        <v>670</v>
      </c>
      <c r="L353" s="7"/>
      <c r="M353" s="7"/>
      <c r="N353" s="7"/>
      <c r="O353" s="7"/>
      <c r="P353" s="7"/>
      <c r="Q353" s="7"/>
      <c r="R353" s="11" t="str">
        <f>IFERROR(VLOOKUP(A353,Sheet3!B:H,6,false),VLOOKUP(D353,Sheet2!A:C,2,false))</f>
        <v>#N/A</v>
      </c>
      <c r="S353" s="11" t="str">
        <f>IFERROR(VLOOKUP(A353,Sheet3!B:H,7,false),VLOOKUP(D353,Sheet2!A:C,3,false))</f>
        <v>#N/A</v>
      </c>
      <c r="T353" s="11" t="s">
        <v>1401</v>
      </c>
    </row>
    <row r="354">
      <c r="A354" s="4">
        <v>5.1508184E7</v>
      </c>
      <c r="B354" s="5"/>
      <c r="C354" s="5"/>
      <c r="D354" s="1" t="s">
        <v>463</v>
      </c>
      <c r="E354" s="1" t="s">
        <v>788</v>
      </c>
      <c r="F354" s="6">
        <v>2899.0</v>
      </c>
      <c r="G354" s="6">
        <v>2899.0</v>
      </c>
      <c r="H354" s="1" t="s">
        <v>64</v>
      </c>
      <c r="I354" s="1" t="s">
        <v>465</v>
      </c>
      <c r="J354" s="1" t="s">
        <v>31</v>
      </c>
      <c r="K354" s="1" t="s">
        <v>670</v>
      </c>
      <c r="L354" s="7"/>
      <c r="M354" s="7"/>
      <c r="N354" s="7"/>
      <c r="O354" s="7"/>
      <c r="P354" s="7"/>
      <c r="Q354" s="7"/>
      <c r="R354" s="11" t="str">
        <f>IFERROR(VLOOKUP(A354,Sheet3!B:H,6,false),VLOOKUP(D354,Sheet2!A:C,2,false))</f>
        <v>#N/A</v>
      </c>
      <c r="S354" s="11" t="str">
        <f>IFERROR(VLOOKUP(A354,Sheet3!B:H,7,false),VLOOKUP(D354,Sheet2!A:C,3,false))</f>
        <v>#N/A</v>
      </c>
      <c r="T354" s="11" t="s">
        <v>1402</v>
      </c>
    </row>
    <row r="355">
      <c r="A355" s="4">
        <v>5.1508196E7</v>
      </c>
      <c r="B355" s="5"/>
      <c r="C355" s="5"/>
      <c r="D355" s="1" t="s">
        <v>549</v>
      </c>
      <c r="E355" s="1" t="s">
        <v>789</v>
      </c>
      <c r="F355" s="6">
        <v>3399.0</v>
      </c>
      <c r="G355" s="6">
        <v>3399.0</v>
      </c>
      <c r="H355" s="1" t="s">
        <v>64</v>
      </c>
      <c r="I355" s="1" t="s">
        <v>551</v>
      </c>
      <c r="J355" s="1" t="s">
        <v>31</v>
      </c>
      <c r="K355" s="1" t="s">
        <v>670</v>
      </c>
      <c r="L355" s="7"/>
      <c r="M355" s="7"/>
      <c r="N355" s="7"/>
      <c r="O355" s="7"/>
      <c r="P355" s="7"/>
      <c r="Q355" s="7"/>
      <c r="R355" s="11" t="str">
        <f>IFERROR(VLOOKUP(A355,Sheet3!B:H,6,false),VLOOKUP(D355,Sheet2!A:C,2,false))</f>
        <v>#N/A</v>
      </c>
      <c r="S355" s="11" t="str">
        <f>IFERROR(VLOOKUP(A355,Sheet3!B:H,7,false),VLOOKUP(D355,Sheet2!A:C,3,false))</f>
        <v>#N/A</v>
      </c>
      <c r="T355" s="11" t="s">
        <v>1403</v>
      </c>
    </row>
    <row r="356">
      <c r="A356" s="4">
        <v>5.1518604E7</v>
      </c>
      <c r="B356" s="5"/>
      <c r="C356" s="5"/>
      <c r="D356" s="1" t="s">
        <v>369</v>
      </c>
      <c r="E356" s="1" t="s">
        <v>790</v>
      </c>
      <c r="F356" s="6">
        <v>1499.0</v>
      </c>
      <c r="G356" s="6">
        <v>1499.0</v>
      </c>
      <c r="H356" s="1" t="s">
        <v>468</v>
      </c>
      <c r="I356" s="1" t="s">
        <v>791</v>
      </c>
      <c r="J356" s="1" t="s">
        <v>31</v>
      </c>
      <c r="K356" s="1" t="s">
        <v>670</v>
      </c>
      <c r="L356" s="7"/>
      <c r="M356" s="7"/>
      <c r="N356" s="7"/>
      <c r="O356" s="7"/>
      <c r="P356" s="7"/>
      <c r="Q356" s="7"/>
      <c r="R356" s="11" t="str">
        <f>IFERROR(VLOOKUP(A356,Sheet3!B:H,6,false),VLOOKUP(D356,Sheet2!A:C,2,false))</f>
        <v>#N/A</v>
      </c>
      <c r="S356" s="11" t="str">
        <f>IFERROR(VLOOKUP(A356,Sheet3!B:H,7,false),VLOOKUP(D356,Sheet2!A:C,3,false))</f>
        <v>#N/A</v>
      </c>
      <c r="T356" s="11" t="s">
        <v>1404</v>
      </c>
    </row>
    <row r="357">
      <c r="A357" s="4">
        <v>5.1707629E7</v>
      </c>
      <c r="B357" s="5"/>
      <c r="C357" s="5"/>
      <c r="D357" s="1" t="s">
        <v>109</v>
      </c>
      <c r="E357" s="1" t="s">
        <v>792</v>
      </c>
      <c r="F357" s="6">
        <v>10398.0</v>
      </c>
      <c r="G357" s="6">
        <v>10398.0</v>
      </c>
      <c r="H357" s="1" t="s">
        <v>64</v>
      </c>
      <c r="I357" s="7"/>
      <c r="J357" s="1" t="s">
        <v>31</v>
      </c>
      <c r="K357" s="1" t="s">
        <v>697</v>
      </c>
      <c r="L357" s="1" t="s">
        <v>33</v>
      </c>
      <c r="M357" s="1" t="s">
        <v>50</v>
      </c>
      <c r="N357" s="1" t="s">
        <v>76</v>
      </c>
      <c r="O357" s="1" t="s">
        <v>50</v>
      </c>
      <c r="P357" s="1" t="s">
        <v>50</v>
      </c>
      <c r="Q357" s="1" t="s">
        <v>77</v>
      </c>
      <c r="R357" s="8" t="str">
        <f>IFERROR(VLOOKUP(A357,Sheet3!B:H,6,false),VLOOKUP(D357,Sheet2!A:C,2,false))</f>
        <v>https://assets.roomstogo.com/product/tempur-pedic-luxebreeze-20-firm-twin-xl-mattress_50007624_image-item</v>
      </c>
      <c r="S357" s="8" t="str">
        <f>IFERROR(VLOOKUP(A357,Sheet3!B:H,7,false),VLOOKUP(D357,Sheet2!A:C,3,false))</f>
        <v>https://assets.roomstogo.com/product/tempur-pedic-luxebreeze-20-firm-twin-xl-mattress_50007624_image-item</v>
      </c>
      <c r="T357" s="11" t="s">
        <v>1405</v>
      </c>
    </row>
    <row r="358">
      <c r="A358" s="4">
        <v>5.9940063E7</v>
      </c>
      <c r="B358" s="9">
        <v>118.0</v>
      </c>
      <c r="C358" s="9">
        <v>3.98</v>
      </c>
      <c r="D358" s="1" t="s">
        <v>911</v>
      </c>
      <c r="E358" s="1" t="s">
        <v>912</v>
      </c>
      <c r="F358" s="6">
        <v>143.0</v>
      </c>
      <c r="G358" s="6">
        <v>179.0</v>
      </c>
      <c r="H358" s="1" t="s">
        <v>30</v>
      </c>
      <c r="I358" s="1" t="s">
        <v>913</v>
      </c>
      <c r="J358" s="1" t="s">
        <v>31</v>
      </c>
      <c r="K358" s="1" t="s">
        <v>470</v>
      </c>
      <c r="L358" s="7"/>
      <c r="M358" s="7"/>
      <c r="N358" s="7"/>
      <c r="O358" s="7"/>
      <c r="P358" s="7"/>
      <c r="Q358" s="7"/>
      <c r="R358" s="8" t="str">
        <f>IFERROR(VLOOKUP(A358,Sheet3!B:H,6,false),VLOOKUP(D358,Sheet2!A:C,2,false))</f>
        <v>https://casper.com/cdn/shop/files/Foam-Snow-Pillow-Feel-Scale.jpg</v>
      </c>
      <c r="S358" s="8" t="str">
        <f>IFERROR(VLOOKUP(A358,Sheet3!B:H,7,false),VLOOKUP(D358,Sheet2!A:C,3,false))</f>
        <v>https://casper.com/products/foam-snow-pillow</v>
      </c>
      <c r="T358" s="11" t="s">
        <v>1406</v>
      </c>
    </row>
    <row r="359">
      <c r="A359" s="4">
        <v>5.9940075E7</v>
      </c>
      <c r="B359" s="9">
        <v>118.0</v>
      </c>
      <c r="C359" s="9">
        <v>3.98</v>
      </c>
      <c r="D359" s="1" t="s">
        <v>911</v>
      </c>
      <c r="E359" s="1" t="s">
        <v>914</v>
      </c>
      <c r="F359" s="6">
        <v>167.0</v>
      </c>
      <c r="G359" s="6">
        <v>209.0</v>
      </c>
      <c r="H359" s="1" t="s">
        <v>30</v>
      </c>
      <c r="I359" s="1" t="s">
        <v>913</v>
      </c>
      <c r="J359" s="1" t="s">
        <v>31</v>
      </c>
      <c r="K359" s="1" t="s">
        <v>568</v>
      </c>
      <c r="L359" s="7"/>
      <c r="M359" s="7"/>
      <c r="N359" s="7"/>
      <c r="O359" s="7"/>
      <c r="P359" s="7"/>
      <c r="Q359" s="7"/>
      <c r="R359" s="8" t="str">
        <f>IFERROR(VLOOKUP(A359,Sheet3!B:H,6,false),VLOOKUP(D359,Sheet2!A:C,2,false))</f>
        <v>https://casper.com/cdn/shop/files/Foam-Snow-Pillow-Feel-Scale.jpg</v>
      </c>
      <c r="S359" s="8" t="str">
        <f>IFERROR(VLOOKUP(A359,Sheet3!B:H,7,false),VLOOKUP(D359,Sheet2!A:C,3,false))</f>
        <v>https://casper.com/products/foam-snow-pillow</v>
      </c>
      <c r="T359" s="11" t="s">
        <v>1407</v>
      </c>
    </row>
    <row r="360">
      <c r="A360" s="4">
        <v>5.9951004E7</v>
      </c>
      <c r="B360" s="9">
        <v>11.0</v>
      </c>
      <c r="C360" s="9">
        <v>3.91</v>
      </c>
      <c r="D360" s="1" t="s">
        <v>918</v>
      </c>
      <c r="E360" s="1" t="s">
        <v>919</v>
      </c>
      <c r="F360" s="6">
        <v>59.99</v>
      </c>
      <c r="G360" s="6">
        <v>59.99</v>
      </c>
      <c r="H360" s="1" t="s">
        <v>920</v>
      </c>
      <c r="I360" s="1" t="s">
        <v>921</v>
      </c>
      <c r="J360" s="1" t="s">
        <v>922</v>
      </c>
      <c r="K360" s="1" t="s">
        <v>923</v>
      </c>
      <c r="L360" s="7"/>
      <c r="M360" s="7"/>
      <c r="N360" s="7"/>
      <c r="O360" s="7"/>
      <c r="P360" s="7"/>
      <c r="Q360" s="7"/>
      <c r="R360" s="11" t="str">
        <f>IFERROR(VLOOKUP(A360,Sheet3!B:H,6,false),VLOOKUP(D360,Sheet2!A:C,2,false))</f>
        <v>#N/A</v>
      </c>
      <c r="S360" s="11" t="str">
        <f>IFERROR(VLOOKUP(A360,Sheet3!B:H,7,false),VLOOKUP(D360,Sheet2!A:C,3,false))</f>
        <v>#N/A</v>
      </c>
      <c r="T360" s="11" t="s">
        <v>1408</v>
      </c>
    </row>
    <row r="361">
      <c r="A361" s="4">
        <v>5.9951016E7</v>
      </c>
      <c r="B361" s="9">
        <v>43.0</v>
      </c>
      <c r="C361" s="9">
        <v>4.33</v>
      </c>
      <c r="D361" s="1" t="s">
        <v>918</v>
      </c>
      <c r="E361" s="1" t="s">
        <v>926</v>
      </c>
      <c r="F361" s="6">
        <v>79.99</v>
      </c>
      <c r="G361" s="6">
        <v>79.99</v>
      </c>
      <c r="H361" s="1" t="s">
        <v>920</v>
      </c>
      <c r="I361" s="1" t="s">
        <v>927</v>
      </c>
      <c r="J361" s="1" t="s">
        <v>922</v>
      </c>
      <c r="K361" s="1" t="s">
        <v>928</v>
      </c>
      <c r="L361" s="7"/>
      <c r="M361" s="7"/>
      <c r="N361" s="7"/>
      <c r="O361" s="7"/>
      <c r="P361" s="7"/>
      <c r="Q361" s="7"/>
      <c r="R361" s="11" t="str">
        <f>IFERROR(VLOOKUP(A361,Sheet3!B:H,6,false),VLOOKUP(D361,Sheet2!A:C,2,false))</f>
        <v>#N/A</v>
      </c>
      <c r="S361" s="11" t="str">
        <f>IFERROR(VLOOKUP(A361,Sheet3!B:H,7,false),VLOOKUP(D361,Sheet2!A:C,3,false))</f>
        <v>#N/A</v>
      </c>
      <c r="T361" s="11" t="s">
        <v>1409</v>
      </c>
    </row>
    <row r="362">
      <c r="A362" s="4">
        <v>5.9953084E7</v>
      </c>
      <c r="B362" s="9">
        <v>62.0</v>
      </c>
      <c r="C362" s="9">
        <v>4.34</v>
      </c>
      <c r="D362" s="1" t="s">
        <v>931</v>
      </c>
      <c r="E362" s="1" t="s">
        <v>932</v>
      </c>
      <c r="F362" s="6">
        <v>129.0</v>
      </c>
      <c r="G362" s="6">
        <v>129.0</v>
      </c>
      <c r="H362" s="1" t="s">
        <v>221</v>
      </c>
      <c r="I362" s="1" t="s">
        <v>933</v>
      </c>
      <c r="J362" s="1" t="s">
        <v>31</v>
      </c>
      <c r="K362" s="1" t="s">
        <v>470</v>
      </c>
      <c r="L362" s="7"/>
      <c r="M362" s="7"/>
      <c r="N362" s="7"/>
      <c r="O362" s="7"/>
      <c r="P362" s="7"/>
      <c r="Q362" s="7"/>
      <c r="R362" s="8" t="str">
        <f>IFERROR(VLOOKUP(A362,Sheet3!B:H,6,false),VLOOKUP(D362,Sheet2!A:C,2,false))</f>
        <v>https://assets.roomstogo.com/product/stearns-and-foster-standard-latex-pillow_59953084_image-item</v>
      </c>
      <c r="S362" s="8" t="str">
        <f>IFERROR(VLOOKUP(A362,Sheet3!B:H,7,false),VLOOKUP(D362,Sheet2!A:C,3,false))</f>
        <v>https://assets.roomstogo.com/product/stearns-and-foster-standard-latex-pillow_59953084_alt-image-1</v>
      </c>
      <c r="T362" s="11" t="s">
        <v>1410</v>
      </c>
    </row>
    <row r="363">
      <c r="A363" s="4">
        <v>5.9953503E7</v>
      </c>
      <c r="B363" s="9">
        <v>80.0</v>
      </c>
      <c r="C363" s="9">
        <v>4.11</v>
      </c>
      <c r="D363" s="1" t="s">
        <v>936</v>
      </c>
      <c r="E363" s="1" t="s">
        <v>937</v>
      </c>
      <c r="F363" s="6">
        <v>125.0</v>
      </c>
      <c r="G363" s="6">
        <v>125.0</v>
      </c>
      <c r="H363" s="1" t="s">
        <v>64</v>
      </c>
      <c r="I363" s="1" t="s">
        <v>938</v>
      </c>
      <c r="J363" s="1" t="s">
        <v>31</v>
      </c>
      <c r="K363" s="1" t="s">
        <v>470</v>
      </c>
      <c r="L363" s="7"/>
      <c r="M363" s="7"/>
      <c r="N363" s="7"/>
      <c r="O363" s="7"/>
      <c r="P363" s="7"/>
      <c r="Q363" s="7"/>
      <c r="R363" s="8" t="str">
        <f>IFERROR(VLOOKUP(A363,Sheet3!B:H,6,false),VLOOKUP(D363,Sheet2!A:C,2,false))</f>
        <v>https://assets-www.tempurpedic.com/media/images/TEMPUR_Pillow_Adapt_ProAdjust_Styled_MAR24_04.original.jpg</v>
      </c>
      <c r="S363" s="8" t="str">
        <f>IFERROR(VLOOKUP(A363,Sheet3!B:H,7,false),VLOOKUP(D363,Sheet2!A:C,3,false))</f>
        <v>https://www.tempurpedic.com/shop-pillows/adapt-pillows/</v>
      </c>
      <c r="T363" s="11" t="s">
        <v>1411</v>
      </c>
    </row>
    <row r="364">
      <c r="A364" s="4">
        <v>5.9953515E7</v>
      </c>
      <c r="B364" s="9">
        <v>80.0</v>
      </c>
      <c r="C364" s="9">
        <v>4.11</v>
      </c>
      <c r="D364" s="1" t="s">
        <v>936</v>
      </c>
      <c r="E364" s="1" t="s">
        <v>939</v>
      </c>
      <c r="F364" s="6">
        <v>165.0</v>
      </c>
      <c r="G364" s="6">
        <v>165.0</v>
      </c>
      <c r="H364" s="1" t="s">
        <v>64</v>
      </c>
      <c r="I364" s="1" t="s">
        <v>938</v>
      </c>
      <c r="J364" s="1" t="s">
        <v>31</v>
      </c>
      <c r="K364" s="1" t="s">
        <v>568</v>
      </c>
      <c r="L364" s="7"/>
      <c r="M364" s="7"/>
      <c r="N364" s="7"/>
      <c r="O364" s="7"/>
      <c r="P364" s="7"/>
      <c r="Q364" s="7"/>
      <c r="R364" s="8" t="str">
        <f>IFERROR(VLOOKUP(A364,Sheet3!B:H,6,false),VLOOKUP(D364,Sheet2!A:C,2,false))</f>
        <v>https://assets-www.tempurpedic.com/media/images/TEMPUR_Pillow_Adapt_ProAdjust_Styled_MAR24_04.original.jpg</v>
      </c>
      <c r="S364" s="8" t="str">
        <f>IFERROR(VLOOKUP(A364,Sheet3!B:H,7,false),VLOOKUP(D364,Sheet2!A:C,3,false))</f>
        <v>https://www.tempurpedic.com/shop-pillows/adapt-pillows/</v>
      </c>
      <c r="T364" s="11" t="s">
        <v>1412</v>
      </c>
    </row>
    <row r="365">
      <c r="A365" s="4">
        <v>5.9953527E7</v>
      </c>
      <c r="B365" s="9">
        <v>111.0</v>
      </c>
      <c r="C365" s="9">
        <v>4.15</v>
      </c>
      <c r="D365" s="1" t="s">
        <v>942</v>
      </c>
      <c r="E365" s="1" t="s">
        <v>943</v>
      </c>
      <c r="F365" s="6">
        <v>175.0</v>
      </c>
      <c r="G365" s="6">
        <v>175.0</v>
      </c>
      <c r="H365" s="1" t="s">
        <v>64</v>
      </c>
      <c r="I365" s="1" t="s">
        <v>944</v>
      </c>
      <c r="J365" s="1" t="s">
        <v>31</v>
      </c>
      <c r="K365" s="1" t="s">
        <v>470</v>
      </c>
      <c r="L365" s="7"/>
      <c r="M365" s="7"/>
      <c r="N365" s="7"/>
      <c r="O365" s="7"/>
      <c r="P365" s="7"/>
      <c r="Q365" s="7"/>
      <c r="R365" s="8" t="str">
        <f>IFERROR(VLOOKUP(A365,Sheet3!B:H,6,false),VLOOKUP(D365,Sheet2!A:C,2,false))</f>
        <v>https://assets-www.tempurpedic.com/media/images/TEMPUR_Pillow_Adapt_ProAdjust_Styled_MAR24_04.original.jpg</v>
      </c>
      <c r="S365" s="8" t="str">
        <f>IFERROR(VLOOKUP(A365,Sheet3!B:H,7,false),VLOOKUP(D365,Sheet2!A:C,3,false))</f>
        <v>https://www.tempurpedic.com/shop-pillows/adapt-pillows/</v>
      </c>
      <c r="T365" s="11" t="s">
        <v>1413</v>
      </c>
    </row>
    <row r="366">
      <c r="A366" s="4">
        <v>5.9953539E7</v>
      </c>
      <c r="B366" s="9">
        <v>111.0</v>
      </c>
      <c r="C366" s="9">
        <v>4.15</v>
      </c>
      <c r="D366" s="1" t="s">
        <v>942</v>
      </c>
      <c r="E366" s="1" t="s">
        <v>945</v>
      </c>
      <c r="F366" s="6">
        <v>215.0</v>
      </c>
      <c r="G366" s="6">
        <v>215.0</v>
      </c>
      <c r="H366" s="1" t="s">
        <v>64</v>
      </c>
      <c r="I366" s="1" t="s">
        <v>944</v>
      </c>
      <c r="J366" s="1" t="s">
        <v>31</v>
      </c>
      <c r="K366" s="1" t="s">
        <v>568</v>
      </c>
      <c r="L366" s="7"/>
      <c r="M366" s="7"/>
      <c r="N366" s="7"/>
      <c r="O366" s="7"/>
      <c r="P366" s="7"/>
      <c r="Q366" s="7"/>
      <c r="R366" s="8" t="str">
        <f>IFERROR(VLOOKUP(A366,Sheet3!B:H,6,false),VLOOKUP(D366,Sheet2!A:C,2,false))</f>
        <v>https://assets-www.tempurpedic.com/media/images/TEMPUR_Pillow_Adapt_ProAdjust_Styled_MAR24_04.original.jpg</v>
      </c>
      <c r="S366" s="8" t="str">
        <f>IFERROR(VLOOKUP(A366,Sheet3!B:H,7,false),VLOOKUP(D366,Sheet2!A:C,3,false))</f>
        <v>https://www.tempurpedic.com/shop-pillows/adapt-pillows/</v>
      </c>
      <c r="T366" s="11" t="s">
        <v>1414</v>
      </c>
    </row>
    <row r="367">
      <c r="A367" s="4">
        <v>5.9953541E7</v>
      </c>
      <c r="B367" s="9">
        <v>111.0</v>
      </c>
      <c r="C367" s="9">
        <v>4.15</v>
      </c>
      <c r="D367" s="1" t="s">
        <v>948</v>
      </c>
      <c r="E367" s="1" t="s">
        <v>949</v>
      </c>
      <c r="F367" s="6">
        <v>175.0</v>
      </c>
      <c r="G367" s="6">
        <v>175.0</v>
      </c>
      <c r="H367" s="1" t="s">
        <v>64</v>
      </c>
      <c r="I367" s="1" t="s">
        <v>950</v>
      </c>
      <c r="J367" s="1" t="s">
        <v>31</v>
      </c>
      <c r="K367" s="1" t="s">
        <v>470</v>
      </c>
      <c r="L367" s="7"/>
      <c r="M367" s="7"/>
      <c r="N367" s="7"/>
      <c r="O367" s="7"/>
      <c r="P367" s="7"/>
      <c r="Q367" s="7"/>
      <c r="R367" s="8" t="str">
        <f>IFERROR(VLOOKUP(A367,Sheet3!B:H,6,false),VLOOKUP(D367,Sheet2!A:C,2,false))</f>
        <v>https://assets-www.tempurpedic.com/media/images/TEMPUR_Pillow_Adapt_ProAdjust_Styled_MAR24_04.original.jpg</v>
      </c>
      <c r="S367" s="8" t="str">
        <f>IFERROR(VLOOKUP(A367,Sheet3!B:H,7,false),VLOOKUP(D367,Sheet2!A:C,3,false))</f>
        <v>https://www.tempurpedic.com/shop-pillows/adapt-pillows/</v>
      </c>
      <c r="T367" s="11" t="s">
        <v>1415</v>
      </c>
    </row>
    <row r="368">
      <c r="A368" s="4">
        <v>5.9953553E7</v>
      </c>
      <c r="B368" s="9">
        <v>111.0</v>
      </c>
      <c r="C368" s="9">
        <v>4.15</v>
      </c>
      <c r="D368" s="1" t="s">
        <v>948</v>
      </c>
      <c r="E368" s="1" t="s">
        <v>951</v>
      </c>
      <c r="F368" s="6">
        <v>215.0</v>
      </c>
      <c r="G368" s="6">
        <v>215.0</v>
      </c>
      <c r="H368" s="1" t="s">
        <v>64</v>
      </c>
      <c r="I368" s="1" t="s">
        <v>950</v>
      </c>
      <c r="J368" s="1" t="s">
        <v>31</v>
      </c>
      <c r="K368" s="1" t="s">
        <v>568</v>
      </c>
      <c r="L368" s="7"/>
      <c r="M368" s="7"/>
      <c r="N368" s="7"/>
      <c r="O368" s="7"/>
      <c r="P368" s="7"/>
      <c r="Q368" s="7"/>
      <c r="R368" s="8" t="str">
        <f>IFERROR(VLOOKUP(A368,Sheet3!B:H,6,false),VLOOKUP(D368,Sheet2!A:C,2,false))</f>
        <v>https://assets-www.tempurpedic.com/media/images/TEMPUR_Pillow_Adapt_ProAdjust_Styled_MAR24_04.original.jpg</v>
      </c>
      <c r="S368" s="8" t="str">
        <f>IFERROR(VLOOKUP(A368,Sheet3!B:H,7,false),VLOOKUP(D368,Sheet2!A:C,3,false))</f>
        <v>https://www.tempurpedic.com/shop-pillows/adapt-pillows/</v>
      </c>
      <c r="T368" s="11" t="s">
        <v>1416</v>
      </c>
    </row>
    <row r="369">
      <c r="A369" s="4">
        <v>5.9953565E7</v>
      </c>
      <c r="B369" s="9">
        <v>3.0</v>
      </c>
      <c r="C369" s="9">
        <v>4.0</v>
      </c>
      <c r="D369" s="1" t="s">
        <v>954</v>
      </c>
      <c r="E369" s="1" t="s">
        <v>955</v>
      </c>
      <c r="F369" s="6">
        <v>225.0</v>
      </c>
      <c r="G369" s="6">
        <v>225.0</v>
      </c>
      <c r="H369" s="1" t="s">
        <v>64</v>
      </c>
      <c r="I369" s="7"/>
      <c r="J369" s="1" t="s">
        <v>31</v>
      </c>
      <c r="K369" s="1" t="s">
        <v>470</v>
      </c>
      <c r="L369" s="7"/>
      <c r="M369" s="7"/>
      <c r="N369" s="7"/>
      <c r="O369" s="7"/>
      <c r="P369" s="7"/>
      <c r="Q369" s="7"/>
      <c r="R369" s="8" t="str">
        <f>IFERROR(VLOOKUP(A369,Sheet3!B:H,6,false),VLOOKUP(D369,Sheet2!A:C,2,false))</f>
        <v>https://assets-www.tempurpedic.com/media/images/TEMPUR_Pillow_Breeze_ProLo_Styled_MAR24_03.original.jpg</v>
      </c>
      <c r="S369" s="8" t="str">
        <f>IFERROR(VLOOKUP(A369,Sheet3!B:H,7,false),VLOOKUP(D369,Sheet2!A:C,3,false))</f>
        <v>https://www.tempurpedic.com/shop-pillows/breeze-pillows/</v>
      </c>
      <c r="T369" s="11" t="s">
        <v>1417</v>
      </c>
    </row>
    <row r="370">
      <c r="A370" s="4">
        <v>5.9953577E7</v>
      </c>
      <c r="B370" s="9">
        <v>3.0</v>
      </c>
      <c r="C370" s="9">
        <v>4.0</v>
      </c>
      <c r="D370" s="1" t="s">
        <v>956</v>
      </c>
      <c r="E370" s="1" t="s">
        <v>957</v>
      </c>
      <c r="F370" s="6">
        <v>275.0</v>
      </c>
      <c r="G370" s="6">
        <v>275.0</v>
      </c>
      <c r="H370" s="1" t="s">
        <v>64</v>
      </c>
      <c r="I370" s="7"/>
      <c r="J370" s="1" t="s">
        <v>31</v>
      </c>
      <c r="K370" s="1" t="s">
        <v>568</v>
      </c>
      <c r="L370" s="7"/>
      <c r="M370" s="7"/>
      <c r="N370" s="7"/>
      <c r="O370" s="7"/>
      <c r="P370" s="7"/>
      <c r="Q370" s="7"/>
      <c r="R370" s="8" t="str">
        <f>IFERROR(VLOOKUP(A370,Sheet3!B:H,6,false),VLOOKUP(D370,Sheet2!A:C,2,false))</f>
        <v>https://assets-www.tempurpedic.com/media/images/TEMPUR_Pillow_Breeze_ProLo_Styled_MAR24_03.original.jpg</v>
      </c>
      <c r="S370" s="8" t="str">
        <f>IFERROR(VLOOKUP(A370,Sheet3!B:H,7,false),VLOOKUP(D370,Sheet2!A:C,3,false))</f>
        <v>https://www.tempurpedic.com/shop-pillows/breeze-pillows/</v>
      </c>
      <c r="T370" s="11" t="s">
        <v>1418</v>
      </c>
    </row>
    <row r="371">
      <c r="A371" s="4">
        <v>5.9953589E7</v>
      </c>
      <c r="B371" s="9">
        <v>2.0</v>
      </c>
      <c r="C371" s="9">
        <v>4.0</v>
      </c>
      <c r="D371" s="1" t="s">
        <v>960</v>
      </c>
      <c r="E371" s="1" t="s">
        <v>961</v>
      </c>
      <c r="F371" s="6">
        <v>225.0</v>
      </c>
      <c r="G371" s="6">
        <v>225.0</v>
      </c>
      <c r="H371" s="1" t="s">
        <v>64</v>
      </c>
      <c r="I371" s="7"/>
      <c r="J371" s="1" t="s">
        <v>31</v>
      </c>
      <c r="K371" s="1" t="s">
        <v>470</v>
      </c>
      <c r="L371" s="7"/>
      <c r="M371" s="7"/>
      <c r="N371" s="7"/>
      <c r="O371" s="7"/>
      <c r="P371" s="7"/>
      <c r="Q371" s="7"/>
      <c r="R371" s="8" t="str">
        <f>IFERROR(VLOOKUP(A371,Sheet3!B:H,6,false),VLOOKUP(D371,Sheet2!A:C,2,false))</f>
        <v>https://assets-www.tempurpedic.com/media/images/TEMPUR_Pillow_Breeze_ProLo_Styled_MAR24_03.original.jpg</v>
      </c>
      <c r="S371" s="8" t="str">
        <f>IFERROR(VLOOKUP(A371,Sheet3!B:H,7,false),VLOOKUP(D371,Sheet2!A:C,3,false))</f>
        <v>https://www.tempurpedic.com/shop-pillows/breeze-pillows/</v>
      </c>
      <c r="T371" s="11" t="s">
        <v>1419</v>
      </c>
    </row>
    <row r="372">
      <c r="A372" s="4">
        <v>5.9953591E7</v>
      </c>
      <c r="B372" s="9">
        <v>5.0</v>
      </c>
      <c r="C372" s="9">
        <v>4.2</v>
      </c>
      <c r="D372" s="1" t="s">
        <v>964</v>
      </c>
      <c r="E372" s="1" t="s">
        <v>965</v>
      </c>
      <c r="F372" s="6">
        <v>275.0</v>
      </c>
      <c r="G372" s="6">
        <v>275.0</v>
      </c>
      <c r="H372" s="1" t="s">
        <v>64</v>
      </c>
      <c r="I372" s="7"/>
      <c r="J372" s="1" t="s">
        <v>31</v>
      </c>
      <c r="K372" s="1" t="s">
        <v>568</v>
      </c>
      <c r="L372" s="7"/>
      <c r="M372" s="7"/>
      <c r="N372" s="7"/>
      <c r="O372" s="7"/>
      <c r="P372" s="7"/>
      <c r="Q372" s="7"/>
      <c r="R372" s="8" t="str">
        <f>IFERROR(VLOOKUP(A372,Sheet3!B:H,6,false),VLOOKUP(D372,Sheet2!A:C,2,false))</f>
        <v>https://assets-www.tempurpedic.com/media/images/TEMPUR_Pillow_Breeze_ProLo_Styled_MAR24_03.original.jpg</v>
      </c>
      <c r="S372" s="8" t="str">
        <f>IFERROR(VLOOKUP(A372,Sheet3!B:H,7,false),VLOOKUP(D372,Sheet2!A:C,3,false))</f>
        <v>https://www.tempurpedic.com/shop-pillows/breeze-pillows/</v>
      </c>
      <c r="T372" s="11" t="s">
        <v>1420</v>
      </c>
    </row>
  </sheetData>
  <autoFilter ref="$A$1:$T$372"/>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1421</v>
      </c>
      <c r="B1" s="16" t="s">
        <v>1422</v>
      </c>
      <c r="C1" s="16" t="s">
        <v>1423</v>
      </c>
      <c r="D1" s="16" t="s">
        <v>1424</v>
      </c>
      <c r="E1" s="16"/>
      <c r="F1" s="16" t="s">
        <v>1425</v>
      </c>
      <c r="G1" s="16"/>
      <c r="H1" s="16"/>
      <c r="I1" s="16"/>
      <c r="J1" s="16"/>
      <c r="K1" s="16"/>
      <c r="L1" s="16"/>
      <c r="M1" s="16"/>
      <c r="N1" s="16"/>
      <c r="O1" s="16"/>
      <c r="P1" s="16"/>
      <c r="Q1" s="16"/>
      <c r="R1" s="16"/>
      <c r="S1" s="16"/>
      <c r="T1" s="16"/>
      <c r="U1" s="16"/>
      <c r="V1" s="16"/>
      <c r="W1" s="16"/>
      <c r="X1" s="16"/>
      <c r="Y1" s="16"/>
      <c r="Z1" s="16"/>
      <c r="AA1" s="16"/>
    </row>
    <row r="2">
      <c r="A2" s="16" t="s">
        <v>968</v>
      </c>
      <c r="B2" s="16" t="s">
        <v>240</v>
      </c>
      <c r="C2" s="17">
        <v>4.791510152001E13</v>
      </c>
      <c r="D2" s="16" t="s">
        <v>32</v>
      </c>
      <c r="E2" s="16" t="str">
        <f t="shared" ref="E2:E373" si="1">A2&amp;D2</f>
        <v>CASPER-CLOUD-ONETwin XL</v>
      </c>
      <c r="F2" s="18" t="s">
        <v>1050</v>
      </c>
      <c r="G2" s="16"/>
      <c r="H2" s="16"/>
      <c r="I2" s="16"/>
      <c r="J2" s="16"/>
      <c r="K2" s="16"/>
      <c r="L2" s="16"/>
      <c r="M2" s="16"/>
      <c r="N2" s="16"/>
      <c r="O2" s="16"/>
      <c r="P2" s="16"/>
      <c r="Q2" s="16"/>
      <c r="R2" s="16"/>
      <c r="S2" s="16"/>
      <c r="T2" s="16"/>
      <c r="U2" s="16"/>
      <c r="V2" s="16"/>
      <c r="W2" s="16"/>
      <c r="X2" s="16"/>
      <c r="Y2" s="16"/>
      <c r="Z2" s="16"/>
      <c r="AA2" s="16"/>
    </row>
    <row r="3">
      <c r="A3" s="16" t="s">
        <v>968</v>
      </c>
      <c r="B3" s="16" t="s">
        <v>240</v>
      </c>
      <c r="C3" s="17">
        <v>4.7915101552778E13</v>
      </c>
      <c r="D3" s="16" t="s">
        <v>242</v>
      </c>
      <c r="E3" s="16" t="str">
        <f t="shared" si="1"/>
        <v>CASPER-CLOUD-ONETwin</v>
      </c>
      <c r="F3" s="18" t="s">
        <v>1099</v>
      </c>
      <c r="G3" s="16"/>
      <c r="H3" s="16"/>
      <c r="I3" s="16"/>
      <c r="J3" s="16"/>
      <c r="K3" s="16"/>
      <c r="L3" s="16"/>
      <c r="M3" s="16"/>
      <c r="N3" s="16"/>
      <c r="O3" s="16"/>
      <c r="P3" s="16"/>
      <c r="Q3" s="16"/>
      <c r="R3" s="16"/>
      <c r="S3" s="16"/>
      <c r="T3" s="16"/>
      <c r="U3" s="16"/>
      <c r="V3" s="16"/>
      <c r="W3" s="16"/>
      <c r="X3" s="16"/>
      <c r="Y3" s="16"/>
      <c r="Z3" s="16"/>
      <c r="AA3" s="16"/>
    </row>
    <row r="4">
      <c r="A4" s="16" t="s">
        <v>968</v>
      </c>
      <c r="B4" s="16" t="s">
        <v>240</v>
      </c>
      <c r="C4" s="17">
        <v>4.7915101585546E13</v>
      </c>
      <c r="D4" s="16" t="s">
        <v>373</v>
      </c>
      <c r="E4" s="16" t="str">
        <f t="shared" si="1"/>
        <v>CASPER-CLOUD-ONEFull</v>
      </c>
      <c r="F4" s="18" t="s">
        <v>1147</v>
      </c>
      <c r="G4" s="16"/>
      <c r="H4" s="16"/>
      <c r="I4" s="16"/>
      <c r="J4" s="16"/>
      <c r="K4" s="16"/>
      <c r="L4" s="16"/>
      <c r="M4" s="16"/>
      <c r="N4" s="16"/>
      <c r="O4" s="16"/>
      <c r="P4" s="16"/>
      <c r="Q4" s="16"/>
      <c r="R4" s="16"/>
      <c r="S4" s="16"/>
      <c r="T4" s="16"/>
      <c r="U4" s="16"/>
      <c r="V4" s="16"/>
      <c r="W4" s="16"/>
      <c r="X4" s="16"/>
      <c r="Y4" s="16"/>
      <c r="Z4" s="16"/>
      <c r="AA4" s="16"/>
    </row>
    <row r="5">
      <c r="A5" s="16" t="s">
        <v>968</v>
      </c>
      <c r="B5" s="16" t="s">
        <v>240</v>
      </c>
      <c r="C5" s="17">
        <v>4.7915101618314E13</v>
      </c>
      <c r="D5" s="16" t="s">
        <v>470</v>
      </c>
      <c r="E5" s="16" t="str">
        <f t="shared" si="1"/>
        <v>CASPER-CLOUD-ONEQueen</v>
      </c>
      <c r="F5" s="18" t="s">
        <v>1206</v>
      </c>
      <c r="G5" s="16"/>
      <c r="H5" s="16"/>
      <c r="I5" s="16"/>
      <c r="J5" s="16"/>
      <c r="K5" s="16"/>
      <c r="L5" s="16"/>
      <c r="M5" s="16"/>
      <c r="N5" s="16"/>
      <c r="O5" s="16"/>
      <c r="P5" s="16"/>
      <c r="Q5" s="16"/>
      <c r="R5" s="16"/>
      <c r="S5" s="16"/>
      <c r="T5" s="16"/>
      <c r="U5" s="16"/>
      <c r="V5" s="16"/>
      <c r="W5" s="16"/>
      <c r="X5" s="16"/>
      <c r="Y5" s="16"/>
      <c r="Z5" s="16"/>
      <c r="AA5" s="16"/>
    </row>
    <row r="6">
      <c r="A6" s="16" t="s">
        <v>968</v>
      </c>
      <c r="B6" s="16" t="s">
        <v>240</v>
      </c>
      <c r="C6" s="17">
        <v>4.7915101651082E13</v>
      </c>
      <c r="D6" s="16" t="s">
        <v>568</v>
      </c>
      <c r="E6" s="16" t="str">
        <f t="shared" si="1"/>
        <v>CASPER-CLOUD-ONEKing</v>
      </c>
      <c r="F6" s="18" t="s">
        <v>1264</v>
      </c>
      <c r="G6" s="16"/>
      <c r="H6" s="16"/>
      <c r="I6" s="16"/>
      <c r="J6" s="16"/>
      <c r="K6" s="16"/>
      <c r="L6" s="16"/>
      <c r="M6" s="16"/>
      <c r="N6" s="16"/>
      <c r="O6" s="16"/>
      <c r="P6" s="16"/>
      <c r="Q6" s="16"/>
      <c r="R6" s="16"/>
      <c r="S6" s="16"/>
      <c r="T6" s="16"/>
      <c r="U6" s="16"/>
      <c r="V6" s="16"/>
      <c r="W6" s="16"/>
      <c r="X6" s="16"/>
      <c r="Y6" s="16"/>
      <c r="Z6" s="16"/>
      <c r="AA6" s="16"/>
    </row>
    <row r="7">
      <c r="A7" s="16" t="s">
        <v>968</v>
      </c>
      <c r="B7" s="16" t="s">
        <v>240</v>
      </c>
      <c r="C7" s="17">
        <v>4.791510168385E13</v>
      </c>
      <c r="D7" s="16" t="s">
        <v>728</v>
      </c>
      <c r="E7" s="16" t="str">
        <f t="shared" si="1"/>
        <v>CASPER-CLOUD-ONECali King</v>
      </c>
      <c r="F7" s="18" t="s">
        <v>1346</v>
      </c>
      <c r="G7" s="16"/>
      <c r="H7" s="16"/>
      <c r="I7" s="16"/>
      <c r="J7" s="16"/>
      <c r="K7" s="16"/>
      <c r="L7" s="16"/>
      <c r="M7" s="16"/>
      <c r="N7" s="16"/>
      <c r="O7" s="16"/>
      <c r="P7" s="16"/>
      <c r="Q7" s="16"/>
      <c r="R7" s="16"/>
      <c r="S7" s="16"/>
      <c r="T7" s="16"/>
      <c r="U7" s="16"/>
      <c r="V7" s="16"/>
      <c r="W7" s="16"/>
      <c r="X7" s="16"/>
      <c r="Y7" s="16"/>
      <c r="Z7" s="16"/>
      <c r="AA7" s="16"/>
    </row>
    <row r="8">
      <c r="A8" s="16" t="s">
        <v>969</v>
      </c>
      <c r="B8" s="16" t="s">
        <v>472</v>
      </c>
      <c r="C8" s="17">
        <v>4.7915101749386E13</v>
      </c>
      <c r="D8" s="16" t="s">
        <v>32</v>
      </c>
      <c r="E8" s="16" t="str">
        <f t="shared" si="1"/>
        <v>CASPER-SNOW-2-0Twin XL</v>
      </c>
      <c r="F8" s="18" t="s">
        <v>1051</v>
      </c>
      <c r="G8" s="16"/>
      <c r="H8" s="16"/>
      <c r="I8" s="16"/>
      <c r="J8" s="16"/>
      <c r="K8" s="16"/>
      <c r="L8" s="16"/>
      <c r="M8" s="16"/>
      <c r="N8" s="16"/>
      <c r="O8" s="16"/>
      <c r="P8" s="16"/>
      <c r="Q8" s="16"/>
      <c r="R8" s="16"/>
      <c r="S8" s="16"/>
      <c r="T8" s="16"/>
      <c r="U8" s="16"/>
      <c r="V8" s="16"/>
      <c r="W8" s="16"/>
      <c r="X8" s="16"/>
      <c r="Y8" s="16"/>
      <c r="Z8" s="16"/>
      <c r="AA8" s="16"/>
    </row>
    <row r="9">
      <c r="A9" s="16" t="s">
        <v>969</v>
      </c>
      <c r="B9" s="16" t="s">
        <v>472</v>
      </c>
      <c r="C9" s="17">
        <v>4.7915101782154E13</v>
      </c>
      <c r="D9" s="16" t="s">
        <v>373</v>
      </c>
      <c r="E9" s="16" t="str">
        <f t="shared" si="1"/>
        <v>CASPER-SNOW-2-0Full</v>
      </c>
      <c r="F9" s="18" t="s">
        <v>1148</v>
      </c>
      <c r="G9" s="16"/>
      <c r="H9" s="16"/>
      <c r="I9" s="16"/>
      <c r="J9" s="16"/>
      <c r="K9" s="16"/>
      <c r="L9" s="16"/>
      <c r="M9" s="16"/>
      <c r="N9" s="16"/>
      <c r="O9" s="16"/>
      <c r="P9" s="16"/>
      <c r="Q9" s="16"/>
      <c r="R9" s="16"/>
      <c r="S9" s="16"/>
      <c r="T9" s="16"/>
      <c r="U9" s="16"/>
      <c r="V9" s="16"/>
      <c r="W9" s="16"/>
      <c r="X9" s="16"/>
      <c r="Y9" s="16"/>
      <c r="Z9" s="16"/>
      <c r="AA9" s="16"/>
    </row>
    <row r="10">
      <c r="A10" s="16" t="s">
        <v>969</v>
      </c>
      <c r="B10" s="16" t="s">
        <v>472</v>
      </c>
      <c r="C10" s="17">
        <v>4.7915101814922E13</v>
      </c>
      <c r="D10" s="16" t="s">
        <v>470</v>
      </c>
      <c r="E10" s="16" t="str">
        <f t="shared" si="1"/>
        <v>CASPER-SNOW-2-0Queen</v>
      </c>
      <c r="F10" s="18" t="s">
        <v>1207</v>
      </c>
      <c r="G10" s="16"/>
      <c r="H10" s="16"/>
      <c r="I10" s="16"/>
      <c r="J10" s="16"/>
      <c r="K10" s="16"/>
      <c r="L10" s="16"/>
      <c r="M10" s="16"/>
      <c r="N10" s="16"/>
      <c r="O10" s="16"/>
      <c r="P10" s="16"/>
      <c r="Q10" s="16"/>
      <c r="R10" s="16"/>
      <c r="S10" s="16"/>
      <c r="T10" s="16"/>
      <c r="U10" s="16"/>
      <c r="V10" s="16"/>
      <c r="W10" s="16"/>
      <c r="X10" s="16"/>
      <c r="Y10" s="16"/>
      <c r="Z10" s="16"/>
      <c r="AA10" s="16"/>
    </row>
    <row r="11">
      <c r="A11" s="16" t="s">
        <v>969</v>
      </c>
      <c r="B11" s="16" t="s">
        <v>472</v>
      </c>
      <c r="C11" s="17">
        <v>4.791510184769E13</v>
      </c>
      <c r="D11" s="16" t="s">
        <v>568</v>
      </c>
      <c r="E11" s="16" t="str">
        <f t="shared" si="1"/>
        <v>CASPER-SNOW-2-0King</v>
      </c>
      <c r="F11" s="18" t="s">
        <v>1265</v>
      </c>
      <c r="G11" s="16"/>
      <c r="H11" s="16"/>
      <c r="I11" s="16"/>
      <c r="J11" s="16"/>
      <c r="K11" s="16"/>
      <c r="L11" s="16"/>
      <c r="M11" s="16"/>
      <c r="N11" s="16"/>
      <c r="O11" s="16"/>
      <c r="P11" s="16"/>
      <c r="Q11" s="16"/>
      <c r="R11" s="16"/>
      <c r="S11" s="16"/>
      <c r="T11" s="16"/>
      <c r="U11" s="16"/>
      <c r="V11" s="16"/>
      <c r="W11" s="16"/>
      <c r="X11" s="16"/>
      <c r="Y11" s="16"/>
      <c r="Z11" s="16"/>
      <c r="AA11" s="16"/>
    </row>
    <row r="12">
      <c r="A12" s="16" t="s">
        <v>969</v>
      </c>
      <c r="B12" s="16" t="s">
        <v>472</v>
      </c>
      <c r="C12" s="17">
        <v>4.7915101880458E13</v>
      </c>
      <c r="D12" s="16" t="s">
        <v>670</v>
      </c>
      <c r="E12" s="16" t="str">
        <f t="shared" si="1"/>
        <v>CASPER-SNOW-2-0California King</v>
      </c>
      <c r="F12" s="18" t="s">
        <v>1347</v>
      </c>
      <c r="G12" s="16"/>
      <c r="H12" s="16"/>
      <c r="I12" s="16"/>
      <c r="J12" s="16"/>
      <c r="K12" s="16"/>
      <c r="L12" s="16"/>
      <c r="M12" s="16"/>
      <c r="N12" s="16"/>
      <c r="O12" s="16"/>
      <c r="P12" s="16"/>
      <c r="Q12" s="16"/>
      <c r="R12" s="16"/>
      <c r="S12" s="16"/>
      <c r="T12" s="16"/>
      <c r="U12" s="16"/>
      <c r="V12" s="16"/>
      <c r="W12" s="16"/>
      <c r="X12" s="16"/>
      <c r="Y12" s="16"/>
      <c r="Z12" s="16"/>
      <c r="AA12" s="16"/>
    </row>
    <row r="13">
      <c r="A13" s="16" t="s">
        <v>970</v>
      </c>
      <c r="B13" s="16" t="s">
        <v>45</v>
      </c>
      <c r="C13" s="17">
        <v>4.7915101978762E13</v>
      </c>
      <c r="D13" s="16" t="s">
        <v>32</v>
      </c>
      <c r="E13" s="16" t="str">
        <f t="shared" si="1"/>
        <v>CASPER-SNOW-MAXTwin XL</v>
      </c>
      <c r="F13" s="18" t="s">
        <v>1052</v>
      </c>
      <c r="G13" s="16"/>
      <c r="H13" s="16"/>
      <c r="I13" s="16"/>
      <c r="J13" s="16"/>
      <c r="K13" s="16"/>
      <c r="L13" s="16"/>
      <c r="M13" s="16"/>
      <c r="N13" s="16"/>
      <c r="O13" s="16"/>
      <c r="P13" s="16"/>
      <c r="Q13" s="16"/>
      <c r="R13" s="16"/>
      <c r="S13" s="16"/>
      <c r="T13" s="16"/>
      <c r="U13" s="16"/>
      <c r="V13" s="16"/>
      <c r="W13" s="16"/>
      <c r="X13" s="16"/>
      <c r="Y13" s="16"/>
      <c r="Z13" s="16"/>
      <c r="AA13" s="16"/>
    </row>
    <row r="14">
      <c r="A14" s="16" t="s">
        <v>970</v>
      </c>
      <c r="B14" s="16" t="s">
        <v>45</v>
      </c>
      <c r="C14" s="17">
        <v>4.791510201153E13</v>
      </c>
      <c r="D14" s="16" t="s">
        <v>373</v>
      </c>
      <c r="E14" s="16" t="str">
        <f t="shared" si="1"/>
        <v>CASPER-SNOW-MAXFull</v>
      </c>
      <c r="F14" s="18" t="s">
        <v>1149</v>
      </c>
      <c r="G14" s="16"/>
      <c r="H14" s="16"/>
      <c r="I14" s="16"/>
      <c r="J14" s="16"/>
      <c r="K14" s="16"/>
      <c r="L14" s="16"/>
      <c r="M14" s="16"/>
      <c r="N14" s="16"/>
      <c r="O14" s="16"/>
      <c r="P14" s="16"/>
      <c r="Q14" s="16"/>
      <c r="R14" s="16"/>
      <c r="S14" s="16"/>
      <c r="T14" s="16"/>
      <c r="U14" s="16"/>
      <c r="V14" s="16"/>
      <c r="W14" s="16"/>
      <c r="X14" s="16"/>
      <c r="Y14" s="16"/>
      <c r="Z14" s="16"/>
      <c r="AA14" s="16"/>
    </row>
    <row r="15">
      <c r="A15" s="16" t="s">
        <v>970</v>
      </c>
      <c r="B15" s="16" t="s">
        <v>45</v>
      </c>
      <c r="C15" s="17">
        <v>4.7915102044298E13</v>
      </c>
      <c r="D15" s="16" t="s">
        <v>470</v>
      </c>
      <c r="E15" s="16" t="str">
        <f t="shared" si="1"/>
        <v>CASPER-SNOW-MAXQueen</v>
      </c>
      <c r="F15" s="18" t="s">
        <v>1208</v>
      </c>
      <c r="G15" s="16"/>
      <c r="H15" s="16"/>
      <c r="I15" s="16"/>
      <c r="J15" s="16"/>
      <c r="K15" s="16"/>
      <c r="L15" s="16"/>
      <c r="M15" s="16"/>
      <c r="N15" s="16"/>
      <c r="O15" s="16"/>
      <c r="P15" s="16"/>
      <c r="Q15" s="16"/>
      <c r="R15" s="16"/>
      <c r="S15" s="16"/>
      <c r="T15" s="16"/>
      <c r="U15" s="16"/>
      <c r="V15" s="16"/>
      <c r="W15" s="16"/>
      <c r="X15" s="16"/>
      <c r="Y15" s="16"/>
      <c r="Z15" s="16"/>
      <c r="AA15" s="16"/>
    </row>
    <row r="16">
      <c r="A16" s="16" t="s">
        <v>970</v>
      </c>
      <c r="B16" s="16" t="s">
        <v>45</v>
      </c>
      <c r="C16" s="17">
        <v>4.7915102077066E13</v>
      </c>
      <c r="D16" s="16" t="s">
        <v>568</v>
      </c>
      <c r="E16" s="16" t="str">
        <f t="shared" si="1"/>
        <v>CASPER-SNOW-MAXKing</v>
      </c>
      <c r="F16" s="18" t="s">
        <v>1266</v>
      </c>
      <c r="G16" s="16"/>
      <c r="H16" s="16"/>
      <c r="I16" s="16"/>
      <c r="J16" s="16"/>
      <c r="K16" s="16"/>
      <c r="L16" s="16"/>
      <c r="M16" s="16"/>
      <c r="N16" s="16"/>
      <c r="O16" s="16"/>
      <c r="P16" s="16"/>
      <c r="Q16" s="16"/>
      <c r="R16" s="16"/>
      <c r="S16" s="16"/>
      <c r="T16" s="16"/>
      <c r="U16" s="16"/>
      <c r="V16" s="16"/>
      <c r="W16" s="16"/>
      <c r="X16" s="16"/>
      <c r="Y16" s="16"/>
      <c r="Z16" s="16"/>
      <c r="AA16" s="16"/>
    </row>
    <row r="17">
      <c r="A17" s="16" t="s">
        <v>970</v>
      </c>
      <c r="B17" s="16" t="s">
        <v>45</v>
      </c>
      <c r="C17" s="17">
        <v>4.7915102109834E13</v>
      </c>
      <c r="D17" s="16" t="s">
        <v>670</v>
      </c>
      <c r="E17" s="16" t="str">
        <f t="shared" si="1"/>
        <v>CASPER-SNOW-MAXCalifornia King</v>
      </c>
      <c r="F17" s="18" t="s">
        <v>1348</v>
      </c>
      <c r="G17" s="16"/>
      <c r="H17" s="16"/>
      <c r="I17" s="16"/>
      <c r="J17" s="16"/>
      <c r="K17" s="16"/>
      <c r="L17" s="16"/>
      <c r="M17" s="16"/>
      <c r="N17" s="16"/>
      <c r="O17" s="16"/>
      <c r="P17" s="16"/>
      <c r="Q17" s="16"/>
      <c r="R17" s="16"/>
      <c r="S17" s="16"/>
      <c r="T17" s="16"/>
      <c r="U17" s="16"/>
      <c r="V17" s="16"/>
      <c r="W17" s="16"/>
      <c r="X17" s="16"/>
      <c r="Y17" s="16"/>
      <c r="Z17" s="16"/>
      <c r="AA17" s="16"/>
    </row>
    <row r="18">
      <c r="A18" s="16" t="s">
        <v>971</v>
      </c>
      <c r="B18" s="16" t="s">
        <v>378</v>
      </c>
      <c r="C18" s="17">
        <v>4.791510217537E13</v>
      </c>
      <c r="D18" s="16" t="s">
        <v>32</v>
      </c>
      <c r="E18" s="16" t="str">
        <f t="shared" si="1"/>
        <v>CASPER-ONYX-2-0Twin XL</v>
      </c>
      <c r="F18" s="18" t="s">
        <v>1053</v>
      </c>
      <c r="G18" s="16"/>
      <c r="H18" s="16"/>
      <c r="I18" s="16"/>
      <c r="J18" s="16"/>
      <c r="K18" s="16"/>
      <c r="L18" s="16"/>
      <c r="M18" s="16"/>
      <c r="N18" s="16"/>
      <c r="O18" s="16"/>
      <c r="P18" s="16"/>
      <c r="Q18" s="16"/>
      <c r="R18" s="16"/>
      <c r="S18" s="16"/>
      <c r="T18" s="16"/>
      <c r="U18" s="16"/>
      <c r="V18" s="16"/>
      <c r="W18" s="16"/>
      <c r="X18" s="16"/>
      <c r="Y18" s="16"/>
      <c r="Z18" s="16"/>
      <c r="AA18" s="16"/>
    </row>
    <row r="19">
      <c r="A19" s="16" t="s">
        <v>971</v>
      </c>
      <c r="B19" s="16" t="s">
        <v>378</v>
      </c>
      <c r="C19" s="17">
        <v>4.7915102208138E13</v>
      </c>
      <c r="D19" s="16" t="s">
        <v>242</v>
      </c>
      <c r="E19" s="16" t="str">
        <f t="shared" si="1"/>
        <v>CASPER-ONYX-2-0Twin</v>
      </c>
      <c r="F19" s="18" t="s">
        <v>1100</v>
      </c>
      <c r="G19" s="16"/>
      <c r="H19" s="16"/>
      <c r="I19" s="16"/>
      <c r="J19" s="16"/>
      <c r="K19" s="16"/>
      <c r="L19" s="16"/>
      <c r="M19" s="16"/>
      <c r="N19" s="16"/>
      <c r="O19" s="16"/>
      <c r="P19" s="16"/>
      <c r="Q19" s="16"/>
      <c r="R19" s="16"/>
      <c r="S19" s="16"/>
      <c r="T19" s="16"/>
      <c r="U19" s="16"/>
      <c r="V19" s="16"/>
      <c r="W19" s="16"/>
      <c r="X19" s="16"/>
      <c r="Y19" s="16"/>
      <c r="Z19" s="16"/>
      <c r="AA19" s="16"/>
    </row>
    <row r="20">
      <c r="A20" s="16" t="s">
        <v>971</v>
      </c>
      <c r="B20" s="16" t="s">
        <v>378</v>
      </c>
      <c r="C20" s="17">
        <v>4.7915102240906E13</v>
      </c>
      <c r="D20" s="16" t="s">
        <v>373</v>
      </c>
      <c r="E20" s="16" t="str">
        <f t="shared" si="1"/>
        <v>CASPER-ONYX-2-0Full</v>
      </c>
      <c r="F20" s="18" t="s">
        <v>1150</v>
      </c>
      <c r="G20" s="16"/>
      <c r="H20" s="16"/>
      <c r="I20" s="16"/>
      <c r="J20" s="16"/>
      <c r="K20" s="16"/>
      <c r="L20" s="16"/>
      <c r="M20" s="16"/>
      <c r="N20" s="16"/>
      <c r="O20" s="16"/>
      <c r="P20" s="16"/>
      <c r="Q20" s="16"/>
      <c r="R20" s="16"/>
      <c r="S20" s="16"/>
      <c r="T20" s="16"/>
      <c r="U20" s="16"/>
      <c r="V20" s="16"/>
      <c r="W20" s="16"/>
      <c r="X20" s="16"/>
      <c r="Y20" s="16"/>
      <c r="Z20" s="16"/>
      <c r="AA20" s="16"/>
    </row>
    <row r="21">
      <c r="A21" s="16" t="s">
        <v>971</v>
      </c>
      <c r="B21" s="16" t="s">
        <v>378</v>
      </c>
      <c r="C21" s="17">
        <v>4.7915102273674E13</v>
      </c>
      <c r="D21" s="16" t="s">
        <v>470</v>
      </c>
      <c r="E21" s="16" t="str">
        <f t="shared" si="1"/>
        <v>CASPER-ONYX-2-0Queen</v>
      </c>
      <c r="F21" s="18" t="s">
        <v>1209</v>
      </c>
      <c r="G21" s="16"/>
      <c r="H21" s="16"/>
      <c r="I21" s="16"/>
      <c r="J21" s="16"/>
      <c r="K21" s="16"/>
      <c r="L21" s="16"/>
      <c r="M21" s="16"/>
      <c r="N21" s="16"/>
      <c r="O21" s="16"/>
      <c r="P21" s="16"/>
      <c r="Q21" s="16"/>
      <c r="R21" s="16"/>
      <c r="S21" s="16"/>
      <c r="T21" s="16"/>
      <c r="U21" s="16"/>
      <c r="V21" s="16"/>
      <c r="W21" s="16"/>
      <c r="X21" s="16"/>
      <c r="Y21" s="16"/>
      <c r="Z21" s="16"/>
      <c r="AA21" s="16"/>
    </row>
    <row r="22">
      <c r="A22" s="16" t="s">
        <v>971</v>
      </c>
      <c r="B22" s="16" t="s">
        <v>378</v>
      </c>
      <c r="C22" s="17">
        <v>4.7915102306442E13</v>
      </c>
      <c r="D22" s="16" t="s">
        <v>568</v>
      </c>
      <c r="E22" s="16" t="str">
        <f t="shared" si="1"/>
        <v>CASPER-ONYX-2-0King</v>
      </c>
      <c r="F22" s="18" t="s">
        <v>1267</v>
      </c>
      <c r="G22" s="16"/>
      <c r="H22" s="16"/>
      <c r="I22" s="16"/>
      <c r="J22" s="16"/>
      <c r="K22" s="16"/>
      <c r="L22" s="16"/>
      <c r="M22" s="16"/>
      <c r="N22" s="16"/>
      <c r="O22" s="16"/>
      <c r="P22" s="16"/>
      <c r="Q22" s="16"/>
      <c r="R22" s="16"/>
      <c r="S22" s="16"/>
      <c r="T22" s="16"/>
      <c r="U22" s="16"/>
      <c r="V22" s="16"/>
      <c r="W22" s="16"/>
      <c r="X22" s="16"/>
      <c r="Y22" s="16"/>
      <c r="Z22" s="16"/>
      <c r="AA22" s="16"/>
    </row>
    <row r="23">
      <c r="A23" s="16" t="s">
        <v>971</v>
      </c>
      <c r="B23" s="16" t="s">
        <v>378</v>
      </c>
      <c r="C23" s="17">
        <v>4.791510233921E13</v>
      </c>
      <c r="D23" s="16" t="s">
        <v>670</v>
      </c>
      <c r="E23" s="16" t="str">
        <f t="shared" si="1"/>
        <v>CASPER-ONYX-2-0California King</v>
      </c>
      <c r="F23" s="18" t="s">
        <v>1349</v>
      </c>
      <c r="G23" s="16"/>
      <c r="H23" s="16"/>
      <c r="I23" s="16"/>
      <c r="J23" s="16"/>
      <c r="K23" s="16"/>
      <c r="L23" s="16"/>
      <c r="M23" s="16"/>
      <c r="N23" s="16"/>
      <c r="O23" s="16"/>
      <c r="P23" s="16"/>
      <c r="Q23" s="16"/>
      <c r="R23" s="16"/>
      <c r="S23" s="16"/>
      <c r="T23" s="16"/>
      <c r="U23" s="16"/>
      <c r="V23" s="16"/>
      <c r="W23" s="16"/>
      <c r="X23" s="16"/>
      <c r="Y23" s="16"/>
      <c r="Z23" s="16"/>
      <c r="AA23" s="16"/>
    </row>
    <row r="24">
      <c r="A24" s="16" t="s">
        <v>972</v>
      </c>
      <c r="B24" s="16" t="s">
        <v>573</v>
      </c>
      <c r="C24" s="17">
        <v>4.7915102470282E13</v>
      </c>
      <c r="D24" s="16" t="s">
        <v>32</v>
      </c>
      <c r="E24" s="16" t="str">
        <f t="shared" si="1"/>
        <v>SMART-MATCH-2-0Twin XL</v>
      </c>
      <c r="F24" s="18" t="s">
        <v>1054</v>
      </c>
      <c r="G24" s="16"/>
      <c r="H24" s="16"/>
      <c r="I24" s="16"/>
      <c r="J24" s="16"/>
      <c r="K24" s="16"/>
      <c r="L24" s="16"/>
      <c r="M24" s="16"/>
      <c r="N24" s="16"/>
      <c r="O24" s="16"/>
      <c r="P24" s="16"/>
      <c r="Q24" s="16"/>
      <c r="R24" s="16"/>
      <c r="S24" s="16"/>
      <c r="T24" s="16"/>
      <c r="U24" s="16"/>
      <c r="V24" s="16"/>
      <c r="W24" s="16"/>
      <c r="X24" s="16"/>
      <c r="Y24" s="16"/>
      <c r="Z24" s="16"/>
      <c r="AA24" s="16"/>
    </row>
    <row r="25">
      <c r="A25" s="16" t="s">
        <v>972</v>
      </c>
      <c r="B25" s="16" t="s">
        <v>573</v>
      </c>
      <c r="C25" s="17">
        <v>4.791510250305E13</v>
      </c>
      <c r="D25" s="16" t="s">
        <v>242</v>
      </c>
      <c r="E25" s="16" t="str">
        <f t="shared" si="1"/>
        <v>SMART-MATCH-2-0Twin</v>
      </c>
      <c r="F25" s="18" t="s">
        <v>1101</v>
      </c>
      <c r="G25" s="16"/>
      <c r="H25" s="16"/>
      <c r="I25" s="16"/>
      <c r="J25" s="16"/>
      <c r="K25" s="16"/>
      <c r="L25" s="16"/>
      <c r="M25" s="16"/>
      <c r="N25" s="16"/>
      <c r="O25" s="16"/>
      <c r="P25" s="16"/>
      <c r="Q25" s="16"/>
      <c r="R25" s="16"/>
      <c r="S25" s="16"/>
      <c r="T25" s="16"/>
      <c r="U25" s="16"/>
      <c r="V25" s="16"/>
      <c r="W25" s="16"/>
      <c r="X25" s="16"/>
      <c r="Y25" s="16"/>
      <c r="Z25" s="16"/>
      <c r="AA25" s="16"/>
    </row>
    <row r="26">
      <c r="A26" s="16" t="s">
        <v>972</v>
      </c>
      <c r="B26" s="16" t="s">
        <v>573</v>
      </c>
      <c r="C26" s="17">
        <v>4.7915102535818E13</v>
      </c>
      <c r="D26" s="16" t="s">
        <v>373</v>
      </c>
      <c r="E26" s="16" t="str">
        <f t="shared" si="1"/>
        <v>SMART-MATCH-2-0Full</v>
      </c>
      <c r="F26" s="18" t="s">
        <v>1151</v>
      </c>
      <c r="G26" s="16"/>
      <c r="H26" s="16"/>
      <c r="I26" s="16"/>
      <c r="J26" s="16"/>
      <c r="K26" s="16"/>
      <c r="L26" s="16"/>
      <c r="M26" s="16"/>
      <c r="N26" s="16"/>
      <c r="O26" s="16"/>
      <c r="P26" s="16"/>
      <c r="Q26" s="16"/>
      <c r="R26" s="16"/>
      <c r="S26" s="16"/>
      <c r="T26" s="16"/>
      <c r="U26" s="16"/>
      <c r="V26" s="16"/>
      <c r="W26" s="16"/>
      <c r="X26" s="16"/>
      <c r="Y26" s="16"/>
      <c r="Z26" s="16"/>
      <c r="AA26" s="16"/>
    </row>
    <row r="27">
      <c r="A27" s="16" t="s">
        <v>972</v>
      </c>
      <c r="B27" s="16" t="s">
        <v>573</v>
      </c>
      <c r="C27" s="17">
        <v>4.7915102568586E13</v>
      </c>
      <c r="D27" s="16" t="s">
        <v>470</v>
      </c>
      <c r="E27" s="16" t="str">
        <f t="shared" si="1"/>
        <v>SMART-MATCH-2-0Queen</v>
      </c>
      <c r="F27" s="18" t="s">
        <v>1210</v>
      </c>
      <c r="G27" s="16"/>
      <c r="H27" s="16"/>
      <c r="I27" s="16"/>
      <c r="J27" s="16"/>
      <c r="K27" s="16"/>
      <c r="L27" s="16"/>
      <c r="M27" s="16"/>
      <c r="N27" s="16"/>
      <c r="O27" s="16"/>
      <c r="P27" s="16"/>
      <c r="Q27" s="16"/>
      <c r="R27" s="16"/>
      <c r="S27" s="16"/>
      <c r="T27" s="16"/>
      <c r="U27" s="16"/>
      <c r="V27" s="16"/>
      <c r="W27" s="16"/>
      <c r="X27" s="16"/>
      <c r="Y27" s="16"/>
      <c r="Z27" s="16"/>
      <c r="AA27" s="16"/>
    </row>
    <row r="28">
      <c r="A28" s="16" t="s">
        <v>972</v>
      </c>
      <c r="B28" s="16" t="s">
        <v>573</v>
      </c>
      <c r="C28" s="17">
        <v>4.7915102601354E13</v>
      </c>
      <c r="D28" s="16" t="s">
        <v>568</v>
      </c>
      <c r="E28" s="16" t="str">
        <f t="shared" si="1"/>
        <v>SMART-MATCH-2-0King</v>
      </c>
      <c r="F28" s="18" t="s">
        <v>1268</v>
      </c>
      <c r="G28" s="16"/>
      <c r="H28" s="16"/>
      <c r="I28" s="16"/>
      <c r="J28" s="16"/>
      <c r="K28" s="16"/>
      <c r="L28" s="16"/>
      <c r="M28" s="16"/>
      <c r="N28" s="16"/>
      <c r="O28" s="16"/>
      <c r="P28" s="16"/>
      <c r="Q28" s="16"/>
      <c r="R28" s="16"/>
      <c r="S28" s="16"/>
      <c r="T28" s="16"/>
      <c r="U28" s="16"/>
      <c r="V28" s="16"/>
      <c r="W28" s="16"/>
      <c r="X28" s="16"/>
      <c r="Y28" s="16"/>
      <c r="Z28" s="16"/>
      <c r="AA28" s="16"/>
    </row>
    <row r="29">
      <c r="A29" s="16" t="s">
        <v>972</v>
      </c>
      <c r="B29" s="16" t="s">
        <v>573</v>
      </c>
      <c r="C29" s="17">
        <v>4.7915102634122E13</v>
      </c>
      <c r="D29" s="16" t="s">
        <v>670</v>
      </c>
      <c r="E29" s="16" t="str">
        <f t="shared" si="1"/>
        <v>SMART-MATCH-2-0California King</v>
      </c>
      <c r="F29" s="18" t="s">
        <v>1350</v>
      </c>
      <c r="G29" s="16"/>
      <c r="H29" s="16"/>
      <c r="I29" s="16"/>
      <c r="J29" s="16"/>
      <c r="K29" s="16"/>
      <c r="L29" s="16"/>
      <c r="M29" s="16"/>
      <c r="N29" s="16"/>
      <c r="O29" s="16"/>
      <c r="P29" s="16"/>
      <c r="Q29" s="16"/>
      <c r="R29" s="16"/>
      <c r="S29" s="16"/>
      <c r="T29" s="16"/>
      <c r="U29" s="16"/>
      <c r="V29" s="16"/>
      <c r="W29" s="16"/>
      <c r="X29" s="16"/>
      <c r="Y29" s="16"/>
      <c r="Z29" s="16"/>
      <c r="AA29" s="16"/>
    </row>
    <row r="30">
      <c r="A30" s="16" t="s">
        <v>973</v>
      </c>
      <c r="B30" s="16" t="s">
        <v>61</v>
      </c>
      <c r="C30" s="17">
        <v>4.7915102765194E13</v>
      </c>
      <c r="D30" s="16" t="s">
        <v>32</v>
      </c>
      <c r="E30" s="16" t="str">
        <f t="shared" si="1"/>
        <v>ADAPT-2-0-MEDIUMTwin XL</v>
      </c>
      <c r="F30" s="18" t="s">
        <v>1055</v>
      </c>
      <c r="G30" s="16"/>
      <c r="H30" s="16"/>
      <c r="I30" s="16"/>
      <c r="J30" s="16"/>
      <c r="K30" s="16"/>
      <c r="L30" s="16"/>
      <c r="M30" s="16"/>
      <c r="N30" s="16"/>
      <c r="O30" s="16"/>
      <c r="P30" s="16"/>
      <c r="Q30" s="16"/>
      <c r="R30" s="16"/>
      <c r="S30" s="16"/>
      <c r="T30" s="16"/>
      <c r="U30" s="16"/>
      <c r="V30" s="16"/>
      <c r="W30" s="16"/>
      <c r="X30" s="16"/>
      <c r="Y30" s="16"/>
      <c r="Z30" s="16"/>
      <c r="AA30" s="16"/>
    </row>
    <row r="31">
      <c r="A31" s="16" t="s">
        <v>973</v>
      </c>
      <c r="B31" s="16" t="s">
        <v>61</v>
      </c>
      <c r="C31" s="17">
        <v>4.7915102797962E13</v>
      </c>
      <c r="D31" s="16" t="s">
        <v>242</v>
      </c>
      <c r="E31" s="16" t="str">
        <f t="shared" si="1"/>
        <v>ADAPT-2-0-MEDIUMTwin</v>
      </c>
      <c r="F31" s="18" t="s">
        <v>1105</v>
      </c>
      <c r="G31" s="16"/>
      <c r="H31" s="16"/>
      <c r="I31" s="16"/>
      <c r="J31" s="16"/>
      <c r="K31" s="16"/>
      <c r="L31" s="16"/>
      <c r="M31" s="16"/>
      <c r="N31" s="16"/>
      <c r="O31" s="16"/>
      <c r="P31" s="16"/>
      <c r="Q31" s="16"/>
      <c r="R31" s="16"/>
      <c r="S31" s="16"/>
      <c r="T31" s="16"/>
      <c r="U31" s="16"/>
      <c r="V31" s="16"/>
      <c r="W31" s="16"/>
      <c r="X31" s="16"/>
      <c r="Y31" s="16"/>
      <c r="Z31" s="16"/>
      <c r="AA31" s="16"/>
    </row>
    <row r="32">
      <c r="A32" s="16" t="s">
        <v>973</v>
      </c>
      <c r="B32" s="16" t="s">
        <v>61</v>
      </c>
      <c r="C32" s="17">
        <v>4.791510283073E13</v>
      </c>
      <c r="D32" s="16" t="s">
        <v>373</v>
      </c>
      <c r="E32" s="16" t="str">
        <f t="shared" si="1"/>
        <v>ADAPT-2-0-MEDIUMFull</v>
      </c>
      <c r="F32" s="18" t="s">
        <v>1155</v>
      </c>
      <c r="G32" s="16"/>
      <c r="H32" s="16"/>
      <c r="I32" s="16"/>
      <c r="J32" s="16"/>
      <c r="K32" s="16"/>
      <c r="L32" s="16"/>
      <c r="M32" s="16"/>
      <c r="N32" s="16"/>
      <c r="O32" s="16"/>
      <c r="P32" s="16"/>
      <c r="Q32" s="16"/>
      <c r="R32" s="16"/>
      <c r="S32" s="16"/>
      <c r="T32" s="16"/>
      <c r="U32" s="16"/>
      <c r="V32" s="16"/>
      <c r="W32" s="16"/>
      <c r="X32" s="16"/>
      <c r="Y32" s="16"/>
      <c r="Z32" s="16"/>
      <c r="AA32" s="16"/>
    </row>
    <row r="33">
      <c r="A33" s="16" t="s">
        <v>973</v>
      </c>
      <c r="B33" s="16" t="s">
        <v>61</v>
      </c>
      <c r="C33" s="17">
        <v>4.7915102863498E13</v>
      </c>
      <c r="D33" s="16" t="s">
        <v>470</v>
      </c>
      <c r="E33" s="16" t="str">
        <f t="shared" si="1"/>
        <v>ADAPT-2-0-MEDIUMQueen</v>
      </c>
      <c r="F33" s="18" t="s">
        <v>1211</v>
      </c>
      <c r="G33" s="16"/>
      <c r="H33" s="16"/>
      <c r="I33" s="16"/>
      <c r="J33" s="16"/>
      <c r="K33" s="16"/>
      <c r="L33" s="16"/>
      <c r="M33" s="16"/>
      <c r="N33" s="16"/>
      <c r="O33" s="16"/>
      <c r="P33" s="16"/>
      <c r="Q33" s="16"/>
      <c r="R33" s="16"/>
      <c r="S33" s="16"/>
      <c r="T33" s="16"/>
      <c r="U33" s="16"/>
      <c r="V33" s="16"/>
      <c r="W33" s="16"/>
      <c r="X33" s="16"/>
      <c r="Y33" s="16"/>
      <c r="Z33" s="16"/>
      <c r="AA33" s="16"/>
    </row>
    <row r="34">
      <c r="A34" s="16" t="s">
        <v>973</v>
      </c>
      <c r="B34" s="16" t="s">
        <v>61</v>
      </c>
      <c r="C34" s="17">
        <v>4.7915102896266E13</v>
      </c>
      <c r="D34" s="16" t="s">
        <v>568</v>
      </c>
      <c r="E34" s="16" t="str">
        <f t="shared" si="1"/>
        <v>ADAPT-2-0-MEDIUMKing</v>
      </c>
      <c r="F34" s="18" t="s">
        <v>1269</v>
      </c>
      <c r="G34" s="16"/>
      <c r="H34" s="16"/>
      <c r="I34" s="16"/>
      <c r="J34" s="16"/>
      <c r="K34" s="16"/>
      <c r="L34" s="16"/>
      <c r="M34" s="16"/>
      <c r="N34" s="16"/>
      <c r="O34" s="16"/>
      <c r="P34" s="16"/>
      <c r="Q34" s="16"/>
      <c r="R34" s="16"/>
      <c r="S34" s="16"/>
      <c r="T34" s="16"/>
      <c r="U34" s="16"/>
      <c r="V34" s="16"/>
      <c r="W34" s="16"/>
      <c r="X34" s="16"/>
      <c r="Y34" s="16"/>
      <c r="Z34" s="16"/>
      <c r="AA34" s="16"/>
    </row>
    <row r="35">
      <c r="A35" s="16" t="s">
        <v>973</v>
      </c>
      <c r="B35" s="16" t="s">
        <v>61</v>
      </c>
      <c r="C35" s="17">
        <v>4.7915102929034E13</v>
      </c>
      <c r="D35" s="16" t="s">
        <v>670</v>
      </c>
      <c r="E35" s="16" t="str">
        <f t="shared" si="1"/>
        <v>ADAPT-2-0-MEDIUMCalifornia King</v>
      </c>
      <c r="F35" s="18" t="s">
        <v>1351</v>
      </c>
      <c r="G35" s="16"/>
      <c r="H35" s="16"/>
      <c r="I35" s="16"/>
      <c r="J35" s="16"/>
      <c r="K35" s="16"/>
      <c r="L35" s="16"/>
      <c r="M35" s="16"/>
      <c r="N35" s="16"/>
      <c r="O35" s="16"/>
      <c r="P35" s="16"/>
      <c r="Q35" s="16"/>
      <c r="R35" s="16"/>
      <c r="S35" s="16"/>
      <c r="T35" s="16"/>
      <c r="U35" s="16"/>
      <c r="V35" s="16"/>
      <c r="W35" s="16"/>
      <c r="X35" s="16"/>
      <c r="Y35" s="16"/>
      <c r="Z35" s="16"/>
      <c r="AA35" s="16"/>
    </row>
    <row r="36">
      <c r="A36" s="16" t="s">
        <v>973</v>
      </c>
      <c r="B36" s="16" t="s">
        <v>61</v>
      </c>
      <c r="C36" s="17">
        <v>4.7915102961802E13</v>
      </c>
      <c r="D36" s="16" t="s">
        <v>710</v>
      </c>
      <c r="E36" s="16" t="str">
        <f t="shared" si="1"/>
        <v>ADAPT-2-0-MEDIUMSplit California King</v>
      </c>
      <c r="F36" s="18" t="s">
        <v>1385</v>
      </c>
      <c r="G36" s="16"/>
      <c r="H36" s="16"/>
      <c r="I36" s="16"/>
      <c r="J36" s="16"/>
      <c r="K36" s="16"/>
      <c r="L36" s="16"/>
      <c r="M36" s="16"/>
      <c r="N36" s="16"/>
      <c r="O36" s="16"/>
      <c r="P36" s="16"/>
      <c r="Q36" s="16"/>
      <c r="R36" s="16"/>
      <c r="S36" s="16"/>
      <c r="T36" s="16"/>
      <c r="U36" s="16"/>
      <c r="V36" s="16"/>
      <c r="W36" s="16"/>
      <c r="X36" s="16"/>
      <c r="Y36" s="16"/>
      <c r="Z36" s="16"/>
      <c r="AA36" s="16"/>
    </row>
    <row r="37">
      <c r="A37" s="16" t="s">
        <v>974</v>
      </c>
      <c r="B37" s="16" t="s">
        <v>67</v>
      </c>
      <c r="C37" s="17">
        <v>4.7915103125642E13</v>
      </c>
      <c r="D37" s="16" t="s">
        <v>32</v>
      </c>
      <c r="E37" s="16" t="str">
        <f t="shared" si="1"/>
        <v>ADAPT-2-0-MEDIUM-HYBRIDTwin XL</v>
      </c>
      <c r="F37" s="18" t="s">
        <v>1056</v>
      </c>
      <c r="G37" s="16"/>
      <c r="H37" s="16"/>
      <c r="I37" s="16"/>
      <c r="J37" s="16"/>
      <c r="K37" s="16"/>
      <c r="L37" s="16"/>
      <c r="M37" s="16"/>
      <c r="N37" s="16"/>
      <c r="O37" s="16"/>
      <c r="P37" s="16"/>
      <c r="Q37" s="16"/>
      <c r="R37" s="16"/>
      <c r="S37" s="16"/>
      <c r="T37" s="16"/>
      <c r="U37" s="16"/>
      <c r="V37" s="16"/>
      <c r="W37" s="16"/>
      <c r="X37" s="16"/>
      <c r="Y37" s="16"/>
      <c r="Z37" s="16"/>
      <c r="AA37" s="16"/>
    </row>
    <row r="38">
      <c r="A38" s="16" t="s">
        <v>974</v>
      </c>
      <c r="B38" s="16" t="s">
        <v>67</v>
      </c>
      <c r="C38" s="17">
        <v>4.791510315841E13</v>
      </c>
      <c r="D38" s="16" t="s">
        <v>242</v>
      </c>
      <c r="E38" s="16" t="str">
        <f t="shared" si="1"/>
        <v>ADAPT-2-0-MEDIUM-HYBRIDTwin</v>
      </c>
      <c r="F38" s="18" t="s">
        <v>1106</v>
      </c>
      <c r="G38" s="16"/>
      <c r="H38" s="16"/>
      <c r="I38" s="16"/>
      <c r="J38" s="16"/>
      <c r="K38" s="16"/>
      <c r="L38" s="16"/>
      <c r="M38" s="16"/>
      <c r="N38" s="16"/>
      <c r="O38" s="16"/>
      <c r="P38" s="16"/>
      <c r="Q38" s="16"/>
      <c r="R38" s="16"/>
      <c r="S38" s="16"/>
      <c r="T38" s="16"/>
      <c r="U38" s="16"/>
      <c r="V38" s="16"/>
      <c r="W38" s="16"/>
      <c r="X38" s="16"/>
      <c r="Y38" s="16"/>
      <c r="Z38" s="16"/>
      <c r="AA38" s="16"/>
    </row>
    <row r="39">
      <c r="A39" s="16" t="s">
        <v>974</v>
      </c>
      <c r="B39" s="16" t="s">
        <v>67</v>
      </c>
      <c r="C39" s="17">
        <v>4.7915103191178E13</v>
      </c>
      <c r="D39" s="16" t="s">
        <v>373</v>
      </c>
      <c r="E39" s="16" t="str">
        <f t="shared" si="1"/>
        <v>ADAPT-2-0-MEDIUM-HYBRIDFull</v>
      </c>
      <c r="F39" s="18" t="s">
        <v>1156</v>
      </c>
      <c r="G39" s="16"/>
      <c r="H39" s="16"/>
      <c r="I39" s="16"/>
      <c r="J39" s="16"/>
      <c r="K39" s="16"/>
      <c r="L39" s="16"/>
      <c r="M39" s="16"/>
      <c r="N39" s="16"/>
      <c r="O39" s="16"/>
      <c r="P39" s="16"/>
      <c r="Q39" s="16"/>
      <c r="R39" s="16"/>
      <c r="S39" s="16"/>
      <c r="T39" s="16"/>
      <c r="U39" s="16"/>
      <c r="V39" s="16"/>
      <c r="W39" s="16"/>
      <c r="X39" s="16"/>
      <c r="Y39" s="16"/>
      <c r="Z39" s="16"/>
      <c r="AA39" s="16"/>
    </row>
    <row r="40">
      <c r="A40" s="16" t="s">
        <v>974</v>
      </c>
      <c r="B40" s="16" t="s">
        <v>67</v>
      </c>
      <c r="C40" s="17">
        <v>4.7915103223946E13</v>
      </c>
      <c r="D40" s="16" t="s">
        <v>470</v>
      </c>
      <c r="E40" s="16" t="str">
        <f t="shared" si="1"/>
        <v>ADAPT-2-0-MEDIUM-HYBRIDQueen</v>
      </c>
      <c r="F40" s="18" t="s">
        <v>1212</v>
      </c>
      <c r="G40" s="16"/>
      <c r="H40" s="16"/>
      <c r="I40" s="16"/>
      <c r="J40" s="16"/>
      <c r="K40" s="16"/>
      <c r="L40" s="16"/>
      <c r="M40" s="16"/>
      <c r="N40" s="16"/>
      <c r="O40" s="16"/>
      <c r="P40" s="16"/>
      <c r="Q40" s="16"/>
      <c r="R40" s="16"/>
      <c r="S40" s="16"/>
      <c r="T40" s="16"/>
      <c r="U40" s="16"/>
      <c r="V40" s="16"/>
      <c r="W40" s="16"/>
      <c r="X40" s="16"/>
      <c r="Y40" s="16"/>
      <c r="Z40" s="16"/>
      <c r="AA40" s="16"/>
    </row>
    <row r="41">
      <c r="A41" s="16" t="s">
        <v>974</v>
      </c>
      <c r="B41" s="16" t="s">
        <v>67</v>
      </c>
      <c r="C41" s="17">
        <v>4.7915103256714E13</v>
      </c>
      <c r="D41" s="16" t="s">
        <v>568</v>
      </c>
      <c r="E41" s="16" t="str">
        <f t="shared" si="1"/>
        <v>ADAPT-2-0-MEDIUM-HYBRIDKing</v>
      </c>
      <c r="F41" s="18" t="s">
        <v>1270</v>
      </c>
      <c r="G41" s="16"/>
      <c r="H41" s="16"/>
      <c r="I41" s="16"/>
      <c r="J41" s="16"/>
      <c r="K41" s="16"/>
      <c r="L41" s="16"/>
      <c r="M41" s="16"/>
      <c r="N41" s="16"/>
      <c r="O41" s="16"/>
      <c r="P41" s="16"/>
      <c r="Q41" s="16"/>
      <c r="R41" s="16"/>
      <c r="S41" s="16"/>
      <c r="T41" s="16"/>
      <c r="U41" s="16"/>
      <c r="V41" s="16"/>
      <c r="W41" s="16"/>
      <c r="X41" s="16"/>
      <c r="Y41" s="16"/>
      <c r="Z41" s="16"/>
      <c r="AA41" s="16"/>
    </row>
    <row r="42">
      <c r="A42" s="16" t="s">
        <v>974</v>
      </c>
      <c r="B42" s="16" t="s">
        <v>67</v>
      </c>
      <c r="C42" s="17">
        <v>4.7915103289482E13</v>
      </c>
      <c r="D42" s="16" t="s">
        <v>670</v>
      </c>
      <c r="E42" s="16" t="str">
        <f t="shared" si="1"/>
        <v>ADAPT-2-0-MEDIUM-HYBRIDCalifornia King</v>
      </c>
      <c r="F42" s="18" t="s">
        <v>1352</v>
      </c>
      <c r="G42" s="16"/>
      <c r="H42" s="16"/>
      <c r="I42" s="16"/>
      <c r="J42" s="16"/>
      <c r="K42" s="16"/>
      <c r="L42" s="16"/>
      <c r="M42" s="16"/>
      <c r="N42" s="16"/>
      <c r="O42" s="16"/>
      <c r="P42" s="16"/>
      <c r="Q42" s="16"/>
      <c r="R42" s="16"/>
      <c r="S42" s="16"/>
      <c r="T42" s="16"/>
      <c r="U42" s="16"/>
      <c r="V42" s="16"/>
      <c r="W42" s="16"/>
      <c r="X42" s="16"/>
      <c r="Y42" s="16"/>
      <c r="Z42" s="16"/>
      <c r="AA42" s="16"/>
    </row>
    <row r="43">
      <c r="A43" s="16" t="s">
        <v>974</v>
      </c>
      <c r="B43" s="16" t="s">
        <v>67</v>
      </c>
      <c r="C43" s="17">
        <v>4.791510332225E13</v>
      </c>
      <c r="D43" s="16" t="s">
        <v>710</v>
      </c>
      <c r="E43" s="16" t="str">
        <f t="shared" si="1"/>
        <v>ADAPT-2-0-MEDIUM-HYBRIDSplit California King</v>
      </c>
      <c r="F43" s="18" t="s">
        <v>1386</v>
      </c>
      <c r="G43" s="16"/>
      <c r="H43" s="16"/>
      <c r="I43" s="16"/>
      <c r="J43" s="16"/>
      <c r="K43" s="16"/>
      <c r="L43" s="16"/>
      <c r="M43" s="16"/>
      <c r="N43" s="16"/>
      <c r="O43" s="16"/>
      <c r="P43" s="16"/>
      <c r="Q43" s="16"/>
      <c r="R43" s="16"/>
      <c r="S43" s="16"/>
      <c r="T43" s="16"/>
      <c r="U43" s="16"/>
      <c r="V43" s="16"/>
      <c r="W43" s="16"/>
      <c r="X43" s="16"/>
      <c r="Y43" s="16"/>
      <c r="Z43" s="16"/>
      <c r="AA43" s="16"/>
    </row>
    <row r="44">
      <c r="A44" s="16" t="s">
        <v>975</v>
      </c>
      <c r="B44" s="16" t="s">
        <v>72</v>
      </c>
      <c r="C44" s="17">
        <v>4.7915103453322E13</v>
      </c>
      <c r="D44" s="16" t="s">
        <v>32</v>
      </c>
      <c r="E44" s="16" t="str">
        <f t="shared" si="1"/>
        <v>PROADAPT-2-0-FIRMTwin XL</v>
      </c>
      <c r="F44" s="18" t="s">
        <v>1057</v>
      </c>
      <c r="G44" s="16"/>
      <c r="H44" s="16"/>
      <c r="I44" s="16"/>
      <c r="J44" s="16"/>
      <c r="K44" s="16"/>
      <c r="L44" s="16"/>
      <c r="M44" s="16"/>
      <c r="N44" s="16"/>
      <c r="O44" s="16"/>
      <c r="P44" s="16"/>
      <c r="Q44" s="16"/>
      <c r="R44" s="16"/>
      <c r="S44" s="16"/>
      <c r="T44" s="16"/>
      <c r="U44" s="16"/>
      <c r="V44" s="16"/>
      <c r="W44" s="16"/>
      <c r="X44" s="16"/>
      <c r="Y44" s="16"/>
      <c r="Z44" s="16"/>
      <c r="AA44" s="16"/>
    </row>
    <row r="45">
      <c r="A45" s="16" t="s">
        <v>975</v>
      </c>
      <c r="B45" s="16" t="s">
        <v>72</v>
      </c>
      <c r="C45" s="17">
        <v>4.791510348609E13</v>
      </c>
      <c r="D45" s="16" t="s">
        <v>242</v>
      </c>
      <c r="E45" s="16" t="str">
        <f t="shared" si="1"/>
        <v>PROADAPT-2-0-FIRMTwin</v>
      </c>
      <c r="F45" s="18" t="s">
        <v>1107</v>
      </c>
      <c r="G45" s="16"/>
      <c r="H45" s="16"/>
      <c r="I45" s="16"/>
      <c r="J45" s="16"/>
      <c r="K45" s="16"/>
      <c r="L45" s="16"/>
      <c r="M45" s="16"/>
      <c r="N45" s="16"/>
      <c r="O45" s="16"/>
      <c r="P45" s="16"/>
      <c r="Q45" s="16"/>
      <c r="R45" s="16"/>
      <c r="S45" s="16"/>
      <c r="T45" s="16"/>
      <c r="U45" s="16"/>
      <c r="V45" s="16"/>
      <c r="W45" s="16"/>
      <c r="X45" s="16"/>
      <c r="Y45" s="16"/>
      <c r="Z45" s="16"/>
      <c r="AA45" s="16"/>
    </row>
    <row r="46">
      <c r="A46" s="16" t="s">
        <v>975</v>
      </c>
      <c r="B46" s="16" t="s">
        <v>72</v>
      </c>
      <c r="C46" s="17">
        <v>4.7915103518858E13</v>
      </c>
      <c r="D46" s="16" t="s">
        <v>373</v>
      </c>
      <c r="E46" s="16" t="str">
        <f t="shared" si="1"/>
        <v>PROADAPT-2-0-FIRMFull</v>
      </c>
      <c r="F46" s="18" t="s">
        <v>1157</v>
      </c>
      <c r="G46" s="16"/>
      <c r="H46" s="16"/>
      <c r="I46" s="16"/>
      <c r="J46" s="16"/>
      <c r="K46" s="16"/>
      <c r="L46" s="16"/>
      <c r="M46" s="16"/>
      <c r="N46" s="16"/>
      <c r="O46" s="16"/>
      <c r="P46" s="16"/>
      <c r="Q46" s="16"/>
      <c r="R46" s="16"/>
      <c r="S46" s="16"/>
      <c r="T46" s="16"/>
      <c r="U46" s="16"/>
      <c r="V46" s="16"/>
      <c r="W46" s="16"/>
      <c r="X46" s="16"/>
      <c r="Y46" s="16"/>
      <c r="Z46" s="16"/>
      <c r="AA46" s="16"/>
    </row>
    <row r="47">
      <c r="A47" s="16" t="s">
        <v>975</v>
      </c>
      <c r="B47" s="16" t="s">
        <v>72</v>
      </c>
      <c r="C47" s="17">
        <v>4.7915103551626E13</v>
      </c>
      <c r="D47" s="16" t="s">
        <v>470</v>
      </c>
      <c r="E47" s="16" t="str">
        <f t="shared" si="1"/>
        <v>PROADAPT-2-0-FIRMQueen</v>
      </c>
      <c r="F47" s="18" t="s">
        <v>1213</v>
      </c>
      <c r="G47" s="16"/>
      <c r="H47" s="16"/>
      <c r="I47" s="16"/>
      <c r="J47" s="16"/>
      <c r="K47" s="16"/>
      <c r="L47" s="16"/>
      <c r="M47" s="16"/>
      <c r="N47" s="16"/>
      <c r="O47" s="16"/>
      <c r="P47" s="16"/>
      <c r="Q47" s="16"/>
      <c r="R47" s="16"/>
      <c r="S47" s="16"/>
      <c r="T47" s="16"/>
      <c r="U47" s="16"/>
      <c r="V47" s="16"/>
      <c r="W47" s="16"/>
      <c r="X47" s="16"/>
      <c r="Y47" s="16"/>
      <c r="Z47" s="16"/>
      <c r="AA47" s="16"/>
    </row>
    <row r="48">
      <c r="A48" s="16" t="s">
        <v>975</v>
      </c>
      <c r="B48" s="16" t="s">
        <v>72</v>
      </c>
      <c r="C48" s="17">
        <v>4.7915103584394E13</v>
      </c>
      <c r="D48" s="16" t="s">
        <v>568</v>
      </c>
      <c r="E48" s="16" t="str">
        <f t="shared" si="1"/>
        <v>PROADAPT-2-0-FIRMKing</v>
      </c>
      <c r="F48" s="18" t="s">
        <v>1271</v>
      </c>
      <c r="G48" s="16"/>
      <c r="H48" s="16"/>
      <c r="I48" s="16"/>
      <c r="J48" s="16"/>
      <c r="K48" s="16"/>
      <c r="L48" s="16"/>
      <c r="M48" s="16"/>
      <c r="N48" s="16"/>
      <c r="O48" s="16"/>
      <c r="P48" s="16"/>
      <c r="Q48" s="16"/>
      <c r="R48" s="16"/>
      <c r="S48" s="16"/>
      <c r="T48" s="16"/>
      <c r="U48" s="16"/>
      <c r="V48" s="16"/>
      <c r="W48" s="16"/>
      <c r="X48" s="16"/>
      <c r="Y48" s="16"/>
      <c r="Z48" s="16"/>
      <c r="AA48" s="16"/>
    </row>
    <row r="49">
      <c r="A49" s="16" t="s">
        <v>975</v>
      </c>
      <c r="B49" s="16" t="s">
        <v>72</v>
      </c>
      <c r="C49" s="17">
        <v>4.7915103617162E13</v>
      </c>
      <c r="D49" s="16" t="s">
        <v>670</v>
      </c>
      <c r="E49" s="16" t="str">
        <f t="shared" si="1"/>
        <v>PROADAPT-2-0-FIRMCalifornia King</v>
      </c>
      <c r="F49" s="18" t="s">
        <v>1353</v>
      </c>
      <c r="G49" s="16"/>
      <c r="H49" s="16"/>
      <c r="I49" s="16"/>
      <c r="J49" s="16"/>
      <c r="K49" s="16"/>
      <c r="L49" s="16"/>
      <c r="M49" s="16"/>
      <c r="N49" s="16"/>
      <c r="O49" s="16"/>
      <c r="P49" s="16"/>
      <c r="Q49" s="16"/>
      <c r="R49" s="16"/>
      <c r="S49" s="16"/>
      <c r="T49" s="16"/>
      <c r="U49" s="16"/>
      <c r="V49" s="16"/>
      <c r="W49" s="16"/>
      <c r="X49" s="16"/>
      <c r="Y49" s="16"/>
      <c r="Z49" s="16"/>
      <c r="AA49" s="16"/>
    </row>
    <row r="50">
      <c r="A50" s="16" t="s">
        <v>975</v>
      </c>
      <c r="B50" s="16" t="s">
        <v>72</v>
      </c>
      <c r="C50" s="17">
        <v>4.791510364993E13</v>
      </c>
      <c r="D50" s="16" t="s">
        <v>710</v>
      </c>
      <c r="E50" s="16" t="str">
        <f t="shared" si="1"/>
        <v>PROADAPT-2-0-FIRMSplit California King</v>
      </c>
      <c r="F50" s="18" t="s">
        <v>1387</v>
      </c>
      <c r="G50" s="16"/>
      <c r="H50" s="16"/>
      <c r="I50" s="16"/>
      <c r="J50" s="16"/>
      <c r="K50" s="16"/>
      <c r="L50" s="16"/>
      <c r="M50" s="16"/>
      <c r="N50" s="16"/>
      <c r="O50" s="16"/>
      <c r="P50" s="16"/>
      <c r="Q50" s="16"/>
      <c r="R50" s="16"/>
      <c r="S50" s="16"/>
      <c r="T50" s="16"/>
      <c r="U50" s="16"/>
      <c r="V50" s="16"/>
      <c r="W50" s="16"/>
      <c r="X50" s="16"/>
      <c r="Y50" s="16"/>
      <c r="Z50" s="16"/>
      <c r="AA50" s="16"/>
    </row>
    <row r="51">
      <c r="A51" s="16" t="s">
        <v>976</v>
      </c>
      <c r="B51" s="16" t="s">
        <v>79</v>
      </c>
      <c r="C51" s="17">
        <v>4.7915104043146E13</v>
      </c>
      <c r="D51" s="16" t="s">
        <v>32</v>
      </c>
      <c r="E51" s="16" t="str">
        <f t="shared" si="1"/>
        <v>PROBREEZE-2-0-MEDIUM-HYBRIDTwin XL</v>
      </c>
      <c r="F51" s="18" t="s">
        <v>1058</v>
      </c>
      <c r="G51" s="16"/>
      <c r="H51" s="16"/>
      <c r="I51" s="16"/>
      <c r="J51" s="16"/>
      <c r="K51" s="16"/>
      <c r="L51" s="16"/>
      <c r="M51" s="16"/>
      <c r="N51" s="16"/>
      <c r="O51" s="16"/>
      <c r="P51" s="16"/>
      <c r="Q51" s="16"/>
      <c r="R51" s="16"/>
      <c r="S51" s="16"/>
      <c r="T51" s="16"/>
      <c r="U51" s="16"/>
      <c r="V51" s="16"/>
      <c r="W51" s="16"/>
      <c r="X51" s="16"/>
      <c r="Y51" s="16"/>
      <c r="Z51" s="16"/>
      <c r="AA51" s="16"/>
    </row>
    <row r="52">
      <c r="A52" s="16" t="s">
        <v>976</v>
      </c>
      <c r="B52" s="16" t="s">
        <v>79</v>
      </c>
      <c r="C52" s="17">
        <v>4.7915104075914E13</v>
      </c>
      <c r="D52" s="16" t="s">
        <v>470</v>
      </c>
      <c r="E52" s="16" t="str">
        <f t="shared" si="1"/>
        <v>PROBREEZE-2-0-MEDIUM-HYBRIDQueen</v>
      </c>
      <c r="F52" s="18" t="s">
        <v>1214</v>
      </c>
      <c r="G52" s="16"/>
      <c r="H52" s="16"/>
      <c r="I52" s="16"/>
      <c r="J52" s="16"/>
      <c r="K52" s="16"/>
      <c r="L52" s="16"/>
      <c r="M52" s="16"/>
      <c r="N52" s="16"/>
      <c r="O52" s="16"/>
      <c r="P52" s="16"/>
      <c r="Q52" s="16"/>
      <c r="R52" s="16"/>
      <c r="S52" s="16"/>
      <c r="T52" s="16"/>
      <c r="U52" s="16"/>
      <c r="V52" s="16"/>
      <c r="W52" s="16"/>
      <c r="X52" s="16"/>
      <c r="Y52" s="16"/>
      <c r="Z52" s="16"/>
      <c r="AA52" s="16"/>
    </row>
    <row r="53">
      <c r="A53" s="16" t="s">
        <v>976</v>
      </c>
      <c r="B53" s="16" t="s">
        <v>79</v>
      </c>
      <c r="C53" s="17">
        <v>4.7915104108682E13</v>
      </c>
      <c r="D53" s="16" t="s">
        <v>568</v>
      </c>
      <c r="E53" s="16" t="str">
        <f t="shared" si="1"/>
        <v>PROBREEZE-2-0-MEDIUM-HYBRIDKing</v>
      </c>
      <c r="F53" s="18" t="s">
        <v>1272</v>
      </c>
      <c r="G53" s="16"/>
      <c r="H53" s="16"/>
      <c r="I53" s="16"/>
      <c r="J53" s="16"/>
      <c r="K53" s="16"/>
      <c r="L53" s="16"/>
      <c r="M53" s="16"/>
      <c r="N53" s="16"/>
      <c r="O53" s="16"/>
      <c r="P53" s="16"/>
      <c r="Q53" s="16"/>
      <c r="R53" s="16"/>
      <c r="S53" s="16"/>
      <c r="T53" s="16"/>
      <c r="U53" s="16"/>
      <c r="V53" s="16"/>
      <c r="W53" s="16"/>
      <c r="X53" s="16"/>
      <c r="Y53" s="16"/>
      <c r="Z53" s="16"/>
      <c r="AA53" s="16"/>
    </row>
    <row r="54">
      <c r="A54" s="16" t="s">
        <v>976</v>
      </c>
      <c r="B54" s="16" t="s">
        <v>79</v>
      </c>
      <c r="C54" s="17">
        <v>4.791510414145E13</v>
      </c>
      <c r="D54" s="16" t="s">
        <v>670</v>
      </c>
      <c r="E54" s="16" t="str">
        <f t="shared" si="1"/>
        <v>PROBREEZE-2-0-MEDIUM-HYBRIDCalifornia King</v>
      </c>
      <c r="F54" s="18" t="s">
        <v>1354</v>
      </c>
      <c r="G54" s="16"/>
      <c r="H54" s="16"/>
      <c r="I54" s="16"/>
      <c r="J54" s="16"/>
      <c r="K54" s="16"/>
      <c r="L54" s="16"/>
      <c r="M54" s="16"/>
      <c r="N54" s="16"/>
      <c r="O54" s="16"/>
      <c r="P54" s="16"/>
      <c r="Q54" s="16"/>
      <c r="R54" s="16"/>
      <c r="S54" s="16"/>
      <c r="T54" s="16"/>
      <c r="U54" s="16"/>
      <c r="V54" s="16"/>
      <c r="W54" s="16"/>
      <c r="X54" s="16"/>
      <c r="Y54" s="16"/>
      <c r="Z54" s="16"/>
      <c r="AA54" s="16"/>
    </row>
    <row r="55">
      <c r="A55" s="16" t="s">
        <v>976</v>
      </c>
      <c r="B55" s="16" t="s">
        <v>79</v>
      </c>
      <c r="C55" s="17">
        <v>4.7915104174218E13</v>
      </c>
      <c r="D55" s="16" t="s">
        <v>710</v>
      </c>
      <c r="E55" s="16" t="str">
        <f t="shared" si="1"/>
        <v>PROBREEZE-2-0-MEDIUM-HYBRIDSplit California King</v>
      </c>
      <c r="F55" s="18" t="s">
        <v>1388</v>
      </c>
      <c r="G55" s="16"/>
      <c r="H55" s="16"/>
      <c r="I55" s="16"/>
      <c r="J55" s="16"/>
      <c r="K55" s="16"/>
      <c r="L55" s="16"/>
      <c r="M55" s="16"/>
      <c r="N55" s="16"/>
      <c r="O55" s="16"/>
      <c r="P55" s="16"/>
      <c r="Q55" s="16"/>
      <c r="R55" s="16"/>
      <c r="S55" s="16"/>
      <c r="T55" s="16"/>
      <c r="U55" s="16"/>
      <c r="V55" s="16"/>
      <c r="W55" s="16"/>
      <c r="X55" s="16"/>
      <c r="Y55" s="16"/>
      <c r="Z55" s="16"/>
      <c r="AA55" s="16"/>
    </row>
    <row r="56">
      <c r="A56" s="16" t="s">
        <v>977</v>
      </c>
      <c r="B56" s="16" t="s">
        <v>84</v>
      </c>
      <c r="C56" s="17">
        <v>4.791510430529E13</v>
      </c>
      <c r="D56" s="16" t="s">
        <v>32</v>
      </c>
      <c r="E56" s="16" t="str">
        <f t="shared" si="1"/>
        <v>PROADAPT-2-0-MEDIUMTwin XL</v>
      </c>
      <c r="F56" s="18" t="s">
        <v>1059</v>
      </c>
      <c r="G56" s="16"/>
      <c r="H56" s="16"/>
      <c r="I56" s="16"/>
      <c r="J56" s="16"/>
      <c r="K56" s="16"/>
      <c r="L56" s="16"/>
      <c r="M56" s="16"/>
      <c r="N56" s="16"/>
      <c r="O56" s="16"/>
      <c r="P56" s="16"/>
      <c r="Q56" s="16"/>
      <c r="R56" s="16"/>
      <c r="S56" s="16"/>
      <c r="T56" s="16"/>
      <c r="U56" s="16"/>
      <c r="V56" s="16"/>
      <c r="W56" s="16"/>
      <c r="X56" s="16"/>
      <c r="Y56" s="16"/>
      <c r="Z56" s="16"/>
      <c r="AA56" s="16"/>
    </row>
    <row r="57">
      <c r="A57" s="16" t="s">
        <v>977</v>
      </c>
      <c r="B57" s="16" t="s">
        <v>84</v>
      </c>
      <c r="C57" s="17">
        <v>4.7915104338058E13</v>
      </c>
      <c r="D57" s="16" t="s">
        <v>242</v>
      </c>
      <c r="E57" s="16" t="str">
        <f t="shared" si="1"/>
        <v>PROADAPT-2-0-MEDIUMTwin</v>
      </c>
      <c r="F57" s="18" t="s">
        <v>1108</v>
      </c>
      <c r="G57" s="16"/>
      <c r="H57" s="16"/>
      <c r="I57" s="16"/>
      <c r="J57" s="16"/>
      <c r="K57" s="16"/>
      <c r="L57" s="16"/>
      <c r="M57" s="16"/>
      <c r="N57" s="16"/>
      <c r="O57" s="16"/>
      <c r="P57" s="16"/>
      <c r="Q57" s="16"/>
      <c r="R57" s="16"/>
      <c r="S57" s="16"/>
      <c r="T57" s="16"/>
      <c r="U57" s="16"/>
      <c r="V57" s="16"/>
      <c r="W57" s="16"/>
      <c r="X57" s="16"/>
      <c r="Y57" s="16"/>
      <c r="Z57" s="16"/>
      <c r="AA57" s="16"/>
    </row>
    <row r="58">
      <c r="A58" s="16" t="s">
        <v>977</v>
      </c>
      <c r="B58" s="16" t="s">
        <v>84</v>
      </c>
      <c r="C58" s="17">
        <v>4.7915104370826E13</v>
      </c>
      <c r="D58" s="16" t="s">
        <v>373</v>
      </c>
      <c r="E58" s="16" t="str">
        <f t="shared" si="1"/>
        <v>PROADAPT-2-0-MEDIUMFull</v>
      </c>
      <c r="F58" s="18" t="s">
        <v>1158</v>
      </c>
      <c r="G58" s="16"/>
      <c r="H58" s="16"/>
      <c r="I58" s="16"/>
      <c r="J58" s="16"/>
      <c r="K58" s="16"/>
      <c r="L58" s="16"/>
      <c r="M58" s="16"/>
      <c r="N58" s="16"/>
      <c r="O58" s="16"/>
      <c r="P58" s="16"/>
      <c r="Q58" s="16"/>
      <c r="R58" s="16"/>
      <c r="S58" s="16"/>
      <c r="T58" s="16"/>
      <c r="U58" s="16"/>
      <c r="V58" s="16"/>
      <c r="W58" s="16"/>
      <c r="X58" s="16"/>
      <c r="Y58" s="16"/>
      <c r="Z58" s="16"/>
      <c r="AA58" s="16"/>
    </row>
    <row r="59">
      <c r="A59" s="16" t="s">
        <v>977</v>
      </c>
      <c r="B59" s="16" t="s">
        <v>84</v>
      </c>
      <c r="C59" s="17">
        <v>4.7915104403594E13</v>
      </c>
      <c r="D59" s="16" t="s">
        <v>470</v>
      </c>
      <c r="E59" s="16" t="str">
        <f t="shared" si="1"/>
        <v>PROADAPT-2-0-MEDIUMQueen</v>
      </c>
      <c r="F59" s="18" t="s">
        <v>1215</v>
      </c>
      <c r="G59" s="16"/>
      <c r="H59" s="16"/>
      <c r="I59" s="16"/>
      <c r="J59" s="16"/>
      <c r="K59" s="16"/>
      <c r="L59" s="16"/>
      <c r="M59" s="16"/>
      <c r="N59" s="16"/>
      <c r="O59" s="16"/>
      <c r="P59" s="16"/>
      <c r="Q59" s="16"/>
      <c r="R59" s="16"/>
      <c r="S59" s="16"/>
      <c r="T59" s="16"/>
      <c r="U59" s="16"/>
      <c r="V59" s="16"/>
      <c r="W59" s="16"/>
      <c r="X59" s="16"/>
      <c r="Y59" s="16"/>
      <c r="Z59" s="16"/>
      <c r="AA59" s="16"/>
    </row>
    <row r="60">
      <c r="A60" s="16" t="s">
        <v>977</v>
      </c>
      <c r="B60" s="16" t="s">
        <v>84</v>
      </c>
      <c r="C60" s="17">
        <v>4.7915104436362E13</v>
      </c>
      <c r="D60" s="16" t="s">
        <v>568</v>
      </c>
      <c r="E60" s="16" t="str">
        <f t="shared" si="1"/>
        <v>PROADAPT-2-0-MEDIUMKing</v>
      </c>
      <c r="F60" s="18" t="s">
        <v>1273</v>
      </c>
      <c r="G60" s="16"/>
      <c r="H60" s="16"/>
      <c r="I60" s="16"/>
      <c r="J60" s="16"/>
      <c r="K60" s="16"/>
      <c r="L60" s="16"/>
      <c r="M60" s="16"/>
      <c r="N60" s="16"/>
      <c r="O60" s="16"/>
      <c r="P60" s="16"/>
      <c r="Q60" s="16"/>
      <c r="R60" s="16"/>
      <c r="S60" s="16"/>
      <c r="T60" s="16"/>
      <c r="U60" s="16"/>
      <c r="V60" s="16"/>
      <c r="W60" s="16"/>
      <c r="X60" s="16"/>
      <c r="Y60" s="16"/>
      <c r="Z60" s="16"/>
      <c r="AA60" s="16"/>
    </row>
    <row r="61">
      <c r="A61" s="16" t="s">
        <v>977</v>
      </c>
      <c r="B61" s="16" t="s">
        <v>84</v>
      </c>
      <c r="C61" s="17">
        <v>4.791510446913E13</v>
      </c>
      <c r="D61" s="16" t="s">
        <v>670</v>
      </c>
      <c r="E61" s="16" t="str">
        <f t="shared" si="1"/>
        <v>PROADAPT-2-0-MEDIUMCalifornia King</v>
      </c>
      <c r="F61" s="18" t="s">
        <v>1355</v>
      </c>
      <c r="G61" s="16"/>
      <c r="H61" s="16"/>
      <c r="I61" s="16"/>
      <c r="J61" s="16"/>
      <c r="K61" s="16"/>
      <c r="L61" s="16"/>
      <c r="M61" s="16"/>
      <c r="N61" s="16"/>
      <c r="O61" s="16"/>
      <c r="P61" s="16"/>
      <c r="Q61" s="16"/>
      <c r="R61" s="16"/>
      <c r="S61" s="16"/>
      <c r="T61" s="16"/>
      <c r="U61" s="16"/>
      <c r="V61" s="16"/>
      <c r="W61" s="16"/>
      <c r="X61" s="16"/>
      <c r="Y61" s="16"/>
      <c r="Z61" s="16"/>
      <c r="AA61" s="16"/>
    </row>
    <row r="62">
      <c r="A62" s="16" t="s">
        <v>977</v>
      </c>
      <c r="B62" s="16" t="s">
        <v>84</v>
      </c>
      <c r="C62" s="17">
        <v>4.7915104501898E13</v>
      </c>
      <c r="D62" s="16" t="s">
        <v>710</v>
      </c>
      <c r="E62" s="16" t="str">
        <f t="shared" si="1"/>
        <v>PROADAPT-2-0-MEDIUMSplit California King</v>
      </c>
      <c r="F62" s="18" t="s">
        <v>1389</v>
      </c>
      <c r="G62" s="16"/>
      <c r="H62" s="16"/>
      <c r="I62" s="16"/>
      <c r="J62" s="16"/>
      <c r="K62" s="16"/>
      <c r="L62" s="16"/>
      <c r="M62" s="16"/>
      <c r="N62" s="16"/>
      <c r="O62" s="16"/>
      <c r="P62" s="16"/>
      <c r="Q62" s="16"/>
      <c r="R62" s="16"/>
      <c r="S62" s="16"/>
      <c r="T62" s="16"/>
      <c r="U62" s="16"/>
      <c r="V62" s="16"/>
      <c r="W62" s="16"/>
      <c r="X62" s="16"/>
      <c r="Y62" s="16"/>
      <c r="Z62" s="16"/>
      <c r="AA62" s="16"/>
    </row>
    <row r="63">
      <c r="A63" s="16" t="s">
        <v>978</v>
      </c>
      <c r="B63" s="16" t="s">
        <v>88</v>
      </c>
      <c r="C63" s="17">
        <v>4.7915104567434E13</v>
      </c>
      <c r="D63" s="16" t="s">
        <v>32</v>
      </c>
      <c r="E63" s="16" t="str">
        <f t="shared" si="1"/>
        <v>PROADAPT-2-0-SOFTTwin XL</v>
      </c>
      <c r="F63" s="18" t="s">
        <v>1060</v>
      </c>
      <c r="G63" s="16"/>
      <c r="H63" s="16"/>
      <c r="I63" s="16"/>
      <c r="J63" s="16"/>
      <c r="K63" s="16"/>
      <c r="L63" s="16"/>
      <c r="M63" s="16"/>
      <c r="N63" s="16"/>
      <c r="O63" s="16"/>
      <c r="P63" s="16"/>
      <c r="Q63" s="16"/>
      <c r="R63" s="16"/>
      <c r="S63" s="16"/>
      <c r="T63" s="16"/>
      <c r="U63" s="16"/>
      <c r="V63" s="16"/>
      <c r="W63" s="16"/>
      <c r="X63" s="16"/>
      <c r="Y63" s="16"/>
      <c r="Z63" s="16"/>
      <c r="AA63" s="16"/>
    </row>
    <row r="64">
      <c r="A64" s="16" t="s">
        <v>978</v>
      </c>
      <c r="B64" s="16" t="s">
        <v>88</v>
      </c>
      <c r="C64" s="17">
        <v>4.7915104600202E13</v>
      </c>
      <c r="D64" s="16" t="s">
        <v>242</v>
      </c>
      <c r="E64" s="16" t="str">
        <f t="shared" si="1"/>
        <v>PROADAPT-2-0-SOFTTwin</v>
      </c>
      <c r="F64" s="18" t="s">
        <v>1109</v>
      </c>
      <c r="G64" s="16"/>
      <c r="H64" s="16"/>
      <c r="I64" s="16"/>
      <c r="J64" s="16"/>
      <c r="K64" s="16"/>
      <c r="L64" s="16"/>
      <c r="M64" s="16"/>
      <c r="N64" s="16"/>
      <c r="O64" s="16"/>
      <c r="P64" s="16"/>
      <c r="Q64" s="16"/>
      <c r="R64" s="16"/>
      <c r="S64" s="16"/>
      <c r="T64" s="16"/>
      <c r="U64" s="16"/>
      <c r="V64" s="16"/>
      <c r="W64" s="16"/>
      <c r="X64" s="16"/>
      <c r="Y64" s="16"/>
      <c r="Z64" s="16"/>
      <c r="AA64" s="16"/>
    </row>
    <row r="65">
      <c r="A65" s="16" t="s">
        <v>978</v>
      </c>
      <c r="B65" s="16" t="s">
        <v>88</v>
      </c>
      <c r="C65" s="17">
        <v>4.791510463297E13</v>
      </c>
      <c r="D65" s="16" t="s">
        <v>373</v>
      </c>
      <c r="E65" s="16" t="str">
        <f t="shared" si="1"/>
        <v>PROADAPT-2-0-SOFTFull</v>
      </c>
      <c r="F65" s="18" t="s">
        <v>1159</v>
      </c>
      <c r="G65" s="16"/>
      <c r="H65" s="16"/>
      <c r="I65" s="16"/>
      <c r="J65" s="16"/>
      <c r="K65" s="16"/>
      <c r="L65" s="16"/>
      <c r="M65" s="16"/>
      <c r="N65" s="16"/>
      <c r="O65" s="16"/>
      <c r="P65" s="16"/>
      <c r="Q65" s="16"/>
      <c r="R65" s="16"/>
      <c r="S65" s="16"/>
      <c r="T65" s="16"/>
      <c r="U65" s="16"/>
      <c r="V65" s="16"/>
      <c r="W65" s="16"/>
      <c r="X65" s="16"/>
      <c r="Y65" s="16"/>
      <c r="Z65" s="16"/>
      <c r="AA65" s="16"/>
    </row>
    <row r="66">
      <c r="A66" s="16" t="s">
        <v>978</v>
      </c>
      <c r="B66" s="16" t="s">
        <v>88</v>
      </c>
      <c r="C66" s="17">
        <v>4.7915104665738E13</v>
      </c>
      <c r="D66" s="16" t="s">
        <v>470</v>
      </c>
      <c r="E66" s="16" t="str">
        <f t="shared" si="1"/>
        <v>PROADAPT-2-0-SOFTQueen</v>
      </c>
      <c r="F66" s="18" t="s">
        <v>1216</v>
      </c>
      <c r="G66" s="16"/>
      <c r="H66" s="16"/>
      <c r="I66" s="16"/>
      <c r="J66" s="16"/>
      <c r="K66" s="16"/>
      <c r="L66" s="16"/>
      <c r="M66" s="16"/>
      <c r="N66" s="16"/>
      <c r="O66" s="16"/>
      <c r="P66" s="16"/>
      <c r="Q66" s="16"/>
      <c r="R66" s="16"/>
      <c r="S66" s="16"/>
      <c r="T66" s="16"/>
      <c r="U66" s="16"/>
      <c r="V66" s="16"/>
      <c r="W66" s="16"/>
      <c r="X66" s="16"/>
      <c r="Y66" s="16"/>
      <c r="Z66" s="16"/>
      <c r="AA66" s="16"/>
    </row>
    <row r="67">
      <c r="A67" s="16" t="s">
        <v>978</v>
      </c>
      <c r="B67" s="16" t="s">
        <v>88</v>
      </c>
      <c r="C67" s="17">
        <v>4.7915104698506E13</v>
      </c>
      <c r="D67" s="16" t="s">
        <v>568</v>
      </c>
      <c r="E67" s="16" t="str">
        <f t="shared" si="1"/>
        <v>PROADAPT-2-0-SOFTKing</v>
      </c>
      <c r="F67" s="18" t="s">
        <v>1274</v>
      </c>
      <c r="G67" s="16"/>
      <c r="H67" s="16"/>
      <c r="I67" s="16"/>
      <c r="J67" s="16"/>
      <c r="K67" s="16"/>
      <c r="L67" s="16"/>
      <c r="M67" s="16"/>
      <c r="N67" s="16"/>
      <c r="O67" s="16"/>
      <c r="P67" s="16"/>
      <c r="Q67" s="16"/>
      <c r="R67" s="16"/>
      <c r="S67" s="16"/>
      <c r="T67" s="16"/>
      <c r="U67" s="16"/>
      <c r="V67" s="16"/>
      <c r="W67" s="16"/>
      <c r="X67" s="16"/>
      <c r="Y67" s="16"/>
      <c r="Z67" s="16"/>
      <c r="AA67" s="16"/>
    </row>
    <row r="68">
      <c r="A68" s="16" t="s">
        <v>978</v>
      </c>
      <c r="B68" s="16" t="s">
        <v>88</v>
      </c>
      <c r="C68" s="17">
        <v>4.7915104731274E13</v>
      </c>
      <c r="D68" s="16" t="s">
        <v>670</v>
      </c>
      <c r="E68" s="16" t="str">
        <f t="shared" si="1"/>
        <v>PROADAPT-2-0-SOFTCalifornia King</v>
      </c>
      <c r="F68" s="18" t="s">
        <v>1356</v>
      </c>
      <c r="G68" s="16"/>
      <c r="H68" s="16"/>
      <c r="I68" s="16"/>
      <c r="J68" s="16"/>
      <c r="K68" s="16"/>
      <c r="L68" s="16"/>
      <c r="M68" s="16"/>
      <c r="N68" s="16"/>
      <c r="O68" s="16"/>
      <c r="P68" s="16"/>
      <c r="Q68" s="16"/>
      <c r="R68" s="16"/>
      <c r="S68" s="16"/>
      <c r="T68" s="16"/>
      <c r="U68" s="16"/>
      <c r="V68" s="16"/>
      <c r="W68" s="16"/>
      <c r="X68" s="16"/>
      <c r="Y68" s="16"/>
      <c r="Z68" s="16"/>
      <c r="AA68" s="16"/>
    </row>
    <row r="69">
      <c r="A69" s="16" t="s">
        <v>978</v>
      </c>
      <c r="B69" s="16" t="s">
        <v>88</v>
      </c>
      <c r="C69" s="17">
        <v>4.7915104764042E13</v>
      </c>
      <c r="D69" s="16" t="s">
        <v>710</v>
      </c>
      <c r="E69" s="16" t="str">
        <f t="shared" si="1"/>
        <v>PROADAPT-2-0-SOFTSplit California King</v>
      </c>
      <c r="F69" s="18" t="s">
        <v>1390</v>
      </c>
      <c r="G69" s="16"/>
      <c r="H69" s="16"/>
      <c r="I69" s="16"/>
      <c r="J69" s="16"/>
      <c r="K69" s="16"/>
      <c r="L69" s="16"/>
      <c r="M69" s="16"/>
      <c r="N69" s="16"/>
      <c r="O69" s="16"/>
      <c r="P69" s="16"/>
      <c r="Q69" s="16"/>
      <c r="R69" s="16"/>
      <c r="S69" s="16"/>
      <c r="T69" s="16"/>
      <c r="U69" s="16"/>
      <c r="V69" s="16"/>
      <c r="W69" s="16"/>
      <c r="X69" s="16"/>
      <c r="Y69" s="16"/>
      <c r="Z69" s="16"/>
      <c r="AA69" s="16"/>
    </row>
    <row r="70">
      <c r="A70" s="16" t="s">
        <v>979</v>
      </c>
      <c r="B70" s="16" t="s">
        <v>93</v>
      </c>
      <c r="C70" s="17">
        <v>4.7915104895114E13</v>
      </c>
      <c r="D70" s="16" t="s">
        <v>32</v>
      </c>
      <c r="E70" s="16" t="str">
        <f t="shared" si="1"/>
        <v>PROADAPT-2-0-MEDIUM-HYBRIDTwin XL</v>
      </c>
      <c r="F70" s="18" t="s">
        <v>1061</v>
      </c>
      <c r="G70" s="16"/>
      <c r="H70" s="16"/>
      <c r="I70" s="16"/>
      <c r="J70" s="16"/>
      <c r="K70" s="16"/>
      <c r="L70" s="16"/>
      <c r="M70" s="16"/>
      <c r="N70" s="16"/>
      <c r="O70" s="16"/>
      <c r="P70" s="16"/>
      <c r="Q70" s="16"/>
      <c r="R70" s="16"/>
      <c r="S70" s="16"/>
      <c r="T70" s="16"/>
      <c r="U70" s="16"/>
      <c r="V70" s="16"/>
      <c r="W70" s="16"/>
      <c r="X70" s="16"/>
      <c r="Y70" s="16"/>
      <c r="Z70" s="16"/>
      <c r="AA70" s="16"/>
    </row>
    <row r="71">
      <c r="A71" s="16" t="s">
        <v>979</v>
      </c>
      <c r="B71" s="16" t="s">
        <v>93</v>
      </c>
      <c r="C71" s="17">
        <v>4.7915104927882E13</v>
      </c>
      <c r="D71" s="16" t="s">
        <v>242</v>
      </c>
      <c r="E71" s="16" t="str">
        <f t="shared" si="1"/>
        <v>PROADAPT-2-0-MEDIUM-HYBRIDTwin</v>
      </c>
      <c r="F71" s="18" t="s">
        <v>1110</v>
      </c>
      <c r="G71" s="16"/>
      <c r="H71" s="16"/>
      <c r="I71" s="16"/>
      <c r="J71" s="16"/>
      <c r="K71" s="16"/>
      <c r="L71" s="16"/>
      <c r="M71" s="16"/>
      <c r="N71" s="16"/>
      <c r="O71" s="16"/>
      <c r="P71" s="16"/>
      <c r="Q71" s="16"/>
      <c r="R71" s="16"/>
      <c r="S71" s="16"/>
      <c r="T71" s="16"/>
      <c r="U71" s="16"/>
      <c r="V71" s="16"/>
      <c r="W71" s="16"/>
      <c r="X71" s="16"/>
      <c r="Y71" s="16"/>
      <c r="Z71" s="16"/>
      <c r="AA71" s="16"/>
    </row>
    <row r="72">
      <c r="A72" s="16" t="s">
        <v>979</v>
      </c>
      <c r="B72" s="16" t="s">
        <v>93</v>
      </c>
      <c r="C72" s="17">
        <v>4.791510496065E13</v>
      </c>
      <c r="D72" s="16" t="s">
        <v>373</v>
      </c>
      <c r="E72" s="16" t="str">
        <f t="shared" si="1"/>
        <v>PROADAPT-2-0-MEDIUM-HYBRIDFull</v>
      </c>
      <c r="F72" s="18" t="s">
        <v>1160</v>
      </c>
      <c r="G72" s="16"/>
      <c r="H72" s="16"/>
      <c r="I72" s="16"/>
      <c r="J72" s="16"/>
      <c r="K72" s="16"/>
      <c r="L72" s="16"/>
      <c r="M72" s="16"/>
      <c r="N72" s="16"/>
      <c r="O72" s="16"/>
      <c r="P72" s="16"/>
      <c r="Q72" s="16"/>
      <c r="R72" s="16"/>
      <c r="S72" s="16"/>
      <c r="T72" s="16"/>
      <c r="U72" s="16"/>
      <c r="V72" s="16"/>
      <c r="W72" s="16"/>
      <c r="X72" s="16"/>
      <c r="Y72" s="16"/>
      <c r="Z72" s="16"/>
      <c r="AA72" s="16"/>
    </row>
    <row r="73">
      <c r="A73" s="16" t="s">
        <v>979</v>
      </c>
      <c r="B73" s="16" t="s">
        <v>93</v>
      </c>
      <c r="C73" s="17">
        <v>4.7915104993418E13</v>
      </c>
      <c r="D73" s="16" t="s">
        <v>470</v>
      </c>
      <c r="E73" s="16" t="str">
        <f t="shared" si="1"/>
        <v>PROADAPT-2-0-MEDIUM-HYBRIDQueen</v>
      </c>
      <c r="F73" s="18" t="s">
        <v>1217</v>
      </c>
      <c r="G73" s="16"/>
      <c r="H73" s="16"/>
      <c r="I73" s="16"/>
      <c r="J73" s="16"/>
      <c r="K73" s="16"/>
      <c r="L73" s="16"/>
      <c r="M73" s="16"/>
      <c r="N73" s="16"/>
      <c r="O73" s="16"/>
      <c r="P73" s="16"/>
      <c r="Q73" s="16"/>
      <c r="R73" s="16"/>
      <c r="S73" s="16"/>
      <c r="T73" s="16"/>
      <c r="U73" s="16"/>
      <c r="V73" s="16"/>
      <c r="W73" s="16"/>
      <c r="X73" s="16"/>
      <c r="Y73" s="16"/>
      <c r="Z73" s="16"/>
      <c r="AA73" s="16"/>
    </row>
    <row r="74">
      <c r="A74" s="16" t="s">
        <v>979</v>
      </c>
      <c r="B74" s="16" t="s">
        <v>93</v>
      </c>
      <c r="C74" s="17">
        <v>4.7915105026186E13</v>
      </c>
      <c r="D74" s="16" t="s">
        <v>568</v>
      </c>
      <c r="E74" s="16" t="str">
        <f t="shared" si="1"/>
        <v>PROADAPT-2-0-MEDIUM-HYBRIDKing</v>
      </c>
      <c r="F74" s="18" t="s">
        <v>1275</v>
      </c>
      <c r="G74" s="16"/>
      <c r="H74" s="16"/>
      <c r="I74" s="16"/>
      <c r="J74" s="16"/>
      <c r="K74" s="16"/>
      <c r="L74" s="16"/>
      <c r="M74" s="16"/>
      <c r="N74" s="16"/>
      <c r="O74" s="16"/>
      <c r="P74" s="16"/>
      <c r="Q74" s="16"/>
      <c r="R74" s="16"/>
      <c r="S74" s="16"/>
      <c r="T74" s="16"/>
      <c r="U74" s="16"/>
      <c r="V74" s="16"/>
      <c r="W74" s="16"/>
      <c r="X74" s="16"/>
      <c r="Y74" s="16"/>
      <c r="Z74" s="16"/>
      <c r="AA74" s="16"/>
    </row>
    <row r="75">
      <c r="A75" s="16" t="s">
        <v>979</v>
      </c>
      <c r="B75" s="16" t="s">
        <v>93</v>
      </c>
      <c r="C75" s="17">
        <v>4.7915105058954E13</v>
      </c>
      <c r="D75" s="16" t="s">
        <v>670</v>
      </c>
      <c r="E75" s="16" t="str">
        <f t="shared" si="1"/>
        <v>PROADAPT-2-0-MEDIUM-HYBRIDCalifornia King</v>
      </c>
      <c r="F75" s="18" t="s">
        <v>1357</v>
      </c>
      <c r="G75" s="16"/>
      <c r="H75" s="16"/>
      <c r="I75" s="16"/>
      <c r="J75" s="16"/>
      <c r="K75" s="16"/>
      <c r="L75" s="16"/>
      <c r="M75" s="16"/>
      <c r="N75" s="16"/>
      <c r="O75" s="16"/>
      <c r="P75" s="16"/>
      <c r="Q75" s="16"/>
      <c r="R75" s="16"/>
      <c r="S75" s="16"/>
      <c r="T75" s="16"/>
      <c r="U75" s="16"/>
      <c r="V75" s="16"/>
      <c r="W75" s="16"/>
      <c r="X75" s="16"/>
      <c r="Y75" s="16"/>
      <c r="Z75" s="16"/>
      <c r="AA75" s="16"/>
    </row>
    <row r="76">
      <c r="A76" s="16" t="s">
        <v>979</v>
      </c>
      <c r="B76" s="16" t="s">
        <v>93</v>
      </c>
      <c r="C76" s="17">
        <v>4.7915105091722E13</v>
      </c>
      <c r="D76" s="16" t="s">
        <v>710</v>
      </c>
      <c r="E76" s="16" t="str">
        <f t="shared" si="1"/>
        <v>PROADAPT-2-0-MEDIUM-HYBRIDSplit California King</v>
      </c>
      <c r="F76" s="18" t="s">
        <v>1391</v>
      </c>
      <c r="G76" s="16"/>
      <c r="H76" s="16"/>
      <c r="I76" s="16"/>
      <c r="J76" s="16"/>
      <c r="K76" s="16"/>
      <c r="L76" s="16"/>
      <c r="M76" s="16"/>
      <c r="N76" s="16"/>
      <c r="O76" s="16"/>
      <c r="P76" s="16"/>
      <c r="Q76" s="16"/>
      <c r="R76" s="16"/>
      <c r="S76" s="16"/>
      <c r="T76" s="16"/>
      <c r="U76" s="16"/>
      <c r="V76" s="16"/>
      <c r="W76" s="16"/>
      <c r="X76" s="16"/>
      <c r="Y76" s="16"/>
      <c r="Z76" s="16"/>
      <c r="AA76" s="16"/>
    </row>
    <row r="77">
      <c r="A77" s="16" t="s">
        <v>980</v>
      </c>
      <c r="B77" s="16" t="s">
        <v>98</v>
      </c>
      <c r="C77" s="17">
        <v>4.7915105157258E13</v>
      </c>
      <c r="D77" s="16" t="s">
        <v>32</v>
      </c>
      <c r="E77" s="16" t="str">
        <f t="shared" si="1"/>
        <v>LUXEADAPT-2-0-SOFTTwin XL</v>
      </c>
      <c r="F77" s="18" t="s">
        <v>1062</v>
      </c>
      <c r="G77" s="16"/>
      <c r="H77" s="16"/>
      <c r="I77" s="16"/>
      <c r="J77" s="16"/>
      <c r="K77" s="16"/>
      <c r="L77" s="16"/>
      <c r="M77" s="16"/>
      <c r="N77" s="16"/>
      <c r="O77" s="16"/>
      <c r="P77" s="16"/>
      <c r="Q77" s="16"/>
      <c r="R77" s="16"/>
      <c r="S77" s="16"/>
      <c r="T77" s="16"/>
      <c r="U77" s="16"/>
      <c r="V77" s="16"/>
      <c r="W77" s="16"/>
      <c r="X77" s="16"/>
      <c r="Y77" s="16"/>
      <c r="Z77" s="16"/>
      <c r="AA77" s="16"/>
    </row>
    <row r="78">
      <c r="A78" s="16" t="s">
        <v>980</v>
      </c>
      <c r="B78" s="16" t="s">
        <v>98</v>
      </c>
      <c r="C78" s="17">
        <v>4.7915105190026E13</v>
      </c>
      <c r="D78" s="16" t="s">
        <v>470</v>
      </c>
      <c r="E78" s="16" t="str">
        <f t="shared" si="1"/>
        <v>LUXEADAPT-2-0-SOFTQueen</v>
      </c>
      <c r="F78" s="18" t="s">
        <v>1218</v>
      </c>
      <c r="G78" s="16"/>
      <c r="H78" s="16"/>
      <c r="I78" s="16"/>
      <c r="J78" s="16"/>
      <c r="K78" s="16"/>
      <c r="L78" s="16"/>
      <c r="M78" s="16"/>
      <c r="N78" s="16"/>
      <c r="O78" s="16"/>
      <c r="P78" s="16"/>
      <c r="Q78" s="16"/>
      <c r="R78" s="16"/>
      <c r="S78" s="16"/>
      <c r="T78" s="16"/>
      <c r="U78" s="16"/>
      <c r="V78" s="16"/>
      <c r="W78" s="16"/>
      <c r="X78" s="16"/>
      <c r="Y78" s="16"/>
      <c r="Z78" s="16"/>
      <c r="AA78" s="16"/>
    </row>
    <row r="79">
      <c r="A79" s="16" t="s">
        <v>980</v>
      </c>
      <c r="B79" s="16" t="s">
        <v>98</v>
      </c>
      <c r="C79" s="17">
        <v>4.7915105222794E13</v>
      </c>
      <c r="D79" s="16" t="s">
        <v>568</v>
      </c>
      <c r="E79" s="16" t="str">
        <f t="shared" si="1"/>
        <v>LUXEADAPT-2-0-SOFTKing</v>
      </c>
      <c r="F79" s="18" t="s">
        <v>1276</v>
      </c>
      <c r="G79" s="16"/>
      <c r="H79" s="16"/>
      <c r="I79" s="16"/>
      <c r="J79" s="16"/>
      <c r="K79" s="16"/>
      <c r="L79" s="16"/>
      <c r="M79" s="16"/>
      <c r="N79" s="16"/>
      <c r="O79" s="16"/>
      <c r="P79" s="16"/>
      <c r="Q79" s="16"/>
      <c r="R79" s="16"/>
      <c r="S79" s="16"/>
      <c r="T79" s="16"/>
      <c r="U79" s="16"/>
      <c r="V79" s="16"/>
      <c r="W79" s="16"/>
      <c r="X79" s="16"/>
      <c r="Y79" s="16"/>
      <c r="Z79" s="16"/>
      <c r="AA79" s="16"/>
    </row>
    <row r="80">
      <c r="A80" s="16" t="s">
        <v>980</v>
      </c>
      <c r="B80" s="16" t="s">
        <v>98</v>
      </c>
      <c r="C80" s="17">
        <v>4.7915105255562E13</v>
      </c>
      <c r="D80" s="16" t="s">
        <v>670</v>
      </c>
      <c r="E80" s="16" t="str">
        <f t="shared" si="1"/>
        <v>LUXEADAPT-2-0-SOFTCalifornia King</v>
      </c>
      <c r="F80" s="18" t="s">
        <v>1358</v>
      </c>
      <c r="G80" s="16"/>
      <c r="H80" s="16"/>
      <c r="I80" s="16"/>
      <c r="J80" s="16"/>
      <c r="K80" s="16"/>
      <c r="L80" s="16"/>
      <c r="M80" s="16"/>
      <c r="N80" s="16"/>
      <c r="O80" s="16"/>
      <c r="P80" s="16"/>
      <c r="Q80" s="16"/>
      <c r="R80" s="16"/>
      <c r="S80" s="16"/>
      <c r="T80" s="16"/>
      <c r="U80" s="16"/>
      <c r="V80" s="16"/>
      <c r="W80" s="16"/>
      <c r="X80" s="16"/>
      <c r="Y80" s="16"/>
      <c r="Z80" s="16"/>
      <c r="AA80" s="16"/>
    </row>
    <row r="81">
      <c r="A81" s="16" t="s">
        <v>980</v>
      </c>
      <c r="B81" s="16" t="s">
        <v>98</v>
      </c>
      <c r="C81" s="17">
        <v>4.791510528833E13</v>
      </c>
      <c r="D81" s="16" t="s">
        <v>710</v>
      </c>
      <c r="E81" s="16" t="str">
        <f t="shared" si="1"/>
        <v>LUXEADAPT-2-0-SOFTSplit California King</v>
      </c>
      <c r="F81" s="18" t="s">
        <v>1392</v>
      </c>
      <c r="G81" s="16"/>
      <c r="H81" s="16"/>
      <c r="I81" s="16"/>
      <c r="J81" s="16"/>
      <c r="K81" s="16"/>
      <c r="L81" s="16"/>
      <c r="M81" s="16"/>
      <c r="N81" s="16"/>
      <c r="O81" s="16"/>
      <c r="P81" s="16"/>
      <c r="Q81" s="16"/>
      <c r="R81" s="16"/>
      <c r="S81" s="16"/>
      <c r="T81" s="16"/>
      <c r="U81" s="16"/>
      <c r="V81" s="16"/>
      <c r="W81" s="16"/>
      <c r="X81" s="16"/>
      <c r="Y81" s="16"/>
      <c r="Z81" s="16"/>
      <c r="AA81" s="16"/>
    </row>
    <row r="82">
      <c r="A82" s="16" t="s">
        <v>981</v>
      </c>
      <c r="B82" s="16" t="s">
        <v>103</v>
      </c>
      <c r="C82" s="17">
        <v>4.7915105386634E13</v>
      </c>
      <c r="D82" s="16" t="s">
        <v>32</v>
      </c>
      <c r="E82" s="16" t="str">
        <f t="shared" si="1"/>
        <v>LUXEADAPT-2-0-MEDIUM-HYBRIDTwin XL</v>
      </c>
      <c r="F82" s="18" t="s">
        <v>1063</v>
      </c>
      <c r="G82" s="16"/>
      <c r="H82" s="16"/>
      <c r="I82" s="16"/>
      <c r="J82" s="16"/>
      <c r="K82" s="16"/>
      <c r="L82" s="16"/>
      <c r="M82" s="16"/>
      <c r="N82" s="16"/>
      <c r="O82" s="16"/>
      <c r="P82" s="16"/>
      <c r="Q82" s="16"/>
      <c r="R82" s="16"/>
      <c r="S82" s="16"/>
      <c r="T82" s="16"/>
      <c r="U82" s="16"/>
      <c r="V82" s="16"/>
      <c r="W82" s="16"/>
      <c r="X82" s="16"/>
      <c r="Y82" s="16"/>
      <c r="Z82" s="16"/>
      <c r="AA82" s="16"/>
    </row>
    <row r="83">
      <c r="A83" s="16" t="s">
        <v>981</v>
      </c>
      <c r="B83" s="16" t="s">
        <v>103</v>
      </c>
      <c r="C83" s="17">
        <v>4.7915105419402E13</v>
      </c>
      <c r="D83" s="16" t="s">
        <v>470</v>
      </c>
      <c r="E83" s="16" t="str">
        <f t="shared" si="1"/>
        <v>LUXEADAPT-2-0-MEDIUM-HYBRIDQueen</v>
      </c>
      <c r="F83" s="18" t="s">
        <v>1219</v>
      </c>
      <c r="G83" s="16"/>
      <c r="H83" s="16"/>
      <c r="I83" s="16"/>
      <c r="J83" s="16"/>
      <c r="K83" s="16"/>
      <c r="L83" s="16"/>
      <c r="M83" s="16"/>
      <c r="N83" s="16"/>
      <c r="O83" s="16"/>
      <c r="P83" s="16"/>
      <c r="Q83" s="16"/>
      <c r="R83" s="16"/>
      <c r="S83" s="16"/>
      <c r="T83" s="16"/>
      <c r="U83" s="16"/>
      <c r="V83" s="16"/>
      <c r="W83" s="16"/>
      <c r="X83" s="16"/>
      <c r="Y83" s="16"/>
      <c r="Z83" s="16"/>
      <c r="AA83" s="16"/>
    </row>
    <row r="84">
      <c r="A84" s="16" t="s">
        <v>981</v>
      </c>
      <c r="B84" s="16" t="s">
        <v>103</v>
      </c>
      <c r="C84" s="17">
        <v>4.791510545217E13</v>
      </c>
      <c r="D84" s="16" t="s">
        <v>568</v>
      </c>
      <c r="E84" s="16" t="str">
        <f t="shared" si="1"/>
        <v>LUXEADAPT-2-0-MEDIUM-HYBRIDKing</v>
      </c>
      <c r="F84" s="18" t="s">
        <v>1277</v>
      </c>
      <c r="G84" s="16"/>
      <c r="H84" s="16"/>
      <c r="I84" s="16"/>
      <c r="J84" s="16"/>
      <c r="K84" s="16"/>
      <c r="L84" s="16"/>
      <c r="M84" s="16"/>
      <c r="N84" s="16"/>
      <c r="O84" s="16"/>
      <c r="P84" s="16"/>
      <c r="Q84" s="16"/>
      <c r="R84" s="16"/>
      <c r="S84" s="16"/>
      <c r="T84" s="16"/>
      <c r="U84" s="16"/>
      <c r="V84" s="16"/>
      <c r="W84" s="16"/>
      <c r="X84" s="16"/>
      <c r="Y84" s="16"/>
      <c r="Z84" s="16"/>
      <c r="AA84" s="16"/>
    </row>
    <row r="85">
      <c r="A85" s="16" t="s">
        <v>981</v>
      </c>
      <c r="B85" s="16" t="s">
        <v>103</v>
      </c>
      <c r="C85" s="17">
        <v>4.7915105484938E13</v>
      </c>
      <c r="D85" s="16" t="s">
        <v>670</v>
      </c>
      <c r="E85" s="16" t="str">
        <f t="shared" si="1"/>
        <v>LUXEADAPT-2-0-MEDIUM-HYBRIDCalifornia King</v>
      </c>
      <c r="F85" s="18" t="s">
        <v>1359</v>
      </c>
      <c r="G85" s="16"/>
      <c r="H85" s="16"/>
      <c r="I85" s="16"/>
      <c r="J85" s="16"/>
      <c r="K85" s="16"/>
      <c r="L85" s="16"/>
      <c r="M85" s="16"/>
      <c r="N85" s="16"/>
      <c r="O85" s="16"/>
      <c r="P85" s="16"/>
      <c r="Q85" s="16"/>
      <c r="R85" s="16"/>
      <c r="S85" s="16"/>
      <c r="T85" s="16"/>
      <c r="U85" s="16"/>
      <c r="V85" s="16"/>
      <c r="W85" s="16"/>
      <c r="X85" s="16"/>
      <c r="Y85" s="16"/>
      <c r="Z85" s="16"/>
      <c r="AA85" s="16"/>
    </row>
    <row r="86">
      <c r="A86" s="16" t="s">
        <v>982</v>
      </c>
      <c r="B86" s="16" t="s">
        <v>108</v>
      </c>
      <c r="C86" s="17">
        <v>4.7915105583242E13</v>
      </c>
      <c r="D86" s="16" t="s">
        <v>32</v>
      </c>
      <c r="E86" s="16" t="str">
        <f t="shared" si="1"/>
        <v>LUXEBREEZE-2-0-FIRMTwin XL</v>
      </c>
      <c r="F86" s="18" t="s">
        <v>1064</v>
      </c>
      <c r="G86" s="16"/>
      <c r="H86" s="16"/>
      <c r="I86" s="16"/>
      <c r="J86" s="16"/>
      <c r="K86" s="16"/>
      <c r="L86" s="16"/>
      <c r="M86" s="16"/>
      <c r="N86" s="16"/>
      <c r="O86" s="16"/>
      <c r="P86" s="16"/>
      <c r="Q86" s="16"/>
      <c r="R86" s="16"/>
      <c r="S86" s="16"/>
      <c r="T86" s="16"/>
      <c r="U86" s="16"/>
      <c r="V86" s="16"/>
      <c r="W86" s="16"/>
      <c r="X86" s="16"/>
      <c r="Y86" s="16"/>
      <c r="Z86" s="16"/>
      <c r="AA86" s="16"/>
    </row>
    <row r="87">
      <c r="A87" s="16" t="s">
        <v>982</v>
      </c>
      <c r="B87" s="16" t="s">
        <v>108</v>
      </c>
      <c r="C87" s="17">
        <v>4.791510561601E13</v>
      </c>
      <c r="D87" s="16" t="s">
        <v>470</v>
      </c>
      <c r="E87" s="16" t="str">
        <f t="shared" si="1"/>
        <v>LUXEBREEZE-2-0-FIRMQueen</v>
      </c>
      <c r="F87" s="18" t="s">
        <v>1220</v>
      </c>
      <c r="G87" s="16"/>
      <c r="H87" s="16"/>
      <c r="I87" s="16"/>
      <c r="J87" s="16"/>
      <c r="K87" s="16"/>
      <c r="L87" s="16"/>
      <c r="M87" s="16"/>
      <c r="N87" s="16"/>
      <c r="O87" s="16"/>
      <c r="P87" s="16"/>
      <c r="Q87" s="16"/>
      <c r="R87" s="16"/>
      <c r="S87" s="16"/>
      <c r="T87" s="16"/>
      <c r="U87" s="16"/>
      <c r="V87" s="16"/>
      <c r="W87" s="16"/>
      <c r="X87" s="16"/>
      <c r="Y87" s="16"/>
      <c r="Z87" s="16"/>
      <c r="AA87" s="16"/>
    </row>
    <row r="88">
      <c r="A88" s="16" t="s">
        <v>982</v>
      </c>
      <c r="B88" s="16" t="s">
        <v>108</v>
      </c>
      <c r="C88" s="17">
        <v>4.7915105648778E13</v>
      </c>
      <c r="D88" s="16" t="s">
        <v>568</v>
      </c>
      <c r="E88" s="16" t="str">
        <f t="shared" si="1"/>
        <v>LUXEBREEZE-2-0-FIRMKing</v>
      </c>
      <c r="F88" s="18" t="s">
        <v>1278</v>
      </c>
      <c r="G88" s="16"/>
      <c r="H88" s="16"/>
      <c r="I88" s="16"/>
      <c r="J88" s="16"/>
      <c r="K88" s="16"/>
      <c r="L88" s="16"/>
      <c r="M88" s="16"/>
      <c r="N88" s="16"/>
      <c r="O88" s="16"/>
      <c r="P88" s="16"/>
      <c r="Q88" s="16"/>
      <c r="R88" s="16"/>
      <c r="S88" s="16"/>
      <c r="T88" s="16"/>
      <c r="U88" s="16"/>
      <c r="V88" s="16"/>
      <c r="W88" s="16"/>
      <c r="X88" s="16"/>
      <c r="Y88" s="16"/>
      <c r="Z88" s="16"/>
      <c r="AA88" s="16"/>
    </row>
    <row r="89">
      <c r="A89" s="16" t="s">
        <v>982</v>
      </c>
      <c r="B89" s="16" t="s">
        <v>108</v>
      </c>
      <c r="C89" s="17">
        <v>4.7915105681546E13</v>
      </c>
      <c r="D89" s="16" t="s">
        <v>670</v>
      </c>
      <c r="E89" s="16" t="str">
        <f t="shared" si="1"/>
        <v>LUXEBREEZE-2-0-FIRMCalifornia King</v>
      </c>
      <c r="F89" s="18" t="s">
        <v>1360</v>
      </c>
      <c r="G89" s="16"/>
      <c r="H89" s="16"/>
      <c r="I89" s="16"/>
      <c r="J89" s="16"/>
      <c r="K89" s="16"/>
      <c r="L89" s="16"/>
      <c r="M89" s="16"/>
      <c r="N89" s="16"/>
      <c r="O89" s="16"/>
      <c r="P89" s="16"/>
      <c r="Q89" s="16"/>
      <c r="R89" s="16"/>
      <c r="S89" s="16"/>
      <c r="T89" s="16"/>
      <c r="U89" s="16"/>
      <c r="V89" s="16"/>
      <c r="W89" s="16"/>
      <c r="X89" s="16"/>
      <c r="Y89" s="16"/>
      <c r="Z89" s="16"/>
      <c r="AA89" s="16"/>
    </row>
    <row r="90">
      <c r="A90" s="16" t="s">
        <v>982</v>
      </c>
      <c r="B90" s="16" t="s">
        <v>108</v>
      </c>
      <c r="C90" s="17">
        <v>4.7915105714314E13</v>
      </c>
      <c r="D90" s="16" t="s">
        <v>710</v>
      </c>
      <c r="E90" s="16" t="str">
        <f t="shared" si="1"/>
        <v>LUXEBREEZE-2-0-FIRMSplit California King</v>
      </c>
      <c r="F90" s="18" t="s">
        <v>1393</v>
      </c>
      <c r="G90" s="16"/>
      <c r="H90" s="16"/>
      <c r="I90" s="16"/>
      <c r="J90" s="16"/>
      <c r="K90" s="16"/>
      <c r="L90" s="16"/>
      <c r="M90" s="16"/>
      <c r="N90" s="16"/>
      <c r="O90" s="16"/>
      <c r="P90" s="16"/>
      <c r="Q90" s="16"/>
      <c r="R90" s="16"/>
      <c r="S90" s="16"/>
      <c r="T90" s="16"/>
      <c r="U90" s="16"/>
      <c r="V90" s="16"/>
      <c r="W90" s="16"/>
      <c r="X90" s="16"/>
      <c r="Y90" s="16"/>
      <c r="Z90" s="16"/>
      <c r="AA90" s="16"/>
    </row>
    <row r="91">
      <c r="A91" s="16" t="s">
        <v>982</v>
      </c>
      <c r="B91" s="16" t="s">
        <v>108</v>
      </c>
      <c r="C91" s="17">
        <v>4.7915105747082E13</v>
      </c>
      <c r="D91" s="16" t="s">
        <v>697</v>
      </c>
      <c r="E91" s="16" t="str">
        <f t="shared" si="1"/>
        <v>LUXEBREEZE-2-0-FIRMSplit Head King</v>
      </c>
      <c r="F91" s="18" t="s">
        <v>1405</v>
      </c>
      <c r="G91" s="16"/>
      <c r="H91" s="16"/>
      <c r="I91" s="16"/>
      <c r="J91" s="16"/>
      <c r="K91" s="16"/>
      <c r="L91" s="16"/>
      <c r="M91" s="16"/>
      <c r="N91" s="16"/>
      <c r="O91" s="16"/>
      <c r="P91" s="16"/>
      <c r="Q91" s="16"/>
      <c r="R91" s="16"/>
      <c r="S91" s="16"/>
      <c r="T91" s="16"/>
      <c r="U91" s="16"/>
      <c r="V91" s="16"/>
      <c r="W91" s="16"/>
      <c r="X91" s="16"/>
      <c r="Y91" s="16"/>
      <c r="Z91" s="16"/>
      <c r="AA91" s="16"/>
    </row>
    <row r="92">
      <c r="A92" s="16" t="s">
        <v>983</v>
      </c>
      <c r="B92" s="16" t="s">
        <v>1426</v>
      </c>
      <c r="C92" s="17">
        <v>4.7915105910922E13</v>
      </c>
      <c r="D92" s="16" t="s">
        <v>32</v>
      </c>
      <c r="E92" s="16" t="str">
        <f t="shared" si="1"/>
        <v>TUFT-NEEDLE-STITCH-TN3-1Twin XL</v>
      </c>
      <c r="F92" s="18" t="s">
        <v>1065</v>
      </c>
      <c r="G92" s="16"/>
      <c r="H92" s="16"/>
      <c r="I92" s="16"/>
      <c r="J92" s="16"/>
      <c r="K92" s="16"/>
      <c r="L92" s="16"/>
      <c r="M92" s="16"/>
      <c r="N92" s="16"/>
      <c r="O92" s="16"/>
      <c r="P92" s="16"/>
      <c r="Q92" s="16"/>
      <c r="R92" s="16"/>
      <c r="S92" s="16"/>
      <c r="T92" s="16"/>
      <c r="U92" s="16"/>
      <c r="V92" s="16"/>
      <c r="W92" s="16"/>
      <c r="X92" s="16"/>
      <c r="Y92" s="16"/>
      <c r="Z92" s="16"/>
      <c r="AA92" s="16"/>
    </row>
    <row r="93">
      <c r="A93" s="16" t="s">
        <v>983</v>
      </c>
      <c r="B93" s="16" t="s">
        <v>1426</v>
      </c>
      <c r="C93" s="17">
        <v>4.791510594369E13</v>
      </c>
      <c r="D93" s="16" t="s">
        <v>242</v>
      </c>
      <c r="E93" s="16" t="str">
        <f t="shared" si="1"/>
        <v>TUFT-NEEDLE-STITCH-TN3-1Twin</v>
      </c>
      <c r="F93" s="18" t="s">
        <v>1111</v>
      </c>
      <c r="G93" s="16"/>
      <c r="H93" s="16"/>
      <c r="I93" s="16"/>
      <c r="J93" s="16"/>
      <c r="K93" s="16"/>
      <c r="L93" s="16"/>
      <c r="M93" s="16"/>
      <c r="N93" s="16"/>
      <c r="O93" s="16"/>
      <c r="P93" s="16"/>
      <c r="Q93" s="16"/>
      <c r="R93" s="16"/>
      <c r="S93" s="16"/>
      <c r="T93" s="16"/>
      <c r="U93" s="16"/>
      <c r="V93" s="16"/>
      <c r="W93" s="16"/>
      <c r="X93" s="16"/>
      <c r="Y93" s="16"/>
      <c r="Z93" s="16"/>
      <c r="AA93" s="16"/>
    </row>
    <row r="94">
      <c r="A94" s="16" t="s">
        <v>983</v>
      </c>
      <c r="B94" s="16" t="s">
        <v>1426</v>
      </c>
      <c r="C94" s="17">
        <v>4.7915105976458E13</v>
      </c>
      <c r="D94" s="16" t="s">
        <v>373</v>
      </c>
      <c r="E94" s="16" t="str">
        <f t="shared" si="1"/>
        <v>TUFT-NEEDLE-STITCH-TN3-1Full</v>
      </c>
      <c r="F94" s="18" t="s">
        <v>1161</v>
      </c>
      <c r="G94" s="16"/>
      <c r="H94" s="16"/>
      <c r="I94" s="16"/>
      <c r="J94" s="16"/>
      <c r="K94" s="16"/>
      <c r="L94" s="16"/>
      <c r="M94" s="16"/>
      <c r="N94" s="16"/>
      <c r="O94" s="16"/>
      <c r="P94" s="16"/>
      <c r="Q94" s="16"/>
      <c r="R94" s="16"/>
      <c r="S94" s="16"/>
      <c r="T94" s="16"/>
      <c r="U94" s="16"/>
      <c r="V94" s="16"/>
      <c r="W94" s="16"/>
      <c r="X94" s="16"/>
      <c r="Y94" s="16"/>
      <c r="Z94" s="16"/>
      <c r="AA94" s="16"/>
    </row>
    <row r="95">
      <c r="A95" s="16" t="s">
        <v>983</v>
      </c>
      <c r="B95" s="16" t="s">
        <v>1426</v>
      </c>
      <c r="C95" s="17">
        <v>4.7915106009226E13</v>
      </c>
      <c r="D95" s="16" t="s">
        <v>470</v>
      </c>
      <c r="E95" s="16" t="str">
        <f t="shared" si="1"/>
        <v>TUFT-NEEDLE-STITCH-TN3-1Queen</v>
      </c>
      <c r="F95" s="18" t="s">
        <v>1221</v>
      </c>
      <c r="G95" s="16"/>
      <c r="H95" s="16"/>
      <c r="I95" s="16"/>
      <c r="J95" s="16"/>
      <c r="K95" s="16"/>
      <c r="L95" s="16"/>
      <c r="M95" s="16"/>
      <c r="N95" s="16"/>
      <c r="O95" s="16"/>
      <c r="P95" s="16"/>
      <c r="Q95" s="16"/>
      <c r="R95" s="16"/>
      <c r="S95" s="16"/>
      <c r="T95" s="16"/>
      <c r="U95" s="16"/>
      <c r="V95" s="16"/>
      <c r="W95" s="16"/>
      <c r="X95" s="16"/>
      <c r="Y95" s="16"/>
      <c r="Z95" s="16"/>
      <c r="AA95" s="16"/>
    </row>
    <row r="96">
      <c r="A96" s="16" t="s">
        <v>983</v>
      </c>
      <c r="B96" s="16" t="s">
        <v>1426</v>
      </c>
      <c r="C96" s="17">
        <v>4.7915106041994E13</v>
      </c>
      <c r="D96" s="16" t="s">
        <v>568</v>
      </c>
      <c r="E96" s="16" t="str">
        <f t="shared" si="1"/>
        <v>TUFT-NEEDLE-STITCH-TN3-1King</v>
      </c>
      <c r="F96" s="18" t="s">
        <v>1279</v>
      </c>
      <c r="G96" s="16"/>
      <c r="H96" s="16"/>
      <c r="I96" s="16"/>
      <c r="J96" s="16"/>
      <c r="K96" s="16"/>
      <c r="L96" s="16"/>
      <c r="M96" s="16"/>
      <c r="N96" s="16"/>
      <c r="O96" s="16"/>
      <c r="P96" s="16"/>
      <c r="Q96" s="16"/>
      <c r="R96" s="16"/>
      <c r="S96" s="16"/>
      <c r="T96" s="16"/>
      <c r="U96" s="16"/>
      <c r="V96" s="16"/>
      <c r="W96" s="16"/>
      <c r="X96" s="16"/>
      <c r="Y96" s="16"/>
      <c r="Z96" s="16"/>
      <c r="AA96" s="16"/>
    </row>
    <row r="97">
      <c r="A97" s="16" t="s">
        <v>983</v>
      </c>
      <c r="B97" s="16" t="s">
        <v>1426</v>
      </c>
      <c r="C97" s="17">
        <v>4.7915106074762E13</v>
      </c>
      <c r="D97" s="16" t="s">
        <v>728</v>
      </c>
      <c r="E97" s="16" t="str">
        <f t="shared" si="1"/>
        <v>TUFT-NEEDLE-STITCH-TN3-1Cali King</v>
      </c>
      <c r="F97" s="18" t="s">
        <v>1361</v>
      </c>
      <c r="G97" s="16"/>
      <c r="H97" s="16"/>
      <c r="I97" s="16"/>
      <c r="J97" s="16"/>
      <c r="K97" s="16"/>
      <c r="L97" s="16"/>
      <c r="M97" s="16"/>
      <c r="N97" s="16"/>
      <c r="O97" s="16"/>
      <c r="P97" s="16"/>
      <c r="Q97" s="16"/>
      <c r="R97" s="16"/>
      <c r="S97" s="16"/>
      <c r="T97" s="16"/>
      <c r="U97" s="16"/>
      <c r="V97" s="16"/>
      <c r="W97" s="16"/>
      <c r="X97" s="16"/>
      <c r="Y97" s="16"/>
      <c r="Z97" s="16"/>
      <c r="AA97" s="16"/>
    </row>
    <row r="98">
      <c r="A98" s="16" t="s">
        <v>984</v>
      </c>
      <c r="B98" s="16" t="s">
        <v>1427</v>
      </c>
      <c r="C98" s="17">
        <v>4.7915106140298E13</v>
      </c>
      <c r="D98" s="16" t="s">
        <v>32</v>
      </c>
      <c r="E98" s="16" t="str">
        <f t="shared" si="1"/>
        <v>TUFT-NEEDLE-STITCH-TN5-1Twin XL</v>
      </c>
      <c r="F98" s="18" t="s">
        <v>1066</v>
      </c>
      <c r="G98" s="16"/>
      <c r="H98" s="16"/>
      <c r="I98" s="16"/>
      <c r="J98" s="16"/>
      <c r="K98" s="16"/>
      <c r="L98" s="16"/>
      <c r="M98" s="16"/>
      <c r="N98" s="16"/>
      <c r="O98" s="16"/>
      <c r="P98" s="16"/>
      <c r="Q98" s="16"/>
      <c r="R98" s="16"/>
      <c r="S98" s="16"/>
      <c r="T98" s="16"/>
      <c r="U98" s="16"/>
      <c r="V98" s="16"/>
      <c r="W98" s="16"/>
      <c r="X98" s="16"/>
      <c r="Y98" s="16"/>
      <c r="Z98" s="16"/>
      <c r="AA98" s="16"/>
    </row>
    <row r="99">
      <c r="A99" s="16" t="s">
        <v>984</v>
      </c>
      <c r="B99" s="16" t="s">
        <v>1427</v>
      </c>
      <c r="C99" s="17">
        <v>4.7915106173066E13</v>
      </c>
      <c r="D99" s="16" t="s">
        <v>242</v>
      </c>
      <c r="E99" s="16" t="str">
        <f t="shared" si="1"/>
        <v>TUFT-NEEDLE-STITCH-TN5-1Twin</v>
      </c>
      <c r="F99" s="18" t="s">
        <v>1112</v>
      </c>
      <c r="G99" s="16"/>
      <c r="H99" s="16"/>
      <c r="I99" s="16"/>
      <c r="J99" s="16"/>
      <c r="K99" s="16"/>
      <c r="L99" s="16"/>
      <c r="M99" s="16"/>
      <c r="N99" s="16"/>
      <c r="O99" s="16"/>
      <c r="P99" s="16"/>
      <c r="Q99" s="16"/>
      <c r="R99" s="16"/>
      <c r="S99" s="16"/>
      <c r="T99" s="16"/>
      <c r="U99" s="16"/>
      <c r="V99" s="16"/>
      <c r="W99" s="16"/>
      <c r="X99" s="16"/>
      <c r="Y99" s="16"/>
      <c r="Z99" s="16"/>
      <c r="AA99" s="16"/>
    </row>
    <row r="100">
      <c r="A100" s="16" t="s">
        <v>984</v>
      </c>
      <c r="B100" s="16" t="s">
        <v>1427</v>
      </c>
      <c r="C100" s="17">
        <v>4.7915106205834E13</v>
      </c>
      <c r="D100" s="16" t="s">
        <v>373</v>
      </c>
      <c r="E100" s="16" t="str">
        <f t="shared" si="1"/>
        <v>TUFT-NEEDLE-STITCH-TN5-1Full</v>
      </c>
      <c r="F100" s="18" t="s">
        <v>1162</v>
      </c>
      <c r="G100" s="16"/>
      <c r="H100" s="16"/>
      <c r="I100" s="16"/>
      <c r="J100" s="16"/>
      <c r="K100" s="16"/>
      <c r="L100" s="16"/>
      <c r="M100" s="16"/>
      <c r="N100" s="16"/>
      <c r="O100" s="16"/>
      <c r="P100" s="16"/>
      <c r="Q100" s="16"/>
      <c r="R100" s="16"/>
      <c r="S100" s="16"/>
      <c r="T100" s="16"/>
      <c r="U100" s="16"/>
      <c r="V100" s="16"/>
      <c r="W100" s="16"/>
      <c r="X100" s="16"/>
      <c r="Y100" s="16"/>
      <c r="Z100" s="16"/>
      <c r="AA100" s="16"/>
    </row>
    <row r="101">
      <c r="A101" s="16" t="s">
        <v>984</v>
      </c>
      <c r="B101" s="16" t="s">
        <v>1427</v>
      </c>
      <c r="C101" s="17">
        <v>4.7915106238602E13</v>
      </c>
      <c r="D101" s="16" t="s">
        <v>470</v>
      </c>
      <c r="E101" s="16" t="str">
        <f t="shared" si="1"/>
        <v>TUFT-NEEDLE-STITCH-TN5-1Queen</v>
      </c>
      <c r="F101" s="18" t="s">
        <v>1222</v>
      </c>
      <c r="G101" s="16"/>
      <c r="H101" s="16"/>
      <c r="I101" s="16"/>
      <c r="J101" s="16"/>
      <c r="K101" s="16"/>
      <c r="L101" s="16"/>
      <c r="M101" s="16"/>
      <c r="N101" s="16"/>
      <c r="O101" s="16"/>
      <c r="P101" s="16"/>
      <c r="Q101" s="16"/>
      <c r="R101" s="16"/>
      <c r="S101" s="16"/>
      <c r="T101" s="16"/>
      <c r="U101" s="16"/>
      <c r="V101" s="16"/>
      <c r="W101" s="16"/>
      <c r="X101" s="16"/>
      <c r="Y101" s="16"/>
      <c r="Z101" s="16"/>
      <c r="AA101" s="16"/>
    </row>
    <row r="102">
      <c r="A102" s="16" t="s">
        <v>984</v>
      </c>
      <c r="B102" s="16" t="s">
        <v>1427</v>
      </c>
      <c r="C102" s="17">
        <v>4.791510627137E13</v>
      </c>
      <c r="D102" s="16" t="s">
        <v>568</v>
      </c>
      <c r="E102" s="16" t="str">
        <f t="shared" si="1"/>
        <v>TUFT-NEEDLE-STITCH-TN5-1King</v>
      </c>
      <c r="F102" s="18" t="s">
        <v>1280</v>
      </c>
      <c r="G102" s="16"/>
      <c r="H102" s="16"/>
      <c r="I102" s="16"/>
      <c r="J102" s="16"/>
      <c r="K102" s="16"/>
      <c r="L102" s="16"/>
      <c r="M102" s="16"/>
      <c r="N102" s="16"/>
      <c r="O102" s="16"/>
      <c r="P102" s="16"/>
      <c r="Q102" s="16"/>
      <c r="R102" s="16"/>
      <c r="S102" s="16"/>
      <c r="T102" s="16"/>
      <c r="U102" s="16"/>
      <c r="V102" s="16"/>
      <c r="W102" s="16"/>
      <c r="X102" s="16"/>
      <c r="Y102" s="16"/>
      <c r="Z102" s="16"/>
      <c r="AA102" s="16"/>
    </row>
    <row r="103">
      <c r="A103" s="16" t="s">
        <v>984</v>
      </c>
      <c r="B103" s="16" t="s">
        <v>1427</v>
      </c>
      <c r="C103" s="17">
        <v>4.7915106304138E13</v>
      </c>
      <c r="D103" s="16" t="s">
        <v>728</v>
      </c>
      <c r="E103" s="16" t="str">
        <f t="shared" si="1"/>
        <v>TUFT-NEEDLE-STITCH-TN5-1Cali King</v>
      </c>
      <c r="F103" s="18" t="s">
        <v>1362</v>
      </c>
      <c r="G103" s="16"/>
      <c r="H103" s="16"/>
      <c r="I103" s="16"/>
      <c r="J103" s="16"/>
      <c r="K103" s="16"/>
      <c r="L103" s="16"/>
      <c r="M103" s="16"/>
      <c r="N103" s="16"/>
      <c r="O103" s="16"/>
      <c r="P103" s="16"/>
      <c r="Q103" s="16"/>
      <c r="R103" s="16"/>
      <c r="S103" s="16"/>
      <c r="T103" s="16"/>
      <c r="U103" s="16"/>
      <c r="V103" s="16"/>
      <c r="W103" s="16"/>
      <c r="X103" s="16"/>
      <c r="Y103" s="16"/>
      <c r="Z103" s="16"/>
      <c r="AA103" s="16"/>
    </row>
    <row r="104">
      <c r="A104" s="16" t="s">
        <v>985</v>
      </c>
      <c r="B104" s="16" t="s">
        <v>1428</v>
      </c>
      <c r="C104" s="17">
        <v>4.7915106566282E13</v>
      </c>
      <c r="D104" s="16" t="s">
        <v>32</v>
      </c>
      <c r="E104" s="16" t="str">
        <f t="shared" si="1"/>
        <v>TUFT-NEEDLE-STITCH-TN9-1Twin XL</v>
      </c>
      <c r="F104" s="18" t="s">
        <v>1067</v>
      </c>
      <c r="G104" s="16"/>
      <c r="H104" s="16"/>
      <c r="I104" s="16"/>
      <c r="J104" s="16"/>
      <c r="K104" s="16"/>
      <c r="L104" s="16"/>
      <c r="M104" s="16"/>
      <c r="N104" s="16"/>
      <c r="O104" s="16"/>
      <c r="P104" s="16"/>
      <c r="Q104" s="16"/>
      <c r="R104" s="16"/>
      <c r="S104" s="16"/>
      <c r="T104" s="16"/>
      <c r="U104" s="16"/>
      <c r="V104" s="16"/>
      <c r="W104" s="16"/>
      <c r="X104" s="16"/>
      <c r="Y104" s="16"/>
      <c r="Z104" s="16"/>
      <c r="AA104" s="16"/>
    </row>
    <row r="105">
      <c r="A105" s="16" t="s">
        <v>985</v>
      </c>
      <c r="B105" s="16" t="s">
        <v>1428</v>
      </c>
      <c r="C105" s="17">
        <v>4.791510659905E13</v>
      </c>
      <c r="D105" s="16" t="s">
        <v>242</v>
      </c>
      <c r="E105" s="16" t="str">
        <f t="shared" si="1"/>
        <v>TUFT-NEEDLE-STITCH-TN9-1Twin</v>
      </c>
      <c r="F105" s="18" t="s">
        <v>1113</v>
      </c>
      <c r="G105" s="16"/>
      <c r="H105" s="16"/>
      <c r="I105" s="16"/>
      <c r="J105" s="16"/>
      <c r="K105" s="16"/>
      <c r="L105" s="16"/>
      <c r="M105" s="16"/>
      <c r="N105" s="16"/>
      <c r="O105" s="16"/>
      <c r="P105" s="16"/>
      <c r="Q105" s="16"/>
      <c r="R105" s="16"/>
      <c r="S105" s="16"/>
      <c r="T105" s="16"/>
      <c r="U105" s="16"/>
      <c r="V105" s="16"/>
      <c r="W105" s="16"/>
      <c r="X105" s="16"/>
      <c r="Y105" s="16"/>
      <c r="Z105" s="16"/>
      <c r="AA105" s="16"/>
    </row>
    <row r="106">
      <c r="A106" s="16" t="s">
        <v>985</v>
      </c>
      <c r="B106" s="16" t="s">
        <v>1428</v>
      </c>
      <c r="C106" s="17">
        <v>4.7915106631818E13</v>
      </c>
      <c r="D106" s="16" t="s">
        <v>373</v>
      </c>
      <c r="E106" s="16" t="str">
        <f t="shared" si="1"/>
        <v>TUFT-NEEDLE-STITCH-TN9-1Full</v>
      </c>
      <c r="F106" s="18" t="s">
        <v>1163</v>
      </c>
      <c r="G106" s="16"/>
      <c r="H106" s="16"/>
      <c r="I106" s="16"/>
      <c r="J106" s="16"/>
      <c r="K106" s="16"/>
      <c r="L106" s="16"/>
      <c r="M106" s="16"/>
      <c r="N106" s="16"/>
      <c r="O106" s="16"/>
      <c r="P106" s="16"/>
      <c r="Q106" s="16"/>
      <c r="R106" s="16"/>
      <c r="S106" s="16"/>
      <c r="T106" s="16"/>
      <c r="U106" s="16"/>
      <c r="V106" s="16"/>
      <c r="W106" s="16"/>
      <c r="X106" s="16"/>
      <c r="Y106" s="16"/>
      <c r="Z106" s="16"/>
      <c r="AA106" s="16"/>
    </row>
    <row r="107">
      <c r="A107" s="16" t="s">
        <v>985</v>
      </c>
      <c r="B107" s="16" t="s">
        <v>1428</v>
      </c>
      <c r="C107" s="17">
        <v>4.7915106664586E13</v>
      </c>
      <c r="D107" s="16" t="s">
        <v>470</v>
      </c>
      <c r="E107" s="16" t="str">
        <f t="shared" si="1"/>
        <v>TUFT-NEEDLE-STITCH-TN9-1Queen</v>
      </c>
      <c r="F107" s="18" t="s">
        <v>1223</v>
      </c>
      <c r="G107" s="16"/>
      <c r="H107" s="16"/>
      <c r="I107" s="16"/>
      <c r="J107" s="16"/>
      <c r="K107" s="16"/>
      <c r="L107" s="16"/>
      <c r="M107" s="16"/>
      <c r="N107" s="16"/>
      <c r="O107" s="16"/>
      <c r="P107" s="16"/>
      <c r="Q107" s="16"/>
      <c r="R107" s="16"/>
      <c r="S107" s="16"/>
      <c r="T107" s="16"/>
      <c r="U107" s="16"/>
      <c r="V107" s="16"/>
      <c r="W107" s="16"/>
      <c r="X107" s="16"/>
      <c r="Y107" s="16"/>
      <c r="Z107" s="16"/>
      <c r="AA107" s="16"/>
    </row>
    <row r="108">
      <c r="A108" s="16" t="s">
        <v>985</v>
      </c>
      <c r="B108" s="16" t="s">
        <v>1428</v>
      </c>
      <c r="C108" s="17">
        <v>4.7915106697354E13</v>
      </c>
      <c r="D108" s="16" t="s">
        <v>568</v>
      </c>
      <c r="E108" s="16" t="str">
        <f t="shared" si="1"/>
        <v>TUFT-NEEDLE-STITCH-TN9-1King</v>
      </c>
      <c r="F108" s="18" t="s">
        <v>1281</v>
      </c>
      <c r="G108" s="16"/>
      <c r="H108" s="16"/>
      <c r="I108" s="16"/>
      <c r="J108" s="16"/>
      <c r="K108" s="16"/>
      <c r="L108" s="16"/>
      <c r="M108" s="16"/>
      <c r="N108" s="16"/>
      <c r="O108" s="16"/>
      <c r="P108" s="16"/>
      <c r="Q108" s="16"/>
      <c r="R108" s="16"/>
      <c r="S108" s="16"/>
      <c r="T108" s="16"/>
      <c r="U108" s="16"/>
      <c r="V108" s="16"/>
      <c r="W108" s="16"/>
      <c r="X108" s="16"/>
      <c r="Y108" s="16"/>
      <c r="Z108" s="16"/>
      <c r="AA108" s="16"/>
    </row>
    <row r="109">
      <c r="A109" s="16" t="s">
        <v>985</v>
      </c>
      <c r="B109" s="16" t="s">
        <v>1428</v>
      </c>
      <c r="C109" s="17">
        <v>4.7915106730122E13</v>
      </c>
      <c r="D109" s="16" t="s">
        <v>670</v>
      </c>
      <c r="E109" s="16" t="str">
        <f t="shared" si="1"/>
        <v>TUFT-NEEDLE-STITCH-TN9-1California King</v>
      </c>
      <c r="F109" s="18" t="s">
        <v>1363</v>
      </c>
      <c r="G109" s="16"/>
      <c r="H109" s="16"/>
      <c r="I109" s="16"/>
      <c r="J109" s="16"/>
      <c r="K109" s="16"/>
      <c r="L109" s="16"/>
      <c r="M109" s="16"/>
      <c r="N109" s="16"/>
      <c r="O109" s="16"/>
      <c r="P109" s="16"/>
      <c r="Q109" s="16"/>
      <c r="R109" s="16"/>
      <c r="S109" s="16"/>
      <c r="T109" s="16"/>
      <c r="U109" s="16"/>
      <c r="V109" s="16"/>
      <c r="W109" s="16"/>
      <c r="X109" s="16"/>
      <c r="Y109" s="16"/>
      <c r="Z109" s="16"/>
      <c r="AA109" s="16"/>
    </row>
    <row r="110">
      <c r="A110" s="16" t="s">
        <v>986</v>
      </c>
      <c r="B110" s="16" t="s">
        <v>275</v>
      </c>
      <c r="C110" s="17">
        <v>4.7915106828426E13</v>
      </c>
      <c r="D110" s="16" t="s">
        <v>32</v>
      </c>
      <c r="E110" s="16" t="str">
        <f t="shared" si="1"/>
        <v>TUFT-NEEDLE-TN1Twin XL</v>
      </c>
      <c r="F110" s="18" t="s">
        <v>1068</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t="s">
        <v>986</v>
      </c>
      <c r="B111" s="16" t="s">
        <v>275</v>
      </c>
      <c r="C111" s="17">
        <v>4.7915106861194E13</v>
      </c>
      <c r="D111" s="16" t="s">
        <v>242</v>
      </c>
      <c r="E111" s="16" t="str">
        <f t="shared" si="1"/>
        <v>TUFT-NEEDLE-TN1Twin</v>
      </c>
      <c r="F111" s="18" t="s">
        <v>1115</v>
      </c>
      <c r="G111" s="16"/>
      <c r="H111" s="16"/>
      <c r="I111" s="16"/>
      <c r="J111" s="16"/>
      <c r="K111" s="16"/>
      <c r="L111" s="16"/>
      <c r="M111" s="16"/>
      <c r="N111" s="16"/>
      <c r="O111" s="16"/>
      <c r="P111" s="16"/>
      <c r="Q111" s="16"/>
      <c r="R111" s="16"/>
      <c r="S111" s="16"/>
      <c r="T111" s="16"/>
      <c r="U111" s="16"/>
      <c r="V111" s="16"/>
      <c r="W111" s="16"/>
      <c r="X111" s="16"/>
      <c r="Y111" s="16"/>
      <c r="Z111" s="16"/>
      <c r="AA111" s="16"/>
    </row>
    <row r="112">
      <c r="A112" s="16" t="s">
        <v>986</v>
      </c>
      <c r="B112" s="16" t="s">
        <v>275</v>
      </c>
      <c r="C112" s="17">
        <v>4.7915106893962E13</v>
      </c>
      <c r="D112" s="16" t="s">
        <v>373</v>
      </c>
      <c r="E112" s="16" t="str">
        <f t="shared" si="1"/>
        <v>TUFT-NEEDLE-TN1Full</v>
      </c>
      <c r="F112" s="18" t="s">
        <v>1165</v>
      </c>
      <c r="G112" s="16"/>
      <c r="H112" s="16"/>
      <c r="I112" s="16"/>
      <c r="J112" s="16"/>
      <c r="K112" s="16"/>
      <c r="L112" s="16"/>
      <c r="M112" s="16"/>
      <c r="N112" s="16"/>
      <c r="O112" s="16"/>
      <c r="P112" s="16"/>
      <c r="Q112" s="16"/>
      <c r="R112" s="16"/>
      <c r="S112" s="16"/>
      <c r="T112" s="16"/>
      <c r="U112" s="16"/>
      <c r="V112" s="16"/>
      <c r="W112" s="16"/>
      <c r="X112" s="16"/>
      <c r="Y112" s="16"/>
      <c r="Z112" s="16"/>
      <c r="AA112" s="16"/>
    </row>
    <row r="113">
      <c r="A113" s="16" t="s">
        <v>986</v>
      </c>
      <c r="B113" s="16" t="s">
        <v>275</v>
      </c>
      <c r="C113" s="17">
        <v>4.791510692673E13</v>
      </c>
      <c r="D113" s="16" t="s">
        <v>470</v>
      </c>
      <c r="E113" s="16" t="str">
        <f t="shared" si="1"/>
        <v>TUFT-NEEDLE-TN1Queen</v>
      </c>
      <c r="F113" s="18" t="s">
        <v>1224</v>
      </c>
      <c r="G113" s="16"/>
      <c r="H113" s="16"/>
      <c r="I113" s="16"/>
      <c r="J113" s="16"/>
      <c r="K113" s="16"/>
      <c r="L113" s="16"/>
      <c r="M113" s="16"/>
      <c r="N113" s="16"/>
      <c r="O113" s="16"/>
      <c r="P113" s="16"/>
      <c r="Q113" s="16"/>
      <c r="R113" s="16"/>
      <c r="S113" s="16"/>
      <c r="T113" s="16"/>
      <c r="U113" s="16"/>
      <c r="V113" s="16"/>
      <c r="W113" s="16"/>
      <c r="X113" s="16"/>
      <c r="Y113" s="16"/>
      <c r="Z113" s="16"/>
      <c r="AA113" s="16"/>
    </row>
    <row r="114">
      <c r="A114" s="16" t="s">
        <v>986</v>
      </c>
      <c r="B114" s="16" t="s">
        <v>275</v>
      </c>
      <c r="C114" s="17">
        <v>4.7915106959498E13</v>
      </c>
      <c r="D114" s="16" t="s">
        <v>568</v>
      </c>
      <c r="E114" s="16" t="str">
        <f t="shared" si="1"/>
        <v>TUFT-NEEDLE-TN1King</v>
      </c>
      <c r="F114" s="18" t="s">
        <v>1282</v>
      </c>
      <c r="G114" s="16"/>
      <c r="H114" s="16"/>
      <c r="I114" s="16"/>
      <c r="J114" s="16"/>
      <c r="K114" s="16"/>
      <c r="L114" s="16"/>
      <c r="M114" s="16"/>
      <c r="N114" s="16"/>
      <c r="O114" s="16"/>
      <c r="P114" s="16"/>
      <c r="Q114" s="16"/>
      <c r="R114" s="16"/>
      <c r="S114" s="16"/>
      <c r="T114" s="16"/>
      <c r="U114" s="16"/>
      <c r="V114" s="16"/>
      <c r="W114" s="16"/>
      <c r="X114" s="16"/>
      <c r="Y114" s="16"/>
      <c r="Z114" s="16"/>
      <c r="AA114" s="16"/>
    </row>
    <row r="115">
      <c r="A115" s="16" t="s">
        <v>986</v>
      </c>
      <c r="B115" s="16" t="s">
        <v>275</v>
      </c>
      <c r="C115" s="17">
        <v>4.7915106992266E13</v>
      </c>
      <c r="D115" s="16" t="s">
        <v>670</v>
      </c>
      <c r="E115" s="16" t="str">
        <f t="shared" si="1"/>
        <v>TUFT-NEEDLE-TN1California King</v>
      </c>
      <c r="F115" s="18" t="s">
        <v>1364</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t="s">
        <v>987</v>
      </c>
      <c r="B116" s="16" t="s">
        <v>278</v>
      </c>
      <c r="C116" s="17">
        <v>4.791510709057E13</v>
      </c>
      <c r="D116" s="16" t="s">
        <v>32</v>
      </c>
      <c r="E116" s="16" t="str">
        <f t="shared" si="1"/>
        <v>MOLECULE-CORETwin XL</v>
      </c>
      <c r="F116" s="18" t="s">
        <v>1069</v>
      </c>
      <c r="G116" s="16"/>
      <c r="H116" s="16"/>
      <c r="I116" s="16"/>
      <c r="J116" s="16"/>
      <c r="K116" s="16"/>
      <c r="L116" s="16"/>
      <c r="M116" s="16"/>
      <c r="N116" s="16"/>
      <c r="O116" s="16"/>
      <c r="P116" s="16"/>
      <c r="Q116" s="16"/>
      <c r="R116" s="16"/>
      <c r="S116" s="16"/>
      <c r="T116" s="16"/>
      <c r="U116" s="16"/>
      <c r="V116" s="16"/>
      <c r="W116" s="16"/>
      <c r="X116" s="16"/>
      <c r="Y116" s="16"/>
      <c r="Z116" s="16"/>
      <c r="AA116" s="16"/>
    </row>
    <row r="117">
      <c r="A117" s="16" t="s">
        <v>987</v>
      </c>
      <c r="B117" s="16" t="s">
        <v>278</v>
      </c>
      <c r="C117" s="17">
        <v>4.7915107123338E13</v>
      </c>
      <c r="D117" s="16" t="s">
        <v>242</v>
      </c>
      <c r="E117" s="16" t="str">
        <f t="shared" si="1"/>
        <v>MOLECULE-CORETwin</v>
      </c>
      <c r="F117" s="18" t="s">
        <v>1116</v>
      </c>
      <c r="G117" s="16"/>
      <c r="H117" s="16"/>
      <c r="I117" s="16"/>
      <c r="J117" s="16"/>
      <c r="K117" s="16"/>
      <c r="L117" s="16"/>
      <c r="M117" s="16"/>
      <c r="N117" s="16"/>
      <c r="O117" s="16"/>
      <c r="P117" s="16"/>
      <c r="Q117" s="16"/>
      <c r="R117" s="16"/>
      <c r="S117" s="16"/>
      <c r="T117" s="16"/>
      <c r="U117" s="16"/>
      <c r="V117" s="16"/>
      <c r="W117" s="16"/>
      <c r="X117" s="16"/>
      <c r="Y117" s="16"/>
      <c r="Z117" s="16"/>
      <c r="AA117" s="16"/>
    </row>
    <row r="118">
      <c r="A118" s="16" t="s">
        <v>987</v>
      </c>
      <c r="B118" s="16" t="s">
        <v>278</v>
      </c>
      <c r="C118" s="17">
        <v>4.7915107156106E13</v>
      </c>
      <c r="D118" s="16" t="s">
        <v>373</v>
      </c>
      <c r="E118" s="16" t="str">
        <f t="shared" si="1"/>
        <v>MOLECULE-COREFull</v>
      </c>
      <c r="F118" s="18" t="s">
        <v>1166</v>
      </c>
      <c r="G118" s="16"/>
      <c r="H118" s="16"/>
      <c r="I118" s="16"/>
      <c r="J118" s="16"/>
      <c r="K118" s="16"/>
      <c r="L118" s="16"/>
      <c r="M118" s="16"/>
      <c r="N118" s="16"/>
      <c r="O118" s="16"/>
      <c r="P118" s="16"/>
      <c r="Q118" s="16"/>
      <c r="R118" s="16"/>
      <c r="S118" s="16"/>
      <c r="T118" s="16"/>
      <c r="U118" s="16"/>
      <c r="V118" s="16"/>
      <c r="W118" s="16"/>
      <c r="X118" s="16"/>
      <c r="Y118" s="16"/>
      <c r="Z118" s="16"/>
      <c r="AA118" s="16"/>
    </row>
    <row r="119">
      <c r="A119" s="16" t="s">
        <v>987</v>
      </c>
      <c r="B119" s="16" t="s">
        <v>278</v>
      </c>
      <c r="C119" s="17">
        <v>4.7915107188874E13</v>
      </c>
      <c r="D119" s="16" t="s">
        <v>470</v>
      </c>
      <c r="E119" s="16" t="str">
        <f t="shared" si="1"/>
        <v>MOLECULE-COREQueen</v>
      </c>
      <c r="F119" s="18" t="s">
        <v>1225</v>
      </c>
      <c r="G119" s="16"/>
      <c r="H119" s="16"/>
      <c r="I119" s="16"/>
      <c r="J119" s="16"/>
      <c r="K119" s="16"/>
      <c r="L119" s="16"/>
      <c r="M119" s="16"/>
      <c r="N119" s="16"/>
      <c r="O119" s="16"/>
      <c r="P119" s="16"/>
      <c r="Q119" s="16"/>
      <c r="R119" s="16"/>
      <c r="S119" s="16"/>
      <c r="T119" s="16"/>
      <c r="U119" s="16"/>
      <c r="V119" s="16"/>
      <c r="W119" s="16"/>
      <c r="X119" s="16"/>
      <c r="Y119" s="16"/>
      <c r="Z119" s="16"/>
      <c r="AA119" s="16"/>
    </row>
    <row r="120">
      <c r="A120" s="16" t="s">
        <v>987</v>
      </c>
      <c r="B120" s="16" t="s">
        <v>278</v>
      </c>
      <c r="C120" s="17">
        <v>4.7915107221642E13</v>
      </c>
      <c r="D120" s="16" t="s">
        <v>568</v>
      </c>
      <c r="E120" s="16" t="str">
        <f t="shared" si="1"/>
        <v>MOLECULE-COREKing</v>
      </c>
      <c r="F120" s="18" t="s">
        <v>1283</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t="s">
        <v>988</v>
      </c>
      <c r="B121" s="16" t="s">
        <v>126</v>
      </c>
      <c r="C121" s="17">
        <v>4.7915107287178E13</v>
      </c>
      <c r="D121" s="16" t="s">
        <v>32</v>
      </c>
      <c r="E121" s="16" t="str">
        <f t="shared" si="1"/>
        <v>BROAD-PEAK-MEDIUM-HYBRIDTwin XL</v>
      </c>
      <c r="F121" s="18" t="s">
        <v>1070</v>
      </c>
      <c r="G121" s="16"/>
      <c r="H121" s="16"/>
      <c r="I121" s="16"/>
      <c r="J121" s="16"/>
      <c r="K121" s="16"/>
      <c r="L121" s="16"/>
      <c r="M121" s="16"/>
      <c r="N121" s="16"/>
      <c r="O121" s="16"/>
      <c r="P121" s="16"/>
      <c r="Q121" s="16"/>
      <c r="R121" s="16"/>
      <c r="S121" s="16"/>
      <c r="T121" s="16"/>
      <c r="U121" s="16"/>
      <c r="V121" s="16"/>
      <c r="W121" s="16"/>
      <c r="X121" s="16"/>
      <c r="Y121" s="16"/>
      <c r="Z121" s="16"/>
      <c r="AA121" s="16"/>
    </row>
    <row r="122">
      <c r="A122" s="16" t="s">
        <v>988</v>
      </c>
      <c r="B122" s="16" t="s">
        <v>126</v>
      </c>
      <c r="C122" s="17">
        <v>4.7915107319946E13</v>
      </c>
      <c r="D122" s="16" t="s">
        <v>242</v>
      </c>
      <c r="E122" s="16" t="str">
        <f t="shared" si="1"/>
        <v>BROAD-PEAK-MEDIUM-HYBRIDTwin</v>
      </c>
      <c r="F122" s="18" t="s">
        <v>1117</v>
      </c>
      <c r="G122" s="16"/>
      <c r="H122" s="16"/>
      <c r="I122" s="16"/>
      <c r="J122" s="16"/>
      <c r="K122" s="16"/>
      <c r="L122" s="16"/>
      <c r="M122" s="16"/>
      <c r="N122" s="16"/>
      <c r="O122" s="16"/>
      <c r="P122" s="16"/>
      <c r="Q122" s="16"/>
      <c r="R122" s="16"/>
      <c r="S122" s="16"/>
      <c r="T122" s="16"/>
      <c r="U122" s="16"/>
      <c r="V122" s="16"/>
      <c r="W122" s="16"/>
      <c r="X122" s="16"/>
      <c r="Y122" s="16"/>
      <c r="Z122" s="16"/>
      <c r="AA122" s="16"/>
    </row>
    <row r="123">
      <c r="A123" s="16" t="s">
        <v>988</v>
      </c>
      <c r="B123" s="16" t="s">
        <v>126</v>
      </c>
      <c r="C123" s="17">
        <v>4.7915107352714E13</v>
      </c>
      <c r="D123" s="16" t="s">
        <v>373</v>
      </c>
      <c r="E123" s="16" t="str">
        <f t="shared" si="1"/>
        <v>BROAD-PEAK-MEDIUM-HYBRIDFull</v>
      </c>
      <c r="F123" s="18" t="s">
        <v>1167</v>
      </c>
      <c r="G123" s="16"/>
      <c r="H123" s="16"/>
      <c r="I123" s="16"/>
      <c r="J123" s="16"/>
      <c r="K123" s="16"/>
      <c r="L123" s="16"/>
      <c r="M123" s="16"/>
      <c r="N123" s="16"/>
      <c r="O123" s="16"/>
      <c r="P123" s="16"/>
      <c r="Q123" s="16"/>
      <c r="R123" s="16"/>
      <c r="S123" s="16"/>
      <c r="T123" s="16"/>
      <c r="U123" s="16"/>
      <c r="V123" s="16"/>
      <c r="W123" s="16"/>
      <c r="X123" s="16"/>
      <c r="Y123" s="16"/>
      <c r="Z123" s="16"/>
      <c r="AA123" s="16"/>
    </row>
    <row r="124">
      <c r="A124" s="16" t="s">
        <v>988</v>
      </c>
      <c r="B124" s="16" t="s">
        <v>126</v>
      </c>
      <c r="C124" s="17">
        <v>4.7915107385482E13</v>
      </c>
      <c r="D124" s="16" t="s">
        <v>470</v>
      </c>
      <c r="E124" s="16" t="str">
        <f t="shared" si="1"/>
        <v>BROAD-PEAK-MEDIUM-HYBRIDQueen</v>
      </c>
      <c r="F124" s="18" t="s">
        <v>1226</v>
      </c>
      <c r="G124" s="16"/>
      <c r="H124" s="16"/>
      <c r="I124" s="16"/>
      <c r="J124" s="16"/>
      <c r="K124" s="16"/>
      <c r="L124" s="16"/>
      <c r="M124" s="16"/>
      <c r="N124" s="16"/>
      <c r="O124" s="16"/>
      <c r="P124" s="16"/>
      <c r="Q124" s="16"/>
      <c r="R124" s="16"/>
      <c r="S124" s="16"/>
      <c r="T124" s="16"/>
      <c r="U124" s="16"/>
      <c r="V124" s="16"/>
      <c r="W124" s="16"/>
      <c r="X124" s="16"/>
      <c r="Y124" s="16"/>
      <c r="Z124" s="16"/>
      <c r="AA124" s="16"/>
    </row>
    <row r="125">
      <c r="A125" s="16" t="s">
        <v>988</v>
      </c>
      <c r="B125" s="16" t="s">
        <v>126</v>
      </c>
      <c r="C125" s="17">
        <v>4.791510741825E13</v>
      </c>
      <c r="D125" s="16" t="s">
        <v>568</v>
      </c>
      <c r="E125" s="16" t="str">
        <f t="shared" si="1"/>
        <v>BROAD-PEAK-MEDIUM-HYBRIDKing</v>
      </c>
      <c r="F125" s="18" t="s">
        <v>1284</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t="s">
        <v>988</v>
      </c>
      <c r="B126" s="16" t="s">
        <v>126</v>
      </c>
      <c r="C126" s="17">
        <v>4.7915107451018E13</v>
      </c>
      <c r="D126" s="16" t="s">
        <v>670</v>
      </c>
      <c r="E126" s="16" t="str">
        <f t="shared" si="1"/>
        <v>BROAD-PEAK-MEDIUM-HYBRIDCalifornia King</v>
      </c>
      <c r="F126" s="18" t="s">
        <v>1365</v>
      </c>
      <c r="G126" s="16"/>
      <c r="H126" s="16"/>
      <c r="I126" s="16"/>
      <c r="J126" s="16"/>
      <c r="K126" s="16"/>
      <c r="L126" s="16"/>
      <c r="M126" s="16"/>
      <c r="N126" s="16"/>
      <c r="O126" s="16"/>
      <c r="P126" s="16"/>
      <c r="Q126" s="16"/>
      <c r="R126" s="16"/>
      <c r="S126" s="16"/>
      <c r="T126" s="16"/>
      <c r="U126" s="16"/>
      <c r="V126" s="16"/>
      <c r="W126" s="16"/>
      <c r="X126" s="16"/>
      <c r="Y126" s="16"/>
      <c r="Z126" s="16"/>
      <c r="AA126" s="16"/>
    </row>
    <row r="127">
      <c r="A127" s="16" t="s">
        <v>989</v>
      </c>
      <c r="B127" s="16" t="s">
        <v>408</v>
      </c>
      <c r="C127" s="17">
        <v>4.7915107516554E13</v>
      </c>
      <c r="D127" s="16" t="s">
        <v>32</v>
      </c>
      <c r="E127" s="16" t="str">
        <f t="shared" si="1"/>
        <v>BAY-DREAMERTwin XL</v>
      </c>
      <c r="F127" s="18" t="s">
        <v>1071</v>
      </c>
      <c r="G127" s="16"/>
      <c r="H127" s="16"/>
      <c r="I127" s="16"/>
      <c r="J127" s="16"/>
      <c r="K127" s="16"/>
      <c r="L127" s="16"/>
      <c r="M127" s="16"/>
      <c r="N127" s="16"/>
      <c r="O127" s="16"/>
      <c r="P127" s="16"/>
      <c r="Q127" s="16"/>
      <c r="R127" s="16"/>
      <c r="S127" s="16"/>
      <c r="T127" s="16"/>
      <c r="U127" s="16"/>
      <c r="V127" s="16"/>
      <c r="W127" s="16"/>
      <c r="X127" s="16"/>
      <c r="Y127" s="16"/>
      <c r="Z127" s="16"/>
      <c r="AA127" s="16"/>
    </row>
    <row r="128">
      <c r="A128" s="16" t="s">
        <v>989</v>
      </c>
      <c r="B128" s="16" t="s">
        <v>408</v>
      </c>
      <c r="C128" s="17">
        <v>4.7915107549322E13</v>
      </c>
      <c r="D128" s="16" t="s">
        <v>242</v>
      </c>
      <c r="E128" s="16" t="str">
        <f t="shared" si="1"/>
        <v>BAY-DREAMERTwin</v>
      </c>
      <c r="F128" s="18" t="s">
        <v>1121</v>
      </c>
      <c r="G128" s="16"/>
      <c r="H128" s="16"/>
      <c r="I128" s="16"/>
      <c r="J128" s="16"/>
      <c r="K128" s="16"/>
      <c r="L128" s="16"/>
      <c r="M128" s="16"/>
      <c r="N128" s="16"/>
      <c r="O128" s="16"/>
      <c r="P128" s="16"/>
      <c r="Q128" s="16"/>
      <c r="R128" s="16"/>
      <c r="S128" s="16"/>
      <c r="T128" s="16"/>
      <c r="U128" s="16"/>
      <c r="V128" s="16"/>
      <c r="W128" s="16"/>
      <c r="X128" s="16"/>
      <c r="Y128" s="16"/>
      <c r="Z128" s="16"/>
      <c r="AA128" s="16"/>
    </row>
    <row r="129">
      <c r="A129" s="16" t="s">
        <v>989</v>
      </c>
      <c r="B129" s="16" t="s">
        <v>408</v>
      </c>
      <c r="C129" s="17">
        <v>4.791510758209E13</v>
      </c>
      <c r="D129" s="16" t="s">
        <v>373</v>
      </c>
      <c r="E129" s="16" t="str">
        <f t="shared" si="1"/>
        <v>BAY-DREAMERFull</v>
      </c>
      <c r="F129" s="18" t="s">
        <v>1171</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t="s">
        <v>989</v>
      </c>
      <c r="B130" s="16" t="s">
        <v>408</v>
      </c>
      <c r="C130" s="17">
        <v>4.7915107614858E13</v>
      </c>
      <c r="D130" s="16" t="s">
        <v>470</v>
      </c>
      <c r="E130" s="16" t="str">
        <f t="shared" si="1"/>
        <v>BAY-DREAMERQueen</v>
      </c>
      <c r="F130" s="18" t="s">
        <v>1227</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t="s">
        <v>990</v>
      </c>
      <c r="B131" s="16" t="s">
        <v>300</v>
      </c>
      <c r="C131" s="17">
        <v>4.7915107713162E13</v>
      </c>
      <c r="D131" s="16" t="s">
        <v>32</v>
      </c>
      <c r="E131" s="16" t="str">
        <f t="shared" si="1"/>
        <v>MAKE-WAVESTwin XL</v>
      </c>
      <c r="F131" s="18" t="s">
        <v>1072</v>
      </c>
      <c r="G131" s="16"/>
      <c r="H131" s="16"/>
      <c r="I131" s="16"/>
      <c r="J131" s="16"/>
      <c r="K131" s="16"/>
      <c r="L131" s="16"/>
      <c r="M131" s="16"/>
      <c r="N131" s="16"/>
      <c r="O131" s="16"/>
      <c r="P131" s="16"/>
      <c r="Q131" s="16"/>
      <c r="R131" s="16"/>
      <c r="S131" s="16"/>
      <c r="T131" s="16"/>
      <c r="U131" s="16"/>
      <c r="V131" s="16"/>
      <c r="W131" s="16"/>
      <c r="X131" s="16"/>
      <c r="Y131" s="16"/>
      <c r="Z131" s="16"/>
      <c r="AA131" s="16"/>
    </row>
    <row r="132">
      <c r="A132" s="16" t="s">
        <v>990</v>
      </c>
      <c r="B132" s="16" t="s">
        <v>300</v>
      </c>
      <c r="C132" s="17">
        <v>4.791510774593E13</v>
      </c>
      <c r="D132" s="16" t="s">
        <v>242</v>
      </c>
      <c r="E132" s="16" t="str">
        <f t="shared" si="1"/>
        <v>MAKE-WAVESTwin</v>
      </c>
      <c r="F132" s="18" t="s">
        <v>1122</v>
      </c>
      <c r="G132" s="16"/>
      <c r="H132" s="16"/>
      <c r="I132" s="16"/>
      <c r="J132" s="16"/>
      <c r="K132" s="16"/>
      <c r="L132" s="16"/>
      <c r="M132" s="16"/>
      <c r="N132" s="16"/>
      <c r="O132" s="16"/>
      <c r="P132" s="16"/>
      <c r="Q132" s="16"/>
      <c r="R132" s="16"/>
      <c r="S132" s="16"/>
      <c r="T132" s="16"/>
      <c r="U132" s="16"/>
      <c r="V132" s="16"/>
      <c r="W132" s="16"/>
      <c r="X132" s="16"/>
      <c r="Y132" s="16"/>
      <c r="Z132" s="16"/>
      <c r="AA132" s="16"/>
    </row>
    <row r="133">
      <c r="A133" s="16" t="s">
        <v>990</v>
      </c>
      <c r="B133" s="16" t="s">
        <v>300</v>
      </c>
      <c r="C133" s="17">
        <v>4.7915107778698E13</v>
      </c>
      <c r="D133" s="16" t="s">
        <v>373</v>
      </c>
      <c r="E133" s="16" t="str">
        <f t="shared" si="1"/>
        <v>MAKE-WAVESFull</v>
      </c>
      <c r="F133" s="18" t="s">
        <v>1172</v>
      </c>
      <c r="G133" s="16"/>
      <c r="H133" s="16"/>
      <c r="I133" s="16"/>
      <c r="J133" s="16"/>
      <c r="K133" s="16"/>
      <c r="L133" s="16"/>
      <c r="M133" s="16"/>
      <c r="N133" s="16"/>
      <c r="O133" s="16"/>
      <c r="P133" s="16"/>
      <c r="Q133" s="16"/>
      <c r="R133" s="16"/>
      <c r="S133" s="16"/>
      <c r="T133" s="16"/>
      <c r="U133" s="16"/>
      <c r="V133" s="16"/>
      <c r="W133" s="16"/>
      <c r="X133" s="16"/>
      <c r="Y133" s="16"/>
      <c r="Z133" s="16"/>
      <c r="AA133" s="16"/>
    </row>
    <row r="134">
      <c r="A134" s="16" t="s">
        <v>990</v>
      </c>
      <c r="B134" s="16" t="s">
        <v>300</v>
      </c>
      <c r="C134" s="17">
        <v>4.7915107811466E13</v>
      </c>
      <c r="D134" s="16" t="s">
        <v>470</v>
      </c>
      <c r="E134" s="16" t="str">
        <f t="shared" si="1"/>
        <v>MAKE-WAVESQueen</v>
      </c>
      <c r="F134" s="18" t="s">
        <v>1228</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t="s">
        <v>991</v>
      </c>
      <c r="B135" s="16" t="s">
        <v>412</v>
      </c>
      <c r="C135" s="17">
        <v>4.7915107877002E13</v>
      </c>
      <c r="D135" s="16" t="s">
        <v>32</v>
      </c>
      <c r="E135" s="16" t="str">
        <f t="shared" si="1"/>
        <v>SEASIDE-SERENITYTwin XL</v>
      </c>
      <c r="F135" s="18" t="s">
        <v>1073</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t="s">
        <v>991</v>
      </c>
      <c r="B136" s="16" t="s">
        <v>412</v>
      </c>
      <c r="C136" s="17">
        <v>4.791510790977E13</v>
      </c>
      <c r="D136" s="16" t="s">
        <v>242</v>
      </c>
      <c r="E136" s="16" t="str">
        <f t="shared" si="1"/>
        <v>SEASIDE-SERENITYTwin</v>
      </c>
      <c r="F136" s="18" t="s">
        <v>1123</v>
      </c>
      <c r="G136" s="16"/>
      <c r="H136" s="16"/>
      <c r="I136" s="16"/>
      <c r="J136" s="16"/>
      <c r="K136" s="16"/>
      <c r="L136" s="16"/>
      <c r="M136" s="16"/>
      <c r="N136" s="16"/>
      <c r="O136" s="16"/>
      <c r="P136" s="16"/>
      <c r="Q136" s="16"/>
      <c r="R136" s="16"/>
      <c r="S136" s="16"/>
      <c r="T136" s="16"/>
      <c r="U136" s="16"/>
      <c r="V136" s="16"/>
      <c r="W136" s="16"/>
      <c r="X136" s="16"/>
      <c r="Y136" s="16"/>
      <c r="Z136" s="16"/>
      <c r="AA136" s="16"/>
    </row>
    <row r="137">
      <c r="A137" s="16" t="s">
        <v>991</v>
      </c>
      <c r="B137" s="16" t="s">
        <v>412</v>
      </c>
      <c r="C137" s="17">
        <v>4.7915107942538E13</v>
      </c>
      <c r="D137" s="16" t="s">
        <v>373</v>
      </c>
      <c r="E137" s="16" t="str">
        <f t="shared" si="1"/>
        <v>SEASIDE-SERENITYFull</v>
      </c>
      <c r="F137" s="18" t="s">
        <v>1173</v>
      </c>
      <c r="G137" s="16"/>
      <c r="H137" s="16"/>
      <c r="I137" s="16"/>
      <c r="J137" s="16"/>
      <c r="K137" s="16"/>
      <c r="L137" s="16"/>
      <c r="M137" s="16"/>
      <c r="N137" s="16"/>
      <c r="O137" s="16"/>
      <c r="P137" s="16"/>
      <c r="Q137" s="16"/>
      <c r="R137" s="16"/>
      <c r="S137" s="16"/>
      <c r="T137" s="16"/>
      <c r="U137" s="16"/>
      <c r="V137" s="16"/>
      <c r="W137" s="16"/>
      <c r="X137" s="16"/>
      <c r="Y137" s="16"/>
      <c r="Z137" s="16"/>
      <c r="AA137" s="16"/>
    </row>
    <row r="138">
      <c r="A138" s="16" t="s">
        <v>991</v>
      </c>
      <c r="B138" s="16" t="s">
        <v>412</v>
      </c>
      <c r="C138" s="17">
        <v>4.7915107975306E13</v>
      </c>
      <c r="D138" s="16" t="s">
        <v>470</v>
      </c>
      <c r="E138" s="16" t="str">
        <f t="shared" si="1"/>
        <v>SEASIDE-SERENITYQueen</v>
      </c>
      <c r="F138" s="18" t="s">
        <v>1229</v>
      </c>
      <c r="G138" s="16"/>
      <c r="H138" s="16"/>
      <c r="I138" s="16"/>
      <c r="J138" s="16"/>
      <c r="K138" s="16"/>
      <c r="L138" s="16"/>
      <c r="M138" s="16"/>
      <c r="N138" s="16"/>
      <c r="O138" s="16"/>
      <c r="P138" s="16"/>
      <c r="Q138" s="16"/>
      <c r="R138" s="16"/>
      <c r="S138" s="16"/>
      <c r="T138" s="16"/>
      <c r="U138" s="16"/>
      <c r="V138" s="16"/>
      <c r="W138" s="16"/>
      <c r="X138" s="16"/>
      <c r="Y138" s="16"/>
      <c r="Z138" s="16"/>
      <c r="AA138" s="16"/>
    </row>
    <row r="139">
      <c r="A139" s="16" t="s">
        <v>141</v>
      </c>
      <c r="B139" s="16" t="s">
        <v>140</v>
      </c>
      <c r="C139" s="17">
        <v>4.791510807361E13</v>
      </c>
      <c r="D139" s="16" t="s">
        <v>32</v>
      </c>
      <c r="E139" s="16" t="str">
        <f t="shared" si="1"/>
        <v>FORESTERTwin XL</v>
      </c>
      <c r="F139" s="18" t="s">
        <v>1074</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t="s">
        <v>141</v>
      </c>
      <c r="B140" s="16" t="s">
        <v>140</v>
      </c>
      <c r="C140" s="17">
        <v>4.7915108106378E13</v>
      </c>
      <c r="D140" s="16" t="s">
        <v>242</v>
      </c>
      <c r="E140" s="16" t="str">
        <f t="shared" si="1"/>
        <v>FORESTERTwin</v>
      </c>
      <c r="F140" s="18" t="s">
        <v>1129</v>
      </c>
      <c r="G140" s="16"/>
      <c r="H140" s="16"/>
      <c r="I140" s="16"/>
      <c r="J140" s="16"/>
      <c r="K140" s="16"/>
      <c r="L140" s="16"/>
      <c r="M140" s="16"/>
      <c r="N140" s="16"/>
      <c r="O140" s="16"/>
      <c r="P140" s="16"/>
      <c r="Q140" s="16"/>
      <c r="R140" s="16"/>
      <c r="S140" s="16"/>
      <c r="T140" s="16"/>
      <c r="U140" s="16"/>
      <c r="V140" s="16"/>
      <c r="W140" s="16"/>
      <c r="X140" s="16"/>
      <c r="Y140" s="16"/>
      <c r="Z140" s="16"/>
      <c r="AA140" s="16"/>
    </row>
    <row r="141">
      <c r="A141" s="16" t="s">
        <v>141</v>
      </c>
      <c r="B141" s="16" t="s">
        <v>140</v>
      </c>
      <c r="C141" s="17">
        <v>4.7915108139146E13</v>
      </c>
      <c r="D141" s="16" t="s">
        <v>373</v>
      </c>
      <c r="E141" s="16" t="str">
        <f t="shared" si="1"/>
        <v>FORESTERFull</v>
      </c>
      <c r="F141" s="18" t="s">
        <v>1179</v>
      </c>
      <c r="G141" s="16"/>
      <c r="H141" s="16"/>
      <c r="I141" s="16"/>
      <c r="J141" s="16"/>
      <c r="K141" s="16"/>
      <c r="L141" s="16"/>
      <c r="M141" s="16"/>
      <c r="N141" s="16"/>
      <c r="O141" s="16"/>
      <c r="P141" s="16"/>
      <c r="Q141" s="16"/>
      <c r="R141" s="16"/>
      <c r="S141" s="16"/>
      <c r="T141" s="16"/>
      <c r="U141" s="16"/>
      <c r="V141" s="16"/>
      <c r="W141" s="16"/>
      <c r="X141" s="16"/>
      <c r="Y141" s="16"/>
      <c r="Z141" s="16"/>
      <c r="AA141" s="16"/>
    </row>
    <row r="142">
      <c r="A142" s="16" t="s">
        <v>141</v>
      </c>
      <c r="B142" s="16" t="s">
        <v>140</v>
      </c>
      <c r="C142" s="17">
        <v>4.7915108171914E13</v>
      </c>
      <c r="D142" s="16" t="s">
        <v>470</v>
      </c>
      <c r="E142" s="16" t="str">
        <f t="shared" si="1"/>
        <v>FORESTERQueen</v>
      </c>
      <c r="F142" s="18" t="s">
        <v>1230</v>
      </c>
      <c r="G142" s="16"/>
      <c r="H142" s="16"/>
      <c r="I142" s="16"/>
      <c r="J142" s="16"/>
      <c r="K142" s="16"/>
      <c r="L142" s="16"/>
      <c r="M142" s="16"/>
      <c r="N142" s="16"/>
      <c r="O142" s="16"/>
      <c r="P142" s="16"/>
      <c r="Q142" s="16"/>
      <c r="R142" s="16"/>
      <c r="S142" s="16"/>
      <c r="T142" s="16"/>
      <c r="U142" s="16"/>
      <c r="V142" s="16"/>
      <c r="W142" s="16"/>
      <c r="X142" s="16"/>
      <c r="Y142" s="16"/>
      <c r="Z142" s="16"/>
      <c r="AA142" s="16"/>
    </row>
    <row r="143">
      <c r="A143" s="16" t="s">
        <v>141</v>
      </c>
      <c r="B143" s="16" t="s">
        <v>140</v>
      </c>
      <c r="C143" s="17">
        <v>4.7915108204682E13</v>
      </c>
      <c r="D143" s="16" t="s">
        <v>568</v>
      </c>
      <c r="E143" s="16" t="str">
        <f t="shared" si="1"/>
        <v>FORESTERKing</v>
      </c>
      <c r="F143" s="18" t="s">
        <v>1285</v>
      </c>
      <c r="G143" s="16"/>
      <c r="H143" s="16"/>
      <c r="I143" s="16"/>
      <c r="J143" s="16"/>
      <c r="K143" s="16"/>
      <c r="L143" s="16"/>
      <c r="M143" s="16"/>
      <c r="N143" s="16"/>
      <c r="O143" s="16"/>
      <c r="P143" s="16"/>
      <c r="Q143" s="16"/>
      <c r="R143" s="16"/>
      <c r="S143" s="16"/>
      <c r="T143" s="16"/>
      <c r="U143" s="16"/>
      <c r="V143" s="16"/>
      <c r="W143" s="16"/>
      <c r="X143" s="16"/>
      <c r="Y143" s="16"/>
      <c r="Z143" s="16"/>
      <c r="AA143" s="16"/>
    </row>
    <row r="144">
      <c r="A144" s="16" t="s">
        <v>145</v>
      </c>
      <c r="B144" s="16" t="s">
        <v>333</v>
      </c>
      <c r="C144" s="17">
        <v>4.7915108302986E13</v>
      </c>
      <c r="D144" s="16" t="s">
        <v>32</v>
      </c>
      <c r="E144" s="16" t="str">
        <f t="shared" si="1"/>
        <v>DARLINGTONTwin XL</v>
      </c>
      <c r="F144" s="18" t="s">
        <v>1075</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t="s">
        <v>145</v>
      </c>
      <c r="B145" s="16" t="s">
        <v>333</v>
      </c>
      <c r="C145" s="17">
        <v>4.7915108335754E13</v>
      </c>
      <c r="D145" s="16" t="s">
        <v>242</v>
      </c>
      <c r="E145" s="16" t="str">
        <f t="shared" si="1"/>
        <v>DARLINGTONTwin</v>
      </c>
      <c r="F145" s="18" t="s">
        <v>1130</v>
      </c>
      <c r="G145" s="16"/>
      <c r="H145" s="16"/>
      <c r="I145" s="16"/>
      <c r="J145" s="16"/>
      <c r="K145" s="16"/>
      <c r="L145" s="16"/>
      <c r="M145" s="16"/>
      <c r="N145" s="16"/>
      <c r="O145" s="16"/>
      <c r="P145" s="16"/>
      <c r="Q145" s="16"/>
      <c r="R145" s="16"/>
      <c r="S145" s="16"/>
      <c r="T145" s="16"/>
      <c r="U145" s="16"/>
      <c r="V145" s="16"/>
      <c r="W145" s="16"/>
      <c r="X145" s="16"/>
      <c r="Y145" s="16"/>
      <c r="Z145" s="16"/>
      <c r="AA145" s="16"/>
    </row>
    <row r="146">
      <c r="A146" s="16" t="s">
        <v>145</v>
      </c>
      <c r="B146" s="16" t="s">
        <v>333</v>
      </c>
      <c r="C146" s="17">
        <v>4.7915108368522E13</v>
      </c>
      <c r="D146" s="16" t="s">
        <v>373</v>
      </c>
      <c r="E146" s="16" t="str">
        <f t="shared" si="1"/>
        <v>DARLINGTONFull</v>
      </c>
      <c r="F146" s="18" t="s">
        <v>1180</v>
      </c>
      <c r="G146" s="16"/>
      <c r="H146" s="16"/>
      <c r="I146" s="16"/>
      <c r="J146" s="16"/>
      <c r="K146" s="16"/>
      <c r="L146" s="16"/>
      <c r="M146" s="16"/>
      <c r="N146" s="16"/>
      <c r="O146" s="16"/>
      <c r="P146" s="16"/>
      <c r="Q146" s="16"/>
      <c r="R146" s="16"/>
      <c r="S146" s="16"/>
      <c r="T146" s="16"/>
      <c r="U146" s="16"/>
      <c r="V146" s="16"/>
      <c r="W146" s="16"/>
      <c r="X146" s="16"/>
      <c r="Y146" s="16"/>
      <c r="Z146" s="16"/>
      <c r="AA146" s="16"/>
    </row>
    <row r="147">
      <c r="A147" s="16" t="s">
        <v>145</v>
      </c>
      <c r="B147" s="16" t="s">
        <v>333</v>
      </c>
      <c r="C147" s="17">
        <v>4.791510840129E13</v>
      </c>
      <c r="D147" s="16" t="s">
        <v>470</v>
      </c>
      <c r="E147" s="16" t="str">
        <f t="shared" si="1"/>
        <v>DARLINGTONQueen</v>
      </c>
      <c r="F147" s="18" t="s">
        <v>1231</v>
      </c>
      <c r="G147" s="16"/>
      <c r="H147" s="16"/>
      <c r="I147" s="16"/>
      <c r="J147" s="16"/>
      <c r="K147" s="16"/>
      <c r="L147" s="16"/>
      <c r="M147" s="16"/>
      <c r="N147" s="16"/>
      <c r="O147" s="16"/>
      <c r="P147" s="16"/>
      <c r="Q147" s="16"/>
      <c r="R147" s="16"/>
      <c r="S147" s="16"/>
      <c r="T147" s="16"/>
      <c r="U147" s="16"/>
      <c r="V147" s="16"/>
      <c r="W147" s="16"/>
      <c r="X147" s="16"/>
      <c r="Y147" s="16"/>
      <c r="Z147" s="16"/>
      <c r="AA147" s="16"/>
    </row>
    <row r="148">
      <c r="A148" s="16" t="s">
        <v>145</v>
      </c>
      <c r="B148" s="16" t="s">
        <v>333</v>
      </c>
      <c r="C148" s="17">
        <v>4.7915108434058E13</v>
      </c>
      <c r="D148" s="16" t="s">
        <v>568</v>
      </c>
      <c r="E148" s="16" t="str">
        <f t="shared" si="1"/>
        <v>DARLINGTONKing</v>
      </c>
      <c r="F148" s="18" t="s">
        <v>1286</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t="s">
        <v>147</v>
      </c>
      <c r="B149" s="16" t="s">
        <v>1429</v>
      </c>
      <c r="C149" s="17">
        <v>4.7915108532362E13</v>
      </c>
      <c r="D149" s="16" t="s">
        <v>32</v>
      </c>
      <c r="E149" s="16" t="str">
        <f t="shared" si="1"/>
        <v>HASTINGSTwin XL</v>
      </c>
      <c r="F149" s="18" t="s">
        <v>1076</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t="s">
        <v>147</v>
      </c>
      <c r="B150" s="16" t="s">
        <v>1429</v>
      </c>
      <c r="C150" s="17">
        <v>4.791510856513E13</v>
      </c>
      <c r="D150" s="16" t="s">
        <v>470</v>
      </c>
      <c r="E150" s="16" t="str">
        <f t="shared" si="1"/>
        <v>HASTINGSQueen</v>
      </c>
      <c r="F150" s="18" t="s">
        <v>1232</v>
      </c>
      <c r="G150" s="16"/>
      <c r="H150" s="16"/>
      <c r="I150" s="16"/>
      <c r="J150" s="16"/>
      <c r="K150" s="16"/>
      <c r="L150" s="16"/>
      <c r="M150" s="16"/>
      <c r="N150" s="16"/>
      <c r="O150" s="16"/>
      <c r="P150" s="16"/>
      <c r="Q150" s="16"/>
      <c r="R150" s="16"/>
      <c r="S150" s="16"/>
      <c r="T150" s="16"/>
      <c r="U150" s="16"/>
      <c r="V150" s="16"/>
      <c r="W150" s="16"/>
      <c r="X150" s="16"/>
      <c r="Y150" s="16"/>
      <c r="Z150" s="16"/>
      <c r="AA150" s="16"/>
    </row>
    <row r="151">
      <c r="A151" s="16" t="s">
        <v>147</v>
      </c>
      <c r="B151" s="16" t="s">
        <v>1429</v>
      </c>
      <c r="C151" s="17">
        <v>4.7915108597898E13</v>
      </c>
      <c r="D151" s="16" t="s">
        <v>568</v>
      </c>
      <c r="E151" s="16" t="str">
        <f t="shared" si="1"/>
        <v>HASTINGSKing</v>
      </c>
      <c r="F151" s="18" t="s">
        <v>1287</v>
      </c>
      <c r="G151" s="16"/>
      <c r="H151" s="16"/>
      <c r="I151" s="16"/>
      <c r="J151" s="16"/>
      <c r="K151" s="16"/>
      <c r="L151" s="16"/>
      <c r="M151" s="16"/>
      <c r="N151" s="16"/>
      <c r="O151" s="16"/>
      <c r="P151" s="16"/>
      <c r="Q151" s="16"/>
      <c r="R151" s="16"/>
      <c r="S151" s="16"/>
      <c r="T151" s="16"/>
      <c r="U151" s="16"/>
      <c r="V151" s="16"/>
      <c r="W151" s="16"/>
      <c r="X151" s="16"/>
      <c r="Y151" s="16"/>
      <c r="Z151" s="16"/>
      <c r="AA151" s="16"/>
    </row>
    <row r="152">
      <c r="A152" s="16" t="s">
        <v>150</v>
      </c>
      <c r="B152" s="16" t="s">
        <v>501</v>
      </c>
      <c r="C152" s="17">
        <v>4.7915108630666E13</v>
      </c>
      <c r="D152" s="16" t="s">
        <v>32</v>
      </c>
      <c r="E152" s="16" t="str">
        <f t="shared" si="1"/>
        <v>KAANAPALITwin XL</v>
      </c>
      <c r="F152" s="18" t="s">
        <v>1077</v>
      </c>
      <c r="G152" s="16"/>
      <c r="H152" s="16"/>
      <c r="I152" s="16"/>
      <c r="J152" s="16"/>
      <c r="K152" s="16"/>
      <c r="L152" s="16"/>
      <c r="M152" s="16"/>
      <c r="N152" s="16"/>
      <c r="O152" s="16"/>
      <c r="P152" s="16"/>
      <c r="Q152" s="16"/>
      <c r="R152" s="16"/>
      <c r="S152" s="16"/>
      <c r="T152" s="16"/>
      <c r="U152" s="16"/>
      <c r="V152" s="16"/>
      <c r="W152" s="16"/>
      <c r="X152" s="16"/>
      <c r="Y152" s="16"/>
      <c r="Z152" s="16"/>
      <c r="AA152" s="16"/>
    </row>
    <row r="153">
      <c r="A153" s="16" t="s">
        <v>150</v>
      </c>
      <c r="B153" s="16" t="s">
        <v>501</v>
      </c>
      <c r="C153" s="17">
        <v>4.7915108663434E13</v>
      </c>
      <c r="D153" s="16" t="s">
        <v>470</v>
      </c>
      <c r="E153" s="16" t="str">
        <f t="shared" si="1"/>
        <v>KAANAPALIQueen</v>
      </c>
      <c r="F153" s="18" t="s">
        <v>1233</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t="s">
        <v>150</v>
      </c>
      <c r="B154" s="16" t="s">
        <v>501</v>
      </c>
      <c r="C154" s="17">
        <v>4.7915108696202E13</v>
      </c>
      <c r="D154" s="16" t="s">
        <v>568</v>
      </c>
      <c r="E154" s="16" t="str">
        <f t="shared" si="1"/>
        <v>KAANAPALIKing</v>
      </c>
      <c r="F154" s="18" t="s">
        <v>1288</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t="s">
        <v>154</v>
      </c>
      <c r="B155" s="16" t="s">
        <v>153</v>
      </c>
      <c r="C155" s="17">
        <v>4.791510872897E13</v>
      </c>
      <c r="D155" s="16" t="s">
        <v>32</v>
      </c>
      <c r="E155" s="16" t="str">
        <f t="shared" si="1"/>
        <v>LEDOTwin XL</v>
      </c>
      <c r="F155" s="18" t="s">
        <v>1078</v>
      </c>
      <c r="G155" s="16"/>
      <c r="H155" s="16"/>
      <c r="I155" s="16"/>
      <c r="J155" s="16"/>
      <c r="K155" s="16"/>
      <c r="L155" s="16"/>
      <c r="M155" s="16"/>
      <c r="N155" s="16"/>
      <c r="O155" s="16"/>
      <c r="P155" s="16"/>
      <c r="Q155" s="16"/>
      <c r="R155" s="16"/>
      <c r="S155" s="16"/>
      <c r="T155" s="16"/>
      <c r="U155" s="16"/>
      <c r="V155" s="16"/>
      <c r="W155" s="16"/>
      <c r="X155" s="16"/>
      <c r="Y155" s="16"/>
      <c r="Z155" s="16"/>
      <c r="AA155" s="16"/>
    </row>
    <row r="156">
      <c r="A156" s="16" t="s">
        <v>154</v>
      </c>
      <c r="B156" s="16" t="s">
        <v>153</v>
      </c>
      <c r="C156" s="17">
        <v>4.7915108761738E13</v>
      </c>
      <c r="D156" s="16" t="s">
        <v>470</v>
      </c>
      <c r="E156" s="16" t="str">
        <f t="shared" si="1"/>
        <v>LEDOQueen</v>
      </c>
      <c r="F156" s="18" t="s">
        <v>1234</v>
      </c>
      <c r="G156" s="16"/>
      <c r="H156" s="16"/>
      <c r="I156" s="16"/>
      <c r="J156" s="16"/>
      <c r="K156" s="16"/>
      <c r="L156" s="16"/>
      <c r="M156" s="16"/>
      <c r="N156" s="16"/>
      <c r="O156" s="16"/>
      <c r="P156" s="16"/>
      <c r="Q156" s="16"/>
      <c r="R156" s="16"/>
      <c r="S156" s="16"/>
      <c r="T156" s="16"/>
      <c r="U156" s="16"/>
      <c r="V156" s="16"/>
      <c r="W156" s="16"/>
      <c r="X156" s="16"/>
      <c r="Y156" s="16"/>
      <c r="Z156" s="16"/>
      <c r="AA156" s="16"/>
    </row>
    <row r="157">
      <c r="A157" s="16" t="s">
        <v>154</v>
      </c>
      <c r="B157" s="16" t="s">
        <v>153</v>
      </c>
      <c r="C157" s="17">
        <v>4.7915108794506E13</v>
      </c>
      <c r="D157" s="16" t="s">
        <v>568</v>
      </c>
      <c r="E157" s="16" t="str">
        <f t="shared" si="1"/>
        <v>LEDOKing</v>
      </c>
      <c r="F157" s="18" t="s">
        <v>1289</v>
      </c>
      <c r="G157" s="16"/>
      <c r="H157" s="16"/>
      <c r="I157" s="16"/>
      <c r="J157" s="16"/>
      <c r="K157" s="16"/>
      <c r="L157" s="16"/>
      <c r="M157" s="16"/>
      <c r="N157" s="16"/>
      <c r="O157" s="16"/>
      <c r="P157" s="16"/>
      <c r="Q157" s="16"/>
      <c r="R157" s="16"/>
      <c r="S157" s="16"/>
      <c r="T157" s="16"/>
      <c r="U157" s="16"/>
      <c r="V157" s="16"/>
      <c r="W157" s="16"/>
      <c r="X157" s="16"/>
      <c r="Y157" s="16"/>
      <c r="Z157" s="16"/>
      <c r="AA157" s="16"/>
    </row>
    <row r="158">
      <c r="A158" s="16" t="s">
        <v>156</v>
      </c>
      <c r="B158" s="16" t="s">
        <v>505</v>
      </c>
      <c r="C158" s="17">
        <v>4.7915108827274E13</v>
      </c>
      <c r="D158" s="16" t="s">
        <v>32</v>
      </c>
      <c r="E158" s="16" t="str">
        <f t="shared" si="1"/>
        <v>CAPERTEETwin XL</v>
      </c>
      <c r="F158" s="18" t="s">
        <v>1079</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t="s">
        <v>156</v>
      </c>
      <c r="B159" s="16" t="s">
        <v>505</v>
      </c>
      <c r="C159" s="17">
        <v>4.7915108860042E13</v>
      </c>
      <c r="D159" s="16" t="s">
        <v>470</v>
      </c>
      <c r="E159" s="16" t="str">
        <f t="shared" si="1"/>
        <v>CAPERTEEQueen</v>
      </c>
      <c r="F159" s="18" t="s">
        <v>1235</v>
      </c>
      <c r="G159" s="16"/>
      <c r="H159" s="16"/>
      <c r="I159" s="16"/>
      <c r="J159" s="16"/>
      <c r="K159" s="16"/>
      <c r="L159" s="16"/>
      <c r="M159" s="16"/>
      <c r="N159" s="16"/>
      <c r="O159" s="16"/>
      <c r="P159" s="16"/>
      <c r="Q159" s="16"/>
      <c r="R159" s="16"/>
      <c r="S159" s="16"/>
      <c r="T159" s="16"/>
      <c r="U159" s="16"/>
      <c r="V159" s="16"/>
      <c r="W159" s="16"/>
      <c r="X159" s="16"/>
      <c r="Y159" s="16"/>
      <c r="Z159" s="16"/>
      <c r="AA159" s="16"/>
    </row>
    <row r="160">
      <c r="A160" s="16" t="s">
        <v>156</v>
      </c>
      <c r="B160" s="16" t="s">
        <v>505</v>
      </c>
      <c r="C160" s="17">
        <v>4.791510889281E13</v>
      </c>
      <c r="D160" s="16" t="s">
        <v>568</v>
      </c>
      <c r="E160" s="16" t="str">
        <f t="shared" si="1"/>
        <v>CAPERTEEKing</v>
      </c>
      <c r="F160" s="18" t="s">
        <v>1290</v>
      </c>
      <c r="G160" s="16"/>
      <c r="H160" s="16"/>
      <c r="I160" s="16"/>
      <c r="J160" s="16"/>
      <c r="K160" s="16"/>
      <c r="L160" s="16"/>
      <c r="M160" s="16"/>
      <c r="N160" s="16"/>
      <c r="O160" s="16"/>
      <c r="P160" s="16"/>
      <c r="Q160" s="16"/>
      <c r="R160" s="16"/>
      <c r="S160" s="16"/>
      <c r="T160" s="16"/>
      <c r="U160" s="16"/>
      <c r="V160" s="16"/>
      <c r="W160" s="16"/>
      <c r="X160" s="16"/>
      <c r="Y160" s="16"/>
      <c r="Z160" s="16"/>
      <c r="AA160" s="16"/>
    </row>
    <row r="161">
      <c r="A161" s="16" t="s">
        <v>992</v>
      </c>
      <c r="B161" s="16" t="s">
        <v>508</v>
      </c>
      <c r="C161" s="17">
        <v>4.7915108925578E13</v>
      </c>
      <c r="D161" s="16" t="s">
        <v>32</v>
      </c>
      <c r="E161" s="16" t="str">
        <f t="shared" si="1"/>
        <v>ARADA-CANYONTwin XL</v>
      </c>
      <c r="F161" s="18" t="s">
        <v>1080</v>
      </c>
      <c r="G161" s="16"/>
      <c r="H161" s="16"/>
      <c r="I161" s="16"/>
      <c r="J161" s="16"/>
      <c r="K161" s="16"/>
      <c r="L161" s="16"/>
      <c r="M161" s="16"/>
      <c r="N161" s="16"/>
      <c r="O161" s="16"/>
      <c r="P161" s="16"/>
      <c r="Q161" s="16"/>
      <c r="R161" s="16"/>
      <c r="S161" s="16"/>
      <c r="T161" s="16"/>
      <c r="U161" s="16"/>
      <c r="V161" s="16"/>
      <c r="W161" s="16"/>
      <c r="X161" s="16"/>
      <c r="Y161" s="16"/>
      <c r="Z161" s="16"/>
      <c r="AA161" s="16"/>
    </row>
    <row r="162">
      <c r="A162" s="16" t="s">
        <v>992</v>
      </c>
      <c r="B162" s="16" t="s">
        <v>508</v>
      </c>
      <c r="C162" s="17">
        <v>4.7915108958346E13</v>
      </c>
      <c r="D162" s="16" t="s">
        <v>470</v>
      </c>
      <c r="E162" s="16" t="str">
        <f t="shared" si="1"/>
        <v>ARADA-CANYONQueen</v>
      </c>
      <c r="F162" s="18" t="s">
        <v>1236</v>
      </c>
      <c r="G162" s="16"/>
      <c r="H162" s="16"/>
      <c r="I162" s="16"/>
      <c r="J162" s="16"/>
      <c r="K162" s="16"/>
      <c r="L162" s="16"/>
      <c r="M162" s="16"/>
      <c r="N162" s="16"/>
      <c r="O162" s="16"/>
      <c r="P162" s="16"/>
      <c r="Q162" s="16"/>
      <c r="R162" s="16"/>
      <c r="S162" s="16"/>
      <c r="T162" s="16"/>
      <c r="U162" s="16"/>
      <c r="V162" s="16"/>
      <c r="W162" s="16"/>
      <c r="X162" s="16"/>
      <c r="Y162" s="16"/>
      <c r="Z162" s="16"/>
      <c r="AA162" s="16"/>
    </row>
    <row r="163">
      <c r="A163" s="16" t="s">
        <v>992</v>
      </c>
      <c r="B163" s="16" t="s">
        <v>508</v>
      </c>
      <c r="C163" s="17">
        <v>4.7915108991114E13</v>
      </c>
      <c r="D163" s="16" t="s">
        <v>568</v>
      </c>
      <c r="E163" s="16" t="str">
        <f t="shared" si="1"/>
        <v>ARADA-CANYONKing</v>
      </c>
      <c r="F163" s="18" t="s">
        <v>1291</v>
      </c>
      <c r="G163" s="16"/>
      <c r="H163" s="16"/>
      <c r="I163" s="16"/>
      <c r="J163" s="16"/>
      <c r="K163" s="16"/>
      <c r="L163" s="16"/>
      <c r="M163" s="16"/>
      <c r="N163" s="16"/>
      <c r="O163" s="16"/>
      <c r="P163" s="16"/>
      <c r="Q163" s="16"/>
      <c r="R163" s="16"/>
      <c r="S163" s="16"/>
      <c r="T163" s="16"/>
      <c r="U163" s="16"/>
      <c r="V163" s="16"/>
      <c r="W163" s="16"/>
      <c r="X163" s="16"/>
      <c r="Y163" s="16"/>
      <c r="Z163" s="16"/>
      <c r="AA163" s="16"/>
    </row>
    <row r="164">
      <c r="A164" s="16" t="s">
        <v>993</v>
      </c>
      <c r="B164" s="16" t="s">
        <v>162</v>
      </c>
      <c r="C164" s="17">
        <v>4.7915109023882E13</v>
      </c>
      <c r="D164" s="16" t="s">
        <v>32</v>
      </c>
      <c r="E164" s="16" t="str">
        <f t="shared" si="1"/>
        <v>OCEANA-MISTTwin XL</v>
      </c>
      <c r="F164" s="18" t="s">
        <v>1081</v>
      </c>
      <c r="G164" s="16"/>
      <c r="H164" s="16"/>
      <c r="I164" s="16"/>
      <c r="J164" s="16"/>
      <c r="K164" s="16"/>
      <c r="L164" s="16"/>
      <c r="M164" s="16"/>
      <c r="N164" s="16"/>
      <c r="O164" s="16"/>
      <c r="P164" s="16"/>
      <c r="Q164" s="16"/>
      <c r="R164" s="16"/>
      <c r="S164" s="16"/>
      <c r="T164" s="16"/>
      <c r="U164" s="16"/>
      <c r="V164" s="16"/>
      <c r="W164" s="16"/>
      <c r="X164" s="16"/>
      <c r="Y164" s="16"/>
      <c r="Z164" s="16"/>
      <c r="AA164" s="16"/>
    </row>
    <row r="165">
      <c r="A165" s="16" t="s">
        <v>993</v>
      </c>
      <c r="B165" s="16" t="s">
        <v>162</v>
      </c>
      <c r="C165" s="17">
        <v>4.791510905665E13</v>
      </c>
      <c r="D165" s="16" t="s">
        <v>242</v>
      </c>
      <c r="E165" s="16" t="str">
        <f t="shared" si="1"/>
        <v>OCEANA-MISTTwin</v>
      </c>
      <c r="F165" s="18" t="s">
        <v>1131</v>
      </c>
      <c r="G165" s="16"/>
      <c r="H165" s="16"/>
      <c r="I165" s="16"/>
      <c r="J165" s="16"/>
      <c r="K165" s="16"/>
      <c r="L165" s="16"/>
      <c r="M165" s="16"/>
      <c r="N165" s="16"/>
      <c r="O165" s="16"/>
      <c r="P165" s="16"/>
      <c r="Q165" s="16"/>
      <c r="R165" s="16"/>
      <c r="S165" s="16"/>
      <c r="T165" s="16"/>
      <c r="U165" s="16"/>
      <c r="V165" s="16"/>
      <c r="W165" s="16"/>
      <c r="X165" s="16"/>
      <c r="Y165" s="16"/>
      <c r="Z165" s="16"/>
      <c r="AA165" s="16"/>
    </row>
    <row r="166">
      <c r="A166" s="16" t="s">
        <v>993</v>
      </c>
      <c r="B166" s="16" t="s">
        <v>162</v>
      </c>
      <c r="C166" s="17">
        <v>4.7915109089418E13</v>
      </c>
      <c r="D166" s="16" t="s">
        <v>373</v>
      </c>
      <c r="E166" s="16" t="str">
        <f t="shared" si="1"/>
        <v>OCEANA-MISTFull</v>
      </c>
      <c r="F166" s="18" t="s">
        <v>1181</v>
      </c>
      <c r="G166" s="16"/>
      <c r="H166" s="16"/>
      <c r="I166" s="16"/>
      <c r="J166" s="16"/>
      <c r="K166" s="16"/>
      <c r="L166" s="16"/>
      <c r="M166" s="16"/>
      <c r="N166" s="16"/>
      <c r="O166" s="16"/>
      <c r="P166" s="16"/>
      <c r="Q166" s="16"/>
      <c r="R166" s="16"/>
      <c r="S166" s="16"/>
      <c r="T166" s="16"/>
      <c r="U166" s="16"/>
      <c r="V166" s="16"/>
      <c r="W166" s="16"/>
      <c r="X166" s="16"/>
      <c r="Y166" s="16"/>
      <c r="Z166" s="16"/>
      <c r="AA166" s="16"/>
    </row>
    <row r="167">
      <c r="A167" s="16" t="s">
        <v>993</v>
      </c>
      <c r="B167" s="16" t="s">
        <v>162</v>
      </c>
      <c r="C167" s="17">
        <v>4.7915109122186E13</v>
      </c>
      <c r="D167" s="16" t="s">
        <v>470</v>
      </c>
      <c r="E167" s="16" t="str">
        <f t="shared" si="1"/>
        <v>OCEANA-MISTQueen</v>
      </c>
      <c r="F167" s="18" t="s">
        <v>1237</v>
      </c>
      <c r="G167" s="16"/>
      <c r="H167" s="16"/>
      <c r="I167" s="16"/>
      <c r="J167" s="16"/>
      <c r="K167" s="16"/>
      <c r="L167" s="16"/>
      <c r="M167" s="16"/>
      <c r="N167" s="16"/>
      <c r="O167" s="16"/>
      <c r="P167" s="16"/>
      <c r="Q167" s="16"/>
      <c r="R167" s="16"/>
      <c r="S167" s="16"/>
      <c r="T167" s="16"/>
      <c r="U167" s="16"/>
      <c r="V167" s="16"/>
      <c r="W167" s="16"/>
      <c r="X167" s="16"/>
      <c r="Y167" s="16"/>
      <c r="Z167" s="16"/>
      <c r="AA167" s="16"/>
    </row>
    <row r="168">
      <c r="A168" s="16" t="s">
        <v>993</v>
      </c>
      <c r="B168" s="16" t="s">
        <v>162</v>
      </c>
      <c r="C168" s="17">
        <v>4.7915109154954E13</v>
      </c>
      <c r="D168" s="16" t="s">
        <v>568</v>
      </c>
      <c r="E168" s="16" t="str">
        <f t="shared" si="1"/>
        <v>OCEANA-MISTKing</v>
      </c>
      <c r="F168" s="18" t="s">
        <v>1292</v>
      </c>
      <c r="G168" s="16"/>
      <c r="H168" s="16"/>
      <c r="I168" s="16"/>
      <c r="J168" s="16"/>
      <c r="K168" s="16"/>
      <c r="L168" s="16"/>
      <c r="M168" s="16"/>
      <c r="N168" s="16"/>
      <c r="O168" s="16"/>
      <c r="P168" s="16"/>
      <c r="Q168" s="16"/>
      <c r="R168" s="16"/>
      <c r="S168" s="16"/>
      <c r="T168" s="16"/>
      <c r="U168" s="16"/>
      <c r="V168" s="16"/>
      <c r="W168" s="16"/>
      <c r="X168" s="16"/>
      <c r="Y168" s="16"/>
      <c r="Z168" s="16"/>
      <c r="AA168" s="16"/>
    </row>
    <row r="169">
      <c r="A169" s="16" t="s">
        <v>993</v>
      </c>
      <c r="B169" s="16" t="s">
        <v>162</v>
      </c>
      <c r="C169" s="17">
        <v>4.7915109187722E13</v>
      </c>
      <c r="D169" s="16" t="s">
        <v>670</v>
      </c>
      <c r="E169" s="16" t="str">
        <f t="shared" si="1"/>
        <v>OCEANA-MISTCalifornia King</v>
      </c>
      <c r="F169" s="18" t="s">
        <v>1366</v>
      </c>
      <c r="G169" s="16"/>
      <c r="H169" s="16"/>
      <c r="I169" s="16"/>
      <c r="J169" s="16"/>
      <c r="K169" s="16"/>
      <c r="L169" s="16"/>
      <c r="M169" s="16"/>
      <c r="N169" s="16"/>
      <c r="O169" s="16"/>
      <c r="P169" s="16"/>
      <c r="Q169" s="16"/>
      <c r="R169" s="16"/>
      <c r="S169" s="16"/>
      <c r="T169" s="16"/>
      <c r="U169" s="16"/>
      <c r="V169" s="16"/>
      <c r="W169" s="16"/>
      <c r="X169" s="16"/>
      <c r="Y169" s="16"/>
      <c r="Z169" s="16"/>
      <c r="AA169" s="16"/>
    </row>
    <row r="170">
      <c r="A170" s="16" t="s">
        <v>994</v>
      </c>
      <c r="B170" s="16" t="s">
        <v>168</v>
      </c>
      <c r="C170" s="17">
        <v>4.791510922049E13</v>
      </c>
      <c r="D170" s="16" t="s">
        <v>32</v>
      </c>
      <c r="E170" s="16" t="str">
        <f t="shared" si="1"/>
        <v>LEVEL-THREE-PLUSHTwin XL</v>
      </c>
      <c r="F170" s="18" t="s">
        <v>1082</v>
      </c>
      <c r="G170" s="16"/>
      <c r="H170" s="16"/>
      <c r="I170" s="16"/>
      <c r="J170" s="16"/>
      <c r="K170" s="16"/>
      <c r="L170" s="16"/>
      <c r="M170" s="16"/>
      <c r="N170" s="16"/>
      <c r="O170" s="16"/>
      <c r="P170" s="16"/>
      <c r="Q170" s="16"/>
      <c r="R170" s="16"/>
      <c r="S170" s="16"/>
      <c r="T170" s="16"/>
      <c r="U170" s="16"/>
      <c r="V170" s="16"/>
      <c r="W170" s="16"/>
      <c r="X170" s="16"/>
      <c r="Y170" s="16"/>
      <c r="Z170" s="16"/>
      <c r="AA170" s="16"/>
    </row>
    <row r="171">
      <c r="A171" s="16" t="s">
        <v>994</v>
      </c>
      <c r="B171" s="16" t="s">
        <v>168</v>
      </c>
      <c r="C171" s="17">
        <v>4.7915109253258E13</v>
      </c>
      <c r="D171" s="16" t="s">
        <v>242</v>
      </c>
      <c r="E171" s="16" t="str">
        <f t="shared" si="1"/>
        <v>LEVEL-THREE-PLUSHTwin</v>
      </c>
      <c r="F171" s="18" t="s">
        <v>1132</v>
      </c>
      <c r="G171" s="16"/>
      <c r="H171" s="16"/>
      <c r="I171" s="16"/>
      <c r="J171" s="16"/>
      <c r="K171" s="16"/>
      <c r="L171" s="16"/>
      <c r="M171" s="16"/>
      <c r="N171" s="16"/>
      <c r="O171" s="16"/>
      <c r="P171" s="16"/>
      <c r="Q171" s="16"/>
      <c r="R171" s="16"/>
      <c r="S171" s="16"/>
      <c r="T171" s="16"/>
      <c r="U171" s="16"/>
      <c r="V171" s="16"/>
      <c r="W171" s="16"/>
      <c r="X171" s="16"/>
      <c r="Y171" s="16"/>
      <c r="Z171" s="16"/>
      <c r="AA171" s="16"/>
    </row>
    <row r="172">
      <c r="A172" s="16" t="s">
        <v>994</v>
      </c>
      <c r="B172" s="16" t="s">
        <v>168</v>
      </c>
      <c r="C172" s="17">
        <v>4.7915109286026E13</v>
      </c>
      <c r="D172" s="16" t="s">
        <v>373</v>
      </c>
      <c r="E172" s="16" t="str">
        <f t="shared" si="1"/>
        <v>LEVEL-THREE-PLUSHFull</v>
      </c>
      <c r="F172" s="18" t="s">
        <v>1182</v>
      </c>
      <c r="G172" s="16"/>
      <c r="H172" s="16"/>
      <c r="I172" s="16"/>
      <c r="J172" s="16"/>
      <c r="K172" s="16"/>
      <c r="L172" s="16"/>
      <c r="M172" s="16"/>
      <c r="N172" s="16"/>
      <c r="O172" s="16"/>
      <c r="P172" s="16"/>
      <c r="Q172" s="16"/>
      <c r="R172" s="16"/>
      <c r="S172" s="16"/>
      <c r="T172" s="16"/>
      <c r="U172" s="16"/>
      <c r="V172" s="16"/>
      <c r="W172" s="16"/>
      <c r="X172" s="16"/>
      <c r="Y172" s="16"/>
      <c r="Z172" s="16"/>
      <c r="AA172" s="16"/>
    </row>
    <row r="173">
      <c r="A173" s="16" t="s">
        <v>994</v>
      </c>
      <c r="B173" s="16" t="s">
        <v>168</v>
      </c>
      <c r="C173" s="17">
        <v>4.7915109318794E13</v>
      </c>
      <c r="D173" s="16" t="s">
        <v>470</v>
      </c>
      <c r="E173" s="16" t="str">
        <f t="shared" si="1"/>
        <v>LEVEL-THREE-PLUSHQueen</v>
      </c>
      <c r="F173" s="18" t="s">
        <v>1238</v>
      </c>
      <c r="G173" s="16"/>
      <c r="H173" s="16"/>
      <c r="I173" s="16"/>
      <c r="J173" s="16"/>
      <c r="K173" s="16"/>
      <c r="L173" s="16"/>
      <c r="M173" s="16"/>
      <c r="N173" s="16"/>
      <c r="O173" s="16"/>
      <c r="P173" s="16"/>
      <c r="Q173" s="16"/>
      <c r="R173" s="16"/>
      <c r="S173" s="16"/>
      <c r="T173" s="16"/>
      <c r="U173" s="16"/>
      <c r="V173" s="16"/>
      <c r="W173" s="16"/>
      <c r="X173" s="16"/>
      <c r="Y173" s="16"/>
      <c r="Z173" s="16"/>
      <c r="AA173" s="16"/>
    </row>
    <row r="174">
      <c r="A174" s="16" t="s">
        <v>994</v>
      </c>
      <c r="B174" s="16" t="s">
        <v>168</v>
      </c>
      <c r="C174" s="17">
        <v>4.7915109351562E13</v>
      </c>
      <c r="D174" s="16" t="s">
        <v>568</v>
      </c>
      <c r="E174" s="16" t="str">
        <f t="shared" si="1"/>
        <v>LEVEL-THREE-PLUSHKing</v>
      </c>
      <c r="F174" s="18" t="s">
        <v>1293</v>
      </c>
      <c r="G174" s="16"/>
      <c r="H174" s="16"/>
      <c r="I174" s="16"/>
      <c r="J174" s="16"/>
      <c r="K174" s="16"/>
      <c r="L174" s="16"/>
      <c r="M174" s="16"/>
      <c r="N174" s="16"/>
      <c r="O174" s="16"/>
      <c r="P174" s="16"/>
      <c r="Q174" s="16"/>
      <c r="R174" s="16"/>
      <c r="S174" s="16"/>
      <c r="T174" s="16"/>
      <c r="U174" s="16"/>
      <c r="V174" s="16"/>
      <c r="W174" s="16"/>
      <c r="X174" s="16"/>
      <c r="Y174" s="16"/>
      <c r="Z174" s="16"/>
      <c r="AA174" s="16"/>
    </row>
    <row r="175">
      <c r="A175" s="16" t="s">
        <v>994</v>
      </c>
      <c r="B175" s="16" t="s">
        <v>168</v>
      </c>
      <c r="C175" s="17">
        <v>4.791510938433E13</v>
      </c>
      <c r="D175" s="16" t="s">
        <v>670</v>
      </c>
      <c r="E175" s="16" t="str">
        <f t="shared" si="1"/>
        <v>LEVEL-THREE-PLUSHCalifornia King</v>
      </c>
      <c r="F175" s="18" t="s">
        <v>1367</v>
      </c>
      <c r="G175" s="16"/>
      <c r="H175" s="16"/>
      <c r="I175" s="16"/>
      <c r="J175" s="16"/>
      <c r="K175" s="16"/>
      <c r="L175" s="16"/>
      <c r="M175" s="16"/>
      <c r="N175" s="16"/>
      <c r="O175" s="16"/>
      <c r="P175" s="16"/>
      <c r="Q175" s="16"/>
      <c r="R175" s="16"/>
      <c r="S175" s="16"/>
      <c r="T175" s="16"/>
      <c r="U175" s="16"/>
      <c r="V175" s="16"/>
      <c r="W175" s="16"/>
      <c r="X175" s="16"/>
      <c r="Y175" s="16"/>
      <c r="Z175" s="16"/>
      <c r="AA175" s="16"/>
    </row>
    <row r="176">
      <c r="A176" s="16" t="s">
        <v>995</v>
      </c>
      <c r="B176" s="16" t="s">
        <v>513</v>
      </c>
      <c r="C176" s="17">
        <v>4.7915109417098E13</v>
      </c>
      <c r="D176" s="16" t="s">
        <v>32</v>
      </c>
      <c r="E176" s="16" t="str">
        <f t="shared" si="1"/>
        <v>LEVEL-THREE-MEDIUM-PILLOWTOPTwin XL</v>
      </c>
      <c r="F176" s="18" t="s">
        <v>1083</v>
      </c>
      <c r="G176" s="16"/>
      <c r="H176" s="16"/>
      <c r="I176" s="16"/>
      <c r="J176" s="16"/>
      <c r="K176" s="16"/>
      <c r="L176" s="16"/>
      <c r="M176" s="16"/>
      <c r="N176" s="16"/>
      <c r="O176" s="16"/>
      <c r="P176" s="16"/>
      <c r="Q176" s="16"/>
      <c r="R176" s="16"/>
      <c r="S176" s="16"/>
      <c r="T176" s="16"/>
      <c r="U176" s="16"/>
      <c r="V176" s="16"/>
      <c r="W176" s="16"/>
      <c r="X176" s="16"/>
      <c r="Y176" s="16"/>
      <c r="Z176" s="16"/>
      <c r="AA176" s="16"/>
    </row>
    <row r="177">
      <c r="A177" s="16" t="s">
        <v>995</v>
      </c>
      <c r="B177" s="16" t="s">
        <v>513</v>
      </c>
      <c r="C177" s="17">
        <v>4.7915109449866E13</v>
      </c>
      <c r="D177" s="16" t="s">
        <v>242</v>
      </c>
      <c r="E177" s="16" t="str">
        <f t="shared" si="1"/>
        <v>LEVEL-THREE-MEDIUM-PILLOWTOPTwin</v>
      </c>
      <c r="F177" s="18" t="s">
        <v>1133</v>
      </c>
      <c r="G177" s="16"/>
      <c r="H177" s="16"/>
      <c r="I177" s="16"/>
      <c r="J177" s="16"/>
      <c r="K177" s="16"/>
      <c r="L177" s="16"/>
      <c r="M177" s="16"/>
      <c r="N177" s="16"/>
      <c r="O177" s="16"/>
      <c r="P177" s="16"/>
      <c r="Q177" s="16"/>
      <c r="R177" s="16"/>
      <c r="S177" s="16"/>
      <c r="T177" s="16"/>
      <c r="U177" s="16"/>
      <c r="V177" s="16"/>
      <c r="W177" s="16"/>
      <c r="X177" s="16"/>
      <c r="Y177" s="16"/>
      <c r="Z177" s="16"/>
      <c r="AA177" s="16"/>
    </row>
    <row r="178">
      <c r="A178" s="16" t="s">
        <v>995</v>
      </c>
      <c r="B178" s="16" t="s">
        <v>513</v>
      </c>
      <c r="C178" s="17">
        <v>4.7915109482634E13</v>
      </c>
      <c r="D178" s="16" t="s">
        <v>373</v>
      </c>
      <c r="E178" s="16" t="str">
        <f t="shared" si="1"/>
        <v>LEVEL-THREE-MEDIUM-PILLOWTOPFull</v>
      </c>
      <c r="F178" s="18" t="s">
        <v>1183</v>
      </c>
      <c r="G178" s="16"/>
      <c r="H178" s="16"/>
      <c r="I178" s="16"/>
      <c r="J178" s="16"/>
      <c r="K178" s="16"/>
      <c r="L178" s="16"/>
      <c r="M178" s="16"/>
      <c r="N178" s="16"/>
      <c r="O178" s="16"/>
      <c r="P178" s="16"/>
      <c r="Q178" s="16"/>
      <c r="R178" s="16"/>
      <c r="S178" s="16"/>
      <c r="T178" s="16"/>
      <c r="U178" s="16"/>
      <c r="V178" s="16"/>
      <c r="W178" s="16"/>
      <c r="X178" s="16"/>
      <c r="Y178" s="16"/>
      <c r="Z178" s="16"/>
      <c r="AA178" s="16"/>
    </row>
    <row r="179">
      <c r="A179" s="16" t="s">
        <v>995</v>
      </c>
      <c r="B179" s="16" t="s">
        <v>513</v>
      </c>
      <c r="C179" s="17">
        <v>4.7915109515402E13</v>
      </c>
      <c r="D179" s="16" t="s">
        <v>470</v>
      </c>
      <c r="E179" s="16" t="str">
        <f t="shared" si="1"/>
        <v>LEVEL-THREE-MEDIUM-PILLOWTOPQueen</v>
      </c>
      <c r="F179" s="18" t="s">
        <v>1239</v>
      </c>
      <c r="G179" s="16"/>
      <c r="H179" s="16"/>
      <c r="I179" s="16"/>
      <c r="J179" s="16"/>
      <c r="K179" s="16"/>
      <c r="L179" s="16"/>
      <c r="M179" s="16"/>
      <c r="N179" s="16"/>
      <c r="O179" s="16"/>
      <c r="P179" s="16"/>
      <c r="Q179" s="16"/>
      <c r="R179" s="16"/>
      <c r="S179" s="16"/>
      <c r="T179" s="16"/>
      <c r="U179" s="16"/>
      <c r="V179" s="16"/>
      <c r="W179" s="16"/>
      <c r="X179" s="16"/>
      <c r="Y179" s="16"/>
      <c r="Z179" s="16"/>
      <c r="AA179" s="16"/>
    </row>
    <row r="180">
      <c r="A180" s="16" t="s">
        <v>995</v>
      </c>
      <c r="B180" s="16" t="s">
        <v>513</v>
      </c>
      <c r="C180" s="17">
        <v>4.791510954817E13</v>
      </c>
      <c r="D180" s="16" t="s">
        <v>568</v>
      </c>
      <c r="E180" s="16" t="str">
        <f t="shared" si="1"/>
        <v>LEVEL-THREE-MEDIUM-PILLOWTOPKing</v>
      </c>
      <c r="F180" s="18" t="s">
        <v>1294</v>
      </c>
      <c r="G180" s="16"/>
      <c r="H180" s="16"/>
      <c r="I180" s="16"/>
      <c r="J180" s="16"/>
      <c r="K180" s="16"/>
      <c r="L180" s="16"/>
      <c r="M180" s="16"/>
      <c r="N180" s="16"/>
      <c r="O180" s="16"/>
      <c r="P180" s="16"/>
      <c r="Q180" s="16"/>
      <c r="R180" s="16"/>
      <c r="S180" s="16"/>
      <c r="T180" s="16"/>
      <c r="U180" s="16"/>
      <c r="V180" s="16"/>
      <c r="W180" s="16"/>
      <c r="X180" s="16"/>
      <c r="Y180" s="16"/>
      <c r="Z180" s="16"/>
      <c r="AA180" s="16"/>
    </row>
    <row r="181">
      <c r="A181" s="16" t="s">
        <v>995</v>
      </c>
      <c r="B181" s="16" t="s">
        <v>513</v>
      </c>
      <c r="C181" s="17">
        <v>4.7915109580938E13</v>
      </c>
      <c r="D181" s="16" t="s">
        <v>670</v>
      </c>
      <c r="E181" s="16" t="str">
        <f t="shared" si="1"/>
        <v>LEVEL-THREE-MEDIUM-PILLOWTOPCalifornia King</v>
      </c>
      <c r="F181" s="18" t="s">
        <v>1368</v>
      </c>
      <c r="G181" s="16"/>
      <c r="H181" s="16"/>
      <c r="I181" s="16"/>
      <c r="J181" s="16"/>
      <c r="K181" s="16"/>
      <c r="L181" s="16"/>
      <c r="M181" s="16"/>
      <c r="N181" s="16"/>
      <c r="O181" s="16"/>
      <c r="P181" s="16"/>
      <c r="Q181" s="16"/>
      <c r="R181" s="16"/>
      <c r="S181" s="16"/>
      <c r="T181" s="16"/>
      <c r="U181" s="16"/>
      <c r="V181" s="16"/>
      <c r="W181" s="16"/>
      <c r="X181" s="16"/>
      <c r="Y181" s="16"/>
      <c r="Z181" s="16"/>
      <c r="AA181" s="16"/>
    </row>
    <row r="182">
      <c r="A182" s="16" t="s">
        <v>996</v>
      </c>
      <c r="B182" s="16" t="s">
        <v>516</v>
      </c>
      <c r="C182" s="17">
        <v>4.7915109613706E13</v>
      </c>
      <c r="D182" s="16" t="s">
        <v>32</v>
      </c>
      <c r="E182" s="16" t="str">
        <f t="shared" si="1"/>
        <v>LEVEL-FOUR-PLUSH-PILLOWTOPTwin XL</v>
      </c>
      <c r="F182" s="18" t="s">
        <v>1084</v>
      </c>
      <c r="G182" s="16"/>
      <c r="H182" s="16"/>
      <c r="I182" s="16"/>
      <c r="J182" s="16"/>
      <c r="K182" s="16"/>
      <c r="L182" s="16"/>
      <c r="M182" s="16"/>
      <c r="N182" s="16"/>
      <c r="O182" s="16"/>
      <c r="P182" s="16"/>
      <c r="Q182" s="16"/>
      <c r="R182" s="16"/>
      <c r="S182" s="16"/>
      <c r="T182" s="16"/>
      <c r="U182" s="16"/>
      <c r="V182" s="16"/>
      <c r="W182" s="16"/>
      <c r="X182" s="16"/>
      <c r="Y182" s="16"/>
      <c r="Z182" s="16"/>
      <c r="AA182" s="16"/>
    </row>
    <row r="183">
      <c r="A183" s="16" t="s">
        <v>996</v>
      </c>
      <c r="B183" s="16" t="s">
        <v>516</v>
      </c>
      <c r="C183" s="17">
        <v>4.7915109646474E13</v>
      </c>
      <c r="D183" s="16" t="s">
        <v>242</v>
      </c>
      <c r="E183" s="16" t="str">
        <f t="shared" si="1"/>
        <v>LEVEL-FOUR-PLUSH-PILLOWTOPTwin</v>
      </c>
      <c r="F183" s="18" t="s">
        <v>1134</v>
      </c>
      <c r="G183" s="16"/>
      <c r="H183" s="16"/>
      <c r="I183" s="16"/>
      <c r="J183" s="16"/>
      <c r="K183" s="16"/>
      <c r="L183" s="16"/>
      <c r="M183" s="16"/>
      <c r="N183" s="16"/>
      <c r="O183" s="16"/>
      <c r="P183" s="16"/>
      <c r="Q183" s="16"/>
      <c r="R183" s="16"/>
      <c r="S183" s="16"/>
      <c r="T183" s="16"/>
      <c r="U183" s="16"/>
      <c r="V183" s="16"/>
      <c r="W183" s="16"/>
      <c r="X183" s="16"/>
      <c r="Y183" s="16"/>
      <c r="Z183" s="16"/>
      <c r="AA183" s="16"/>
    </row>
    <row r="184">
      <c r="A184" s="16" t="s">
        <v>996</v>
      </c>
      <c r="B184" s="16" t="s">
        <v>516</v>
      </c>
      <c r="C184" s="17">
        <v>4.7915109679242E13</v>
      </c>
      <c r="D184" s="16" t="s">
        <v>373</v>
      </c>
      <c r="E184" s="16" t="str">
        <f t="shared" si="1"/>
        <v>LEVEL-FOUR-PLUSH-PILLOWTOPFull</v>
      </c>
      <c r="F184" s="18" t="s">
        <v>1184</v>
      </c>
      <c r="G184" s="16"/>
      <c r="H184" s="16"/>
      <c r="I184" s="16"/>
      <c r="J184" s="16"/>
      <c r="K184" s="16"/>
      <c r="L184" s="16"/>
      <c r="M184" s="16"/>
      <c r="N184" s="16"/>
      <c r="O184" s="16"/>
      <c r="P184" s="16"/>
      <c r="Q184" s="16"/>
      <c r="R184" s="16"/>
      <c r="S184" s="16"/>
      <c r="T184" s="16"/>
      <c r="U184" s="16"/>
      <c r="V184" s="16"/>
      <c r="W184" s="16"/>
      <c r="X184" s="16"/>
      <c r="Y184" s="16"/>
      <c r="Z184" s="16"/>
      <c r="AA184" s="16"/>
    </row>
    <row r="185">
      <c r="A185" s="16" t="s">
        <v>996</v>
      </c>
      <c r="B185" s="16" t="s">
        <v>516</v>
      </c>
      <c r="C185" s="17">
        <v>4.791510971201E13</v>
      </c>
      <c r="D185" s="16" t="s">
        <v>470</v>
      </c>
      <c r="E185" s="16" t="str">
        <f t="shared" si="1"/>
        <v>LEVEL-FOUR-PLUSH-PILLOWTOPQueen</v>
      </c>
      <c r="F185" s="18" t="s">
        <v>1240</v>
      </c>
      <c r="G185" s="16"/>
      <c r="H185" s="16"/>
      <c r="I185" s="16"/>
      <c r="J185" s="16"/>
      <c r="K185" s="16"/>
      <c r="L185" s="16"/>
      <c r="M185" s="16"/>
      <c r="N185" s="16"/>
      <c r="O185" s="16"/>
      <c r="P185" s="16"/>
      <c r="Q185" s="16"/>
      <c r="R185" s="16"/>
      <c r="S185" s="16"/>
      <c r="T185" s="16"/>
      <c r="U185" s="16"/>
      <c r="V185" s="16"/>
      <c r="W185" s="16"/>
      <c r="X185" s="16"/>
      <c r="Y185" s="16"/>
      <c r="Z185" s="16"/>
      <c r="AA185" s="16"/>
    </row>
    <row r="186">
      <c r="A186" s="16" t="s">
        <v>996</v>
      </c>
      <c r="B186" s="16" t="s">
        <v>516</v>
      </c>
      <c r="C186" s="17">
        <v>4.7915109744778E13</v>
      </c>
      <c r="D186" s="16" t="s">
        <v>568</v>
      </c>
      <c r="E186" s="16" t="str">
        <f t="shared" si="1"/>
        <v>LEVEL-FOUR-PLUSH-PILLOWTOPKing</v>
      </c>
      <c r="F186" s="18" t="s">
        <v>1295</v>
      </c>
      <c r="G186" s="16"/>
      <c r="H186" s="16"/>
      <c r="I186" s="16"/>
      <c r="J186" s="16"/>
      <c r="K186" s="16"/>
      <c r="L186" s="16"/>
      <c r="M186" s="16"/>
      <c r="N186" s="16"/>
      <c r="O186" s="16"/>
      <c r="P186" s="16"/>
      <c r="Q186" s="16"/>
      <c r="R186" s="16"/>
      <c r="S186" s="16"/>
      <c r="T186" s="16"/>
      <c r="U186" s="16"/>
      <c r="V186" s="16"/>
      <c r="W186" s="16"/>
      <c r="X186" s="16"/>
      <c r="Y186" s="16"/>
      <c r="Z186" s="16"/>
      <c r="AA186" s="16"/>
    </row>
    <row r="187">
      <c r="A187" s="16" t="s">
        <v>996</v>
      </c>
      <c r="B187" s="16" t="s">
        <v>516</v>
      </c>
      <c r="C187" s="17">
        <v>4.7915109777546E13</v>
      </c>
      <c r="D187" s="16" t="s">
        <v>670</v>
      </c>
      <c r="E187" s="16" t="str">
        <f t="shared" si="1"/>
        <v>LEVEL-FOUR-PLUSH-PILLOWTOPCalifornia King</v>
      </c>
      <c r="F187" s="18" t="s">
        <v>1369</v>
      </c>
      <c r="G187" s="16"/>
      <c r="H187" s="16"/>
      <c r="I187" s="16"/>
      <c r="J187" s="16"/>
      <c r="K187" s="16"/>
      <c r="L187" s="16"/>
      <c r="M187" s="16"/>
      <c r="N187" s="16"/>
      <c r="O187" s="16"/>
      <c r="P187" s="16"/>
      <c r="Q187" s="16"/>
      <c r="R187" s="16"/>
      <c r="S187" s="16"/>
      <c r="T187" s="16"/>
      <c r="U187" s="16"/>
      <c r="V187" s="16"/>
      <c r="W187" s="16"/>
      <c r="X187" s="16"/>
      <c r="Y187" s="16"/>
      <c r="Z187" s="16"/>
      <c r="AA187" s="16"/>
    </row>
    <row r="188">
      <c r="A188" s="16" t="s">
        <v>997</v>
      </c>
      <c r="B188" s="16" t="s">
        <v>519</v>
      </c>
      <c r="C188" s="17">
        <v>4.7915109843082E13</v>
      </c>
      <c r="D188" s="16" t="s">
        <v>32</v>
      </c>
      <c r="E188" s="16" t="str">
        <f t="shared" si="1"/>
        <v>KERRY-PARKTwin XL</v>
      </c>
      <c r="F188" s="18" t="s">
        <v>1085</v>
      </c>
      <c r="G188" s="16"/>
      <c r="H188" s="16"/>
      <c r="I188" s="16"/>
      <c r="J188" s="16"/>
      <c r="K188" s="16"/>
      <c r="L188" s="16"/>
      <c r="M188" s="16"/>
      <c r="N188" s="16"/>
      <c r="O188" s="16"/>
      <c r="P188" s="16"/>
      <c r="Q188" s="16"/>
      <c r="R188" s="16"/>
      <c r="S188" s="16"/>
      <c r="T188" s="16"/>
      <c r="U188" s="16"/>
      <c r="V188" s="16"/>
      <c r="W188" s="16"/>
      <c r="X188" s="16"/>
      <c r="Y188" s="16"/>
      <c r="Z188" s="16"/>
      <c r="AA188" s="16"/>
    </row>
    <row r="189">
      <c r="A189" s="16" t="s">
        <v>997</v>
      </c>
      <c r="B189" s="16" t="s">
        <v>519</v>
      </c>
      <c r="C189" s="17">
        <v>4.791510987585E13</v>
      </c>
      <c r="D189" s="16" t="s">
        <v>242</v>
      </c>
      <c r="E189" s="16" t="str">
        <f t="shared" si="1"/>
        <v>KERRY-PARKTwin</v>
      </c>
      <c r="F189" s="18" t="s">
        <v>1135</v>
      </c>
      <c r="G189" s="16"/>
      <c r="H189" s="16"/>
      <c r="I189" s="16"/>
      <c r="J189" s="16"/>
      <c r="K189" s="16"/>
      <c r="L189" s="16"/>
      <c r="M189" s="16"/>
      <c r="N189" s="16"/>
      <c r="O189" s="16"/>
      <c r="P189" s="16"/>
      <c r="Q189" s="16"/>
      <c r="R189" s="16"/>
      <c r="S189" s="16"/>
      <c r="T189" s="16"/>
      <c r="U189" s="16"/>
      <c r="V189" s="16"/>
      <c r="W189" s="16"/>
      <c r="X189" s="16"/>
      <c r="Y189" s="16"/>
      <c r="Z189" s="16"/>
      <c r="AA189" s="16"/>
    </row>
    <row r="190">
      <c r="A190" s="16" t="s">
        <v>997</v>
      </c>
      <c r="B190" s="16" t="s">
        <v>519</v>
      </c>
      <c r="C190" s="17">
        <v>4.7915109908618E13</v>
      </c>
      <c r="D190" s="16" t="s">
        <v>373</v>
      </c>
      <c r="E190" s="16" t="str">
        <f t="shared" si="1"/>
        <v>KERRY-PARKFull</v>
      </c>
      <c r="F190" s="18" t="s">
        <v>1185</v>
      </c>
      <c r="G190" s="16"/>
      <c r="H190" s="16"/>
      <c r="I190" s="16"/>
      <c r="J190" s="16"/>
      <c r="K190" s="16"/>
      <c r="L190" s="16"/>
      <c r="M190" s="16"/>
      <c r="N190" s="16"/>
      <c r="O190" s="16"/>
      <c r="P190" s="16"/>
      <c r="Q190" s="16"/>
      <c r="R190" s="16"/>
      <c r="S190" s="16"/>
      <c r="T190" s="16"/>
      <c r="U190" s="16"/>
      <c r="V190" s="16"/>
      <c r="W190" s="16"/>
      <c r="X190" s="16"/>
      <c r="Y190" s="16"/>
      <c r="Z190" s="16"/>
      <c r="AA190" s="16"/>
    </row>
    <row r="191">
      <c r="A191" s="16" t="s">
        <v>997</v>
      </c>
      <c r="B191" s="16" t="s">
        <v>519</v>
      </c>
      <c r="C191" s="17">
        <v>4.7915109941386E13</v>
      </c>
      <c r="D191" s="16" t="s">
        <v>470</v>
      </c>
      <c r="E191" s="16" t="str">
        <f t="shared" si="1"/>
        <v>KERRY-PARKQueen</v>
      </c>
      <c r="F191" s="18" t="s">
        <v>1241</v>
      </c>
      <c r="G191" s="16"/>
      <c r="H191" s="16"/>
      <c r="I191" s="16"/>
      <c r="J191" s="16"/>
      <c r="K191" s="16"/>
      <c r="L191" s="16"/>
      <c r="M191" s="16"/>
      <c r="N191" s="16"/>
      <c r="O191" s="16"/>
      <c r="P191" s="16"/>
      <c r="Q191" s="16"/>
      <c r="R191" s="16"/>
      <c r="S191" s="16"/>
      <c r="T191" s="16"/>
      <c r="U191" s="16"/>
      <c r="V191" s="16"/>
      <c r="W191" s="16"/>
      <c r="X191" s="16"/>
      <c r="Y191" s="16"/>
      <c r="Z191" s="16"/>
      <c r="AA191" s="16"/>
    </row>
    <row r="192">
      <c r="A192" s="16" t="s">
        <v>997</v>
      </c>
      <c r="B192" s="16" t="s">
        <v>519</v>
      </c>
      <c r="C192" s="17">
        <v>4.7915109974154E13</v>
      </c>
      <c r="D192" s="16" t="s">
        <v>568</v>
      </c>
      <c r="E192" s="16" t="str">
        <f t="shared" si="1"/>
        <v>KERRY-PARKKing</v>
      </c>
      <c r="F192" s="18" t="s">
        <v>1296</v>
      </c>
      <c r="G192" s="16"/>
      <c r="H192" s="16"/>
      <c r="I192" s="16"/>
      <c r="J192" s="16"/>
      <c r="K192" s="16"/>
      <c r="L192" s="16"/>
      <c r="M192" s="16"/>
      <c r="N192" s="16"/>
      <c r="O192" s="16"/>
      <c r="P192" s="16"/>
      <c r="Q192" s="16"/>
      <c r="R192" s="16"/>
      <c r="S192" s="16"/>
      <c r="T192" s="16"/>
      <c r="U192" s="16"/>
      <c r="V192" s="16"/>
      <c r="W192" s="16"/>
      <c r="X192" s="16"/>
      <c r="Y192" s="16"/>
      <c r="Z192" s="16"/>
      <c r="AA192" s="16"/>
    </row>
    <row r="193">
      <c r="A193" s="16" t="s">
        <v>997</v>
      </c>
      <c r="B193" s="16" t="s">
        <v>519</v>
      </c>
      <c r="C193" s="17">
        <v>4.7915110006922E13</v>
      </c>
      <c r="D193" s="16" t="s">
        <v>670</v>
      </c>
      <c r="E193" s="16" t="str">
        <f t="shared" si="1"/>
        <v>KERRY-PARKCalifornia King</v>
      </c>
      <c r="F193" s="18" t="s">
        <v>1370</v>
      </c>
      <c r="G193" s="16"/>
      <c r="H193" s="16"/>
      <c r="I193" s="16"/>
      <c r="J193" s="16"/>
      <c r="K193" s="16"/>
      <c r="L193" s="16"/>
      <c r="M193" s="16"/>
      <c r="N193" s="16"/>
      <c r="O193" s="16"/>
      <c r="P193" s="16"/>
      <c r="Q193" s="16"/>
      <c r="R193" s="16"/>
      <c r="S193" s="16"/>
      <c r="T193" s="16"/>
      <c r="U193" s="16"/>
      <c r="V193" s="16"/>
      <c r="W193" s="16"/>
      <c r="X193" s="16"/>
      <c r="Y193" s="16"/>
      <c r="Z193" s="16"/>
      <c r="AA193" s="16"/>
    </row>
    <row r="194">
      <c r="A194" s="16" t="s">
        <v>998</v>
      </c>
      <c r="B194" s="16" t="s">
        <v>184</v>
      </c>
      <c r="C194" s="17">
        <v>4.791511003969E13</v>
      </c>
      <c r="D194" s="16" t="s">
        <v>32</v>
      </c>
      <c r="E194" s="16" t="str">
        <f t="shared" si="1"/>
        <v>BRADFORD-HILLTwin XL</v>
      </c>
      <c r="F194" s="18" t="s">
        <v>1086</v>
      </c>
      <c r="G194" s="16"/>
      <c r="H194" s="16"/>
      <c r="I194" s="16"/>
      <c r="J194" s="16"/>
      <c r="K194" s="16"/>
      <c r="L194" s="16"/>
      <c r="M194" s="16"/>
      <c r="N194" s="16"/>
      <c r="O194" s="16"/>
      <c r="P194" s="16"/>
      <c r="Q194" s="16"/>
      <c r="R194" s="16"/>
      <c r="S194" s="16"/>
      <c r="T194" s="16"/>
      <c r="U194" s="16"/>
      <c r="V194" s="16"/>
      <c r="W194" s="16"/>
      <c r="X194" s="16"/>
      <c r="Y194" s="16"/>
      <c r="Z194" s="16"/>
      <c r="AA194" s="16"/>
    </row>
    <row r="195">
      <c r="A195" s="16" t="s">
        <v>998</v>
      </c>
      <c r="B195" s="16" t="s">
        <v>184</v>
      </c>
      <c r="C195" s="17">
        <v>4.7915110072458E13</v>
      </c>
      <c r="D195" s="16" t="s">
        <v>242</v>
      </c>
      <c r="E195" s="16" t="str">
        <f t="shared" si="1"/>
        <v>BRADFORD-HILLTwin</v>
      </c>
      <c r="F195" s="18" t="s">
        <v>1136</v>
      </c>
      <c r="G195" s="16"/>
      <c r="H195" s="16"/>
      <c r="I195" s="16"/>
      <c r="J195" s="16"/>
      <c r="K195" s="16"/>
      <c r="L195" s="16"/>
      <c r="M195" s="16"/>
      <c r="N195" s="16"/>
      <c r="O195" s="16"/>
      <c r="P195" s="16"/>
      <c r="Q195" s="16"/>
      <c r="R195" s="16"/>
      <c r="S195" s="16"/>
      <c r="T195" s="16"/>
      <c r="U195" s="16"/>
      <c r="V195" s="16"/>
      <c r="W195" s="16"/>
      <c r="X195" s="16"/>
      <c r="Y195" s="16"/>
      <c r="Z195" s="16"/>
      <c r="AA195" s="16"/>
    </row>
    <row r="196">
      <c r="A196" s="16" t="s">
        <v>998</v>
      </c>
      <c r="B196" s="16" t="s">
        <v>184</v>
      </c>
      <c r="C196" s="17">
        <v>4.7915110105226E13</v>
      </c>
      <c r="D196" s="16" t="s">
        <v>373</v>
      </c>
      <c r="E196" s="16" t="str">
        <f t="shared" si="1"/>
        <v>BRADFORD-HILLFull</v>
      </c>
      <c r="F196" s="18" t="s">
        <v>1186</v>
      </c>
      <c r="G196" s="16"/>
      <c r="H196" s="16"/>
      <c r="I196" s="16"/>
      <c r="J196" s="16"/>
      <c r="K196" s="16"/>
      <c r="L196" s="16"/>
      <c r="M196" s="16"/>
      <c r="N196" s="16"/>
      <c r="O196" s="16"/>
      <c r="P196" s="16"/>
      <c r="Q196" s="16"/>
      <c r="R196" s="16"/>
      <c r="S196" s="16"/>
      <c r="T196" s="16"/>
      <c r="U196" s="16"/>
      <c r="V196" s="16"/>
      <c r="W196" s="16"/>
      <c r="X196" s="16"/>
      <c r="Y196" s="16"/>
      <c r="Z196" s="16"/>
      <c r="AA196" s="16"/>
    </row>
    <row r="197">
      <c r="A197" s="16" t="s">
        <v>998</v>
      </c>
      <c r="B197" s="16" t="s">
        <v>184</v>
      </c>
      <c r="C197" s="17">
        <v>4.7915110137994E13</v>
      </c>
      <c r="D197" s="16" t="s">
        <v>470</v>
      </c>
      <c r="E197" s="16" t="str">
        <f t="shared" si="1"/>
        <v>BRADFORD-HILLQueen</v>
      </c>
      <c r="F197" s="18" t="s">
        <v>1242</v>
      </c>
      <c r="G197" s="16"/>
      <c r="H197" s="16"/>
      <c r="I197" s="16"/>
      <c r="J197" s="16"/>
      <c r="K197" s="16"/>
      <c r="L197" s="16"/>
      <c r="M197" s="16"/>
      <c r="N197" s="16"/>
      <c r="O197" s="16"/>
      <c r="P197" s="16"/>
      <c r="Q197" s="16"/>
      <c r="R197" s="16"/>
      <c r="S197" s="16"/>
      <c r="T197" s="16"/>
      <c r="U197" s="16"/>
      <c r="V197" s="16"/>
      <c r="W197" s="16"/>
      <c r="X197" s="16"/>
      <c r="Y197" s="16"/>
      <c r="Z197" s="16"/>
      <c r="AA197" s="16"/>
    </row>
    <row r="198">
      <c r="A198" s="16" t="s">
        <v>998</v>
      </c>
      <c r="B198" s="16" t="s">
        <v>184</v>
      </c>
      <c r="C198" s="17">
        <v>4.7915110170762E13</v>
      </c>
      <c r="D198" s="16" t="s">
        <v>568</v>
      </c>
      <c r="E198" s="16" t="str">
        <f t="shared" si="1"/>
        <v>BRADFORD-HILLKing</v>
      </c>
      <c r="F198" s="18" t="s">
        <v>1297</v>
      </c>
      <c r="G198" s="16"/>
      <c r="H198" s="16"/>
      <c r="I198" s="16"/>
      <c r="J198" s="16"/>
      <c r="K198" s="16"/>
      <c r="L198" s="16"/>
      <c r="M198" s="16"/>
      <c r="N198" s="16"/>
      <c r="O198" s="16"/>
      <c r="P198" s="16"/>
      <c r="Q198" s="16"/>
      <c r="R198" s="16"/>
      <c r="S198" s="16"/>
      <c r="T198" s="16"/>
      <c r="U198" s="16"/>
      <c r="V198" s="16"/>
      <c r="W198" s="16"/>
      <c r="X198" s="16"/>
      <c r="Y198" s="16"/>
      <c r="Z198" s="16"/>
      <c r="AA198" s="16"/>
    </row>
    <row r="199">
      <c r="A199" s="16" t="s">
        <v>187</v>
      </c>
      <c r="B199" s="16" t="s">
        <v>523</v>
      </c>
      <c r="C199" s="17">
        <v>4.791511020353E13</v>
      </c>
      <c r="D199" s="16" t="s">
        <v>32</v>
      </c>
      <c r="E199" s="16" t="str">
        <f t="shared" si="1"/>
        <v>NORTHGATETwin XL</v>
      </c>
      <c r="F199" s="18" t="s">
        <v>1087</v>
      </c>
      <c r="G199" s="16"/>
      <c r="H199" s="16"/>
      <c r="I199" s="16"/>
      <c r="J199" s="16"/>
      <c r="K199" s="16"/>
      <c r="L199" s="16"/>
      <c r="M199" s="16"/>
      <c r="N199" s="16"/>
      <c r="O199" s="16"/>
      <c r="P199" s="16"/>
      <c r="Q199" s="16"/>
      <c r="R199" s="16"/>
      <c r="S199" s="16"/>
      <c r="T199" s="16"/>
      <c r="U199" s="16"/>
      <c r="V199" s="16"/>
      <c r="W199" s="16"/>
      <c r="X199" s="16"/>
      <c r="Y199" s="16"/>
      <c r="Z199" s="16"/>
      <c r="AA199" s="16"/>
    </row>
    <row r="200">
      <c r="A200" s="16" t="s">
        <v>187</v>
      </c>
      <c r="B200" s="16" t="s">
        <v>523</v>
      </c>
      <c r="C200" s="17">
        <v>4.7915110236298E13</v>
      </c>
      <c r="D200" s="16" t="s">
        <v>470</v>
      </c>
      <c r="E200" s="16" t="str">
        <f t="shared" si="1"/>
        <v>NORTHGATEQueen</v>
      </c>
      <c r="F200" s="18" t="s">
        <v>1243</v>
      </c>
      <c r="G200" s="16"/>
      <c r="H200" s="16"/>
      <c r="I200" s="16"/>
      <c r="J200" s="16"/>
      <c r="K200" s="16"/>
      <c r="L200" s="16"/>
      <c r="M200" s="16"/>
      <c r="N200" s="16"/>
      <c r="O200" s="16"/>
      <c r="P200" s="16"/>
      <c r="Q200" s="16"/>
      <c r="R200" s="16"/>
      <c r="S200" s="16"/>
      <c r="T200" s="16"/>
      <c r="U200" s="16"/>
      <c r="V200" s="16"/>
      <c r="W200" s="16"/>
      <c r="X200" s="16"/>
      <c r="Y200" s="16"/>
      <c r="Z200" s="16"/>
      <c r="AA200" s="16"/>
    </row>
    <row r="201">
      <c r="A201" s="16" t="s">
        <v>187</v>
      </c>
      <c r="B201" s="16" t="s">
        <v>523</v>
      </c>
      <c r="C201" s="17">
        <v>4.7915110269066E13</v>
      </c>
      <c r="D201" s="16" t="s">
        <v>568</v>
      </c>
      <c r="E201" s="16" t="str">
        <f t="shared" si="1"/>
        <v>NORTHGATEKing</v>
      </c>
      <c r="F201" s="18" t="s">
        <v>1298</v>
      </c>
      <c r="G201" s="16"/>
      <c r="H201" s="16"/>
      <c r="I201" s="16"/>
      <c r="J201" s="16"/>
      <c r="K201" s="16"/>
      <c r="L201" s="16"/>
      <c r="M201" s="16"/>
      <c r="N201" s="16"/>
      <c r="O201" s="16"/>
      <c r="P201" s="16"/>
      <c r="Q201" s="16"/>
      <c r="R201" s="16"/>
      <c r="S201" s="16"/>
      <c r="T201" s="16"/>
      <c r="U201" s="16"/>
      <c r="V201" s="16"/>
      <c r="W201" s="16"/>
      <c r="X201" s="16"/>
      <c r="Y201" s="16"/>
      <c r="Z201" s="16"/>
      <c r="AA201" s="16"/>
    </row>
    <row r="202">
      <c r="A202" s="16" t="s">
        <v>187</v>
      </c>
      <c r="B202" s="16" t="s">
        <v>523</v>
      </c>
      <c r="C202" s="17">
        <v>4.7915110301834E13</v>
      </c>
      <c r="D202" s="16" t="s">
        <v>670</v>
      </c>
      <c r="E202" s="16" t="str">
        <f t="shared" si="1"/>
        <v>NORTHGATECalifornia King</v>
      </c>
      <c r="F202" s="18" t="s">
        <v>1371</v>
      </c>
      <c r="G202" s="16"/>
      <c r="H202" s="16"/>
      <c r="I202" s="16"/>
      <c r="J202" s="16"/>
      <c r="K202" s="16"/>
      <c r="L202" s="16"/>
      <c r="M202" s="16"/>
      <c r="N202" s="16"/>
      <c r="O202" s="16"/>
      <c r="P202" s="16"/>
      <c r="Q202" s="16"/>
      <c r="R202" s="16"/>
      <c r="S202" s="16"/>
      <c r="T202" s="16"/>
      <c r="U202" s="16"/>
      <c r="V202" s="16"/>
      <c r="W202" s="16"/>
      <c r="X202" s="16"/>
      <c r="Y202" s="16"/>
      <c r="Z202" s="16"/>
      <c r="AA202" s="16"/>
    </row>
    <row r="203">
      <c r="A203" s="16" t="s">
        <v>189</v>
      </c>
      <c r="B203" s="16" t="s">
        <v>342</v>
      </c>
      <c r="C203" s="17">
        <v>4.7915110334602E13</v>
      </c>
      <c r="D203" s="16" t="s">
        <v>32</v>
      </c>
      <c r="E203" s="16" t="str">
        <f t="shared" si="1"/>
        <v>BRIERWOODTwin XL</v>
      </c>
      <c r="F203" s="18" t="s">
        <v>1088</v>
      </c>
      <c r="G203" s="16"/>
      <c r="H203" s="16"/>
      <c r="I203" s="16"/>
      <c r="J203" s="16"/>
      <c r="K203" s="16"/>
      <c r="L203" s="16"/>
      <c r="M203" s="16"/>
      <c r="N203" s="16"/>
      <c r="O203" s="16"/>
      <c r="P203" s="16"/>
      <c r="Q203" s="16"/>
      <c r="R203" s="16"/>
      <c r="S203" s="16"/>
      <c r="T203" s="16"/>
      <c r="U203" s="16"/>
      <c r="V203" s="16"/>
      <c r="W203" s="16"/>
      <c r="X203" s="16"/>
      <c r="Y203" s="16"/>
      <c r="Z203" s="16"/>
      <c r="AA203" s="16"/>
    </row>
    <row r="204">
      <c r="A204" s="16" t="s">
        <v>189</v>
      </c>
      <c r="B204" s="16" t="s">
        <v>342</v>
      </c>
      <c r="C204" s="17">
        <v>4.791511036737E13</v>
      </c>
      <c r="D204" s="16" t="s">
        <v>242</v>
      </c>
      <c r="E204" s="16" t="str">
        <f t="shared" si="1"/>
        <v>BRIERWOODTwin</v>
      </c>
      <c r="F204" s="18" t="s">
        <v>1137</v>
      </c>
      <c r="G204" s="16"/>
      <c r="H204" s="16"/>
      <c r="I204" s="16"/>
      <c r="J204" s="16"/>
      <c r="K204" s="16"/>
      <c r="L204" s="16"/>
      <c r="M204" s="16"/>
      <c r="N204" s="16"/>
      <c r="O204" s="16"/>
      <c r="P204" s="16"/>
      <c r="Q204" s="16"/>
      <c r="R204" s="16"/>
      <c r="S204" s="16"/>
      <c r="T204" s="16"/>
      <c r="U204" s="16"/>
      <c r="V204" s="16"/>
      <c r="W204" s="16"/>
      <c r="X204" s="16"/>
      <c r="Y204" s="16"/>
      <c r="Z204" s="16"/>
      <c r="AA204" s="16"/>
    </row>
    <row r="205">
      <c r="A205" s="16" t="s">
        <v>189</v>
      </c>
      <c r="B205" s="16" t="s">
        <v>342</v>
      </c>
      <c r="C205" s="17">
        <v>4.7915110400138E13</v>
      </c>
      <c r="D205" s="16" t="s">
        <v>373</v>
      </c>
      <c r="E205" s="16" t="str">
        <f t="shared" si="1"/>
        <v>BRIERWOODFull</v>
      </c>
      <c r="F205" s="18" t="s">
        <v>1187</v>
      </c>
      <c r="G205" s="16"/>
      <c r="H205" s="16"/>
      <c r="I205" s="16"/>
      <c r="J205" s="16"/>
      <c r="K205" s="16"/>
      <c r="L205" s="16"/>
      <c r="M205" s="16"/>
      <c r="N205" s="16"/>
      <c r="O205" s="16"/>
      <c r="P205" s="16"/>
      <c r="Q205" s="16"/>
      <c r="R205" s="16"/>
      <c r="S205" s="16"/>
      <c r="T205" s="16"/>
      <c r="U205" s="16"/>
      <c r="V205" s="16"/>
      <c r="W205" s="16"/>
      <c r="X205" s="16"/>
      <c r="Y205" s="16"/>
      <c r="Z205" s="16"/>
      <c r="AA205" s="16"/>
    </row>
    <row r="206">
      <c r="A206" s="16" t="s">
        <v>189</v>
      </c>
      <c r="B206" s="16" t="s">
        <v>342</v>
      </c>
      <c r="C206" s="17">
        <v>4.7915110432906E13</v>
      </c>
      <c r="D206" s="16" t="s">
        <v>470</v>
      </c>
      <c r="E206" s="16" t="str">
        <f t="shared" si="1"/>
        <v>BRIERWOODQueen</v>
      </c>
      <c r="F206" s="18" t="s">
        <v>1244</v>
      </c>
      <c r="G206" s="16"/>
      <c r="H206" s="16"/>
      <c r="I206" s="16"/>
      <c r="J206" s="16"/>
      <c r="K206" s="16"/>
      <c r="L206" s="16"/>
      <c r="M206" s="16"/>
      <c r="N206" s="16"/>
      <c r="O206" s="16"/>
      <c r="P206" s="16"/>
      <c r="Q206" s="16"/>
      <c r="R206" s="16"/>
      <c r="S206" s="16"/>
      <c r="T206" s="16"/>
      <c r="U206" s="16"/>
      <c r="V206" s="16"/>
      <c r="W206" s="16"/>
      <c r="X206" s="16"/>
      <c r="Y206" s="16"/>
      <c r="Z206" s="16"/>
      <c r="AA206" s="16"/>
    </row>
    <row r="207">
      <c r="A207" s="16" t="s">
        <v>189</v>
      </c>
      <c r="B207" s="16" t="s">
        <v>342</v>
      </c>
      <c r="C207" s="17">
        <v>4.7915110465674E13</v>
      </c>
      <c r="D207" s="16" t="s">
        <v>568</v>
      </c>
      <c r="E207" s="16" t="str">
        <f t="shared" si="1"/>
        <v>BRIERWOODKing</v>
      </c>
      <c r="F207" s="18" t="s">
        <v>1299</v>
      </c>
      <c r="G207" s="16"/>
      <c r="H207" s="16"/>
      <c r="I207" s="16"/>
      <c r="J207" s="16"/>
      <c r="K207" s="16"/>
      <c r="L207" s="16"/>
      <c r="M207" s="16"/>
      <c r="N207" s="16"/>
      <c r="O207" s="16"/>
      <c r="P207" s="16"/>
      <c r="Q207" s="16"/>
      <c r="R207" s="16"/>
      <c r="S207" s="16"/>
      <c r="T207" s="16"/>
      <c r="U207" s="16"/>
      <c r="V207" s="16"/>
      <c r="W207" s="16"/>
      <c r="X207" s="16"/>
      <c r="Y207" s="16"/>
      <c r="Z207" s="16"/>
      <c r="AA207" s="16"/>
    </row>
    <row r="208">
      <c r="A208" s="16" t="s">
        <v>189</v>
      </c>
      <c r="B208" s="16" t="s">
        <v>342</v>
      </c>
      <c r="C208" s="17">
        <v>4.7915110498442E13</v>
      </c>
      <c r="D208" s="16" t="s">
        <v>670</v>
      </c>
      <c r="E208" s="16" t="str">
        <f t="shared" si="1"/>
        <v>BRIERWOODCalifornia King</v>
      </c>
      <c r="F208" s="18" t="s">
        <v>1372</v>
      </c>
      <c r="G208" s="16"/>
      <c r="H208" s="16"/>
      <c r="I208" s="16"/>
      <c r="J208" s="16"/>
      <c r="K208" s="16"/>
      <c r="L208" s="16"/>
      <c r="M208" s="16"/>
      <c r="N208" s="16"/>
      <c r="O208" s="16"/>
      <c r="P208" s="16"/>
      <c r="Q208" s="16"/>
      <c r="R208" s="16"/>
      <c r="S208" s="16"/>
      <c r="T208" s="16"/>
      <c r="U208" s="16"/>
      <c r="V208" s="16"/>
      <c r="W208" s="16"/>
      <c r="X208" s="16"/>
      <c r="Y208" s="16"/>
      <c r="Z208" s="16"/>
      <c r="AA208" s="16"/>
    </row>
    <row r="209">
      <c r="A209" s="16" t="s">
        <v>999</v>
      </c>
      <c r="B209" s="16" t="s">
        <v>527</v>
      </c>
      <c r="C209" s="17">
        <v>4.7915110629514E13</v>
      </c>
      <c r="D209" s="16" t="s">
        <v>32</v>
      </c>
      <c r="E209" s="16" t="str">
        <f t="shared" si="1"/>
        <v>CASTLE-ROCKTwin XL</v>
      </c>
      <c r="F209" s="18" t="s">
        <v>1089</v>
      </c>
      <c r="G209" s="16"/>
      <c r="H209" s="16"/>
      <c r="I209" s="16"/>
      <c r="J209" s="16"/>
      <c r="K209" s="16"/>
      <c r="L209" s="16"/>
      <c r="M209" s="16"/>
      <c r="N209" s="16"/>
      <c r="O209" s="16"/>
      <c r="P209" s="16"/>
      <c r="Q209" s="16"/>
      <c r="R209" s="16"/>
      <c r="S209" s="16"/>
      <c r="T209" s="16"/>
      <c r="U209" s="16"/>
      <c r="V209" s="16"/>
      <c r="W209" s="16"/>
      <c r="X209" s="16"/>
      <c r="Y209" s="16"/>
      <c r="Z209" s="16"/>
      <c r="AA209" s="16"/>
    </row>
    <row r="210">
      <c r="A210" s="16" t="s">
        <v>999</v>
      </c>
      <c r="B210" s="16" t="s">
        <v>527</v>
      </c>
      <c r="C210" s="17">
        <v>4.7915110662282E13</v>
      </c>
      <c r="D210" s="16" t="s">
        <v>242</v>
      </c>
      <c r="E210" s="16" t="str">
        <f t="shared" si="1"/>
        <v>CASTLE-ROCKTwin</v>
      </c>
      <c r="F210" s="18" t="s">
        <v>1138</v>
      </c>
      <c r="G210" s="16"/>
      <c r="H210" s="16"/>
      <c r="I210" s="16"/>
      <c r="J210" s="16"/>
      <c r="K210" s="16"/>
      <c r="L210" s="16"/>
      <c r="M210" s="16"/>
      <c r="N210" s="16"/>
      <c r="O210" s="16"/>
      <c r="P210" s="16"/>
      <c r="Q210" s="16"/>
      <c r="R210" s="16"/>
      <c r="S210" s="16"/>
      <c r="T210" s="16"/>
      <c r="U210" s="16"/>
      <c r="V210" s="16"/>
      <c r="W210" s="16"/>
      <c r="X210" s="16"/>
      <c r="Y210" s="16"/>
      <c r="Z210" s="16"/>
      <c r="AA210" s="16"/>
    </row>
    <row r="211">
      <c r="A211" s="16" t="s">
        <v>999</v>
      </c>
      <c r="B211" s="16" t="s">
        <v>527</v>
      </c>
      <c r="C211" s="17">
        <v>4.791511069505E13</v>
      </c>
      <c r="D211" s="16" t="s">
        <v>373</v>
      </c>
      <c r="E211" s="16" t="str">
        <f t="shared" si="1"/>
        <v>CASTLE-ROCKFull</v>
      </c>
      <c r="F211" s="18" t="s">
        <v>1188</v>
      </c>
      <c r="G211" s="16"/>
      <c r="H211" s="16"/>
      <c r="I211" s="16"/>
      <c r="J211" s="16"/>
      <c r="K211" s="16"/>
      <c r="L211" s="16"/>
      <c r="M211" s="16"/>
      <c r="N211" s="16"/>
      <c r="O211" s="16"/>
      <c r="P211" s="16"/>
      <c r="Q211" s="16"/>
      <c r="R211" s="16"/>
      <c r="S211" s="16"/>
      <c r="T211" s="16"/>
      <c r="U211" s="16"/>
      <c r="V211" s="16"/>
      <c r="W211" s="16"/>
      <c r="X211" s="16"/>
      <c r="Y211" s="16"/>
      <c r="Z211" s="16"/>
      <c r="AA211" s="16"/>
    </row>
    <row r="212">
      <c r="A212" s="16" t="s">
        <v>999</v>
      </c>
      <c r="B212" s="16" t="s">
        <v>527</v>
      </c>
      <c r="C212" s="17">
        <v>4.7915110727818E13</v>
      </c>
      <c r="D212" s="16" t="s">
        <v>470</v>
      </c>
      <c r="E212" s="16" t="str">
        <f t="shared" si="1"/>
        <v>CASTLE-ROCKQueen</v>
      </c>
      <c r="F212" s="18" t="s">
        <v>1245</v>
      </c>
      <c r="G212" s="16"/>
      <c r="H212" s="16"/>
      <c r="I212" s="16"/>
      <c r="J212" s="16"/>
      <c r="K212" s="16"/>
      <c r="L212" s="16"/>
      <c r="M212" s="16"/>
      <c r="N212" s="16"/>
      <c r="O212" s="16"/>
      <c r="P212" s="16"/>
      <c r="Q212" s="16"/>
      <c r="R212" s="16"/>
      <c r="S212" s="16"/>
      <c r="T212" s="16"/>
      <c r="U212" s="16"/>
      <c r="V212" s="16"/>
      <c r="W212" s="16"/>
      <c r="X212" s="16"/>
      <c r="Y212" s="16"/>
      <c r="Z212" s="16"/>
      <c r="AA212" s="16"/>
    </row>
    <row r="213">
      <c r="A213" s="16" t="s">
        <v>999</v>
      </c>
      <c r="B213" s="16" t="s">
        <v>527</v>
      </c>
      <c r="C213" s="17">
        <v>4.7915110760586E13</v>
      </c>
      <c r="D213" s="16" t="s">
        <v>568</v>
      </c>
      <c r="E213" s="16" t="str">
        <f t="shared" si="1"/>
        <v>CASTLE-ROCKKing</v>
      </c>
      <c r="F213" s="18" t="s">
        <v>1300</v>
      </c>
      <c r="G213" s="16"/>
      <c r="H213" s="16"/>
      <c r="I213" s="16"/>
      <c r="J213" s="16"/>
      <c r="K213" s="16"/>
      <c r="L213" s="16"/>
      <c r="M213" s="16"/>
      <c r="N213" s="16"/>
      <c r="O213" s="16"/>
      <c r="P213" s="16"/>
      <c r="Q213" s="16"/>
      <c r="R213" s="16"/>
      <c r="S213" s="16"/>
      <c r="T213" s="16"/>
      <c r="U213" s="16"/>
      <c r="V213" s="16"/>
      <c r="W213" s="16"/>
      <c r="X213" s="16"/>
      <c r="Y213" s="16"/>
      <c r="Z213" s="16"/>
      <c r="AA213" s="16"/>
    </row>
    <row r="214">
      <c r="A214" s="16" t="s">
        <v>999</v>
      </c>
      <c r="B214" s="16" t="s">
        <v>527</v>
      </c>
      <c r="C214" s="17">
        <v>4.7915110793354E13</v>
      </c>
      <c r="D214" s="16" t="s">
        <v>670</v>
      </c>
      <c r="E214" s="16" t="str">
        <f t="shared" si="1"/>
        <v>CASTLE-ROCKCalifornia King</v>
      </c>
      <c r="F214" s="18" t="s">
        <v>1373</v>
      </c>
      <c r="G214" s="16"/>
      <c r="H214" s="16"/>
      <c r="I214" s="16"/>
      <c r="J214" s="16"/>
      <c r="K214" s="16"/>
      <c r="L214" s="16"/>
      <c r="M214" s="16"/>
      <c r="N214" s="16"/>
      <c r="O214" s="16"/>
      <c r="P214" s="16"/>
      <c r="Q214" s="16"/>
      <c r="R214" s="16"/>
      <c r="S214" s="16"/>
      <c r="T214" s="16"/>
      <c r="U214" s="16"/>
      <c r="V214" s="16"/>
      <c r="W214" s="16"/>
      <c r="X214" s="16"/>
      <c r="Y214" s="16"/>
      <c r="Z214" s="16"/>
      <c r="AA214" s="16"/>
    </row>
    <row r="215">
      <c r="A215" s="16" t="s">
        <v>197</v>
      </c>
      <c r="B215" s="16" t="s">
        <v>610</v>
      </c>
      <c r="C215" s="17">
        <v>4.791511085889E13</v>
      </c>
      <c r="D215" s="16" t="s">
        <v>32</v>
      </c>
      <c r="E215" s="16" t="str">
        <f t="shared" si="1"/>
        <v>PEBBLEBROOKTwin XL</v>
      </c>
      <c r="F215" s="18" t="s">
        <v>1090</v>
      </c>
      <c r="G215" s="16"/>
      <c r="H215" s="16"/>
      <c r="I215" s="16"/>
      <c r="J215" s="16"/>
      <c r="K215" s="16"/>
      <c r="L215" s="16"/>
      <c r="M215" s="16"/>
      <c r="N215" s="16"/>
      <c r="O215" s="16"/>
      <c r="P215" s="16"/>
      <c r="Q215" s="16"/>
      <c r="R215" s="16"/>
      <c r="S215" s="16"/>
      <c r="T215" s="16"/>
      <c r="U215" s="16"/>
      <c r="V215" s="16"/>
      <c r="W215" s="16"/>
      <c r="X215" s="16"/>
      <c r="Y215" s="16"/>
      <c r="Z215" s="16"/>
      <c r="AA215" s="16"/>
    </row>
    <row r="216">
      <c r="A216" s="16" t="s">
        <v>197</v>
      </c>
      <c r="B216" s="16" t="s">
        <v>610</v>
      </c>
      <c r="C216" s="17">
        <v>4.7915110891658E13</v>
      </c>
      <c r="D216" s="16" t="s">
        <v>242</v>
      </c>
      <c r="E216" s="16" t="str">
        <f t="shared" si="1"/>
        <v>PEBBLEBROOKTwin</v>
      </c>
      <c r="F216" s="18" t="s">
        <v>1139</v>
      </c>
      <c r="G216" s="16"/>
      <c r="H216" s="16"/>
      <c r="I216" s="16"/>
      <c r="J216" s="16"/>
      <c r="K216" s="16"/>
      <c r="L216" s="16"/>
      <c r="M216" s="16"/>
      <c r="N216" s="16"/>
      <c r="O216" s="16"/>
      <c r="P216" s="16"/>
      <c r="Q216" s="16"/>
      <c r="R216" s="16"/>
      <c r="S216" s="16"/>
      <c r="T216" s="16"/>
      <c r="U216" s="16"/>
      <c r="V216" s="16"/>
      <c r="W216" s="16"/>
      <c r="X216" s="16"/>
      <c r="Y216" s="16"/>
      <c r="Z216" s="16"/>
      <c r="AA216" s="16"/>
    </row>
    <row r="217">
      <c r="A217" s="16" t="s">
        <v>197</v>
      </c>
      <c r="B217" s="16" t="s">
        <v>610</v>
      </c>
      <c r="C217" s="17">
        <v>4.7915110924426E13</v>
      </c>
      <c r="D217" s="16" t="s">
        <v>373</v>
      </c>
      <c r="E217" s="16" t="str">
        <f t="shared" si="1"/>
        <v>PEBBLEBROOKFull</v>
      </c>
      <c r="F217" s="18" t="s">
        <v>1189</v>
      </c>
      <c r="G217" s="16"/>
      <c r="H217" s="16"/>
      <c r="I217" s="16"/>
      <c r="J217" s="16"/>
      <c r="K217" s="16"/>
      <c r="L217" s="16"/>
      <c r="M217" s="16"/>
      <c r="N217" s="16"/>
      <c r="O217" s="16"/>
      <c r="P217" s="16"/>
      <c r="Q217" s="16"/>
      <c r="R217" s="16"/>
      <c r="S217" s="16"/>
      <c r="T217" s="16"/>
      <c r="U217" s="16"/>
      <c r="V217" s="16"/>
      <c r="W217" s="16"/>
      <c r="X217" s="16"/>
      <c r="Y217" s="16"/>
      <c r="Z217" s="16"/>
      <c r="AA217" s="16"/>
    </row>
    <row r="218">
      <c r="A218" s="16" t="s">
        <v>197</v>
      </c>
      <c r="B218" s="16" t="s">
        <v>610</v>
      </c>
      <c r="C218" s="17">
        <v>4.7915110957194E13</v>
      </c>
      <c r="D218" s="16" t="s">
        <v>470</v>
      </c>
      <c r="E218" s="16" t="str">
        <f t="shared" si="1"/>
        <v>PEBBLEBROOKQueen</v>
      </c>
      <c r="F218" s="18" t="s">
        <v>1246</v>
      </c>
      <c r="G218" s="16"/>
      <c r="H218" s="16"/>
      <c r="I218" s="16"/>
      <c r="J218" s="16"/>
      <c r="K218" s="16"/>
      <c r="L218" s="16"/>
      <c r="M218" s="16"/>
      <c r="N218" s="16"/>
      <c r="O218" s="16"/>
      <c r="P218" s="16"/>
      <c r="Q218" s="16"/>
      <c r="R218" s="16"/>
      <c r="S218" s="16"/>
      <c r="T218" s="16"/>
      <c r="U218" s="16"/>
      <c r="V218" s="16"/>
      <c r="W218" s="16"/>
      <c r="X218" s="16"/>
      <c r="Y218" s="16"/>
      <c r="Z218" s="16"/>
      <c r="AA218" s="16"/>
    </row>
    <row r="219">
      <c r="A219" s="16" t="s">
        <v>197</v>
      </c>
      <c r="B219" s="16" t="s">
        <v>610</v>
      </c>
      <c r="C219" s="17">
        <v>4.7915110989962E13</v>
      </c>
      <c r="D219" s="16" t="s">
        <v>568</v>
      </c>
      <c r="E219" s="16" t="str">
        <f t="shared" si="1"/>
        <v>PEBBLEBROOKKing</v>
      </c>
      <c r="F219" s="18" t="s">
        <v>1301</v>
      </c>
      <c r="G219" s="16"/>
      <c r="H219" s="16"/>
      <c r="I219" s="16"/>
      <c r="J219" s="16"/>
      <c r="K219" s="16"/>
      <c r="L219" s="16"/>
      <c r="M219" s="16"/>
      <c r="N219" s="16"/>
      <c r="O219" s="16"/>
      <c r="P219" s="16"/>
      <c r="Q219" s="16"/>
      <c r="R219" s="16"/>
      <c r="S219" s="16"/>
      <c r="T219" s="16"/>
      <c r="U219" s="16"/>
      <c r="V219" s="16"/>
      <c r="W219" s="16"/>
      <c r="X219" s="16"/>
      <c r="Y219" s="16"/>
      <c r="Z219" s="16"/>
      <c r="AA219" s="16"/>
    </row>
    <row r="220">
      <c r="A220" s="16" t="s">
        <v>197</v>
      </c>
      <c r="B220" s="16" t="s">
        <v>610</v>
      </c>
      <c r="C220" s="17">
        <v>4.791511102273E13</v>
      </c>
      <c r="D220" s="16" t="s">
        <v>670</v>
      </c>
      <c r="E220" s="16" t="str">
        <f t="shared" si="1"/>
        <v>PEBBLEBROOKCalifornia King</v>
      </c>
      <c r="F220" s="18" t="s">
        <v>1374</v>
      </c>
      <c r="G220" s="16"/>
      <c r="H220" s="16"/>
      <c r="I220" s="16"/>
      <c r="J220" s="16"/>
      <c r="K220" s="16"/>
      <c r="L220" s="16"/>
      <c r="M220" s="16"/>
      <c r="N220" s="16"/>
      <c r="O220" s="16"/>
      <c r="P220" s="16"/>
      <c r="Q220" s="16"/>
      <c r="R220" s="16"/>
      <c r="S220" s="16"/>
      <c r="T220" s="16"/>
      <c r="U220" s="16"/>
      <c r="V220" s="16"/>
      <c r="W220" s="16"/>
      <c r="X220" s="16"/>
      <c r="Y220" s="16"/>
      <c r="Z220" s="16"/>
      <c r="AA220" s="16"/>
    </row>
    <row r="221">
      <c r="A221" s="16" t="s">
        <v>1000</v>
      </c>
      <c r="B221" s="16" t="s">
        <v>202</v>
      </c>
      <c r="C221" s="17">
        <v>4.7915111088266E13</v>
      </c>
      <c r="D221" s="16" t="s">
        <v>32</v>
      </c>
      <c r="E221" s="16" t="str">
        <f t="shared" si="1"/>
        <v>SERIES-ONE-EXTRA-FIRMTwin XL</v>
      </c>
      <c r="F221" s="18" t="s">
        <v>1091</v>
      </c>
      <c r="G221" s="16"/>
      <c r="H221" s="16"/>
      <c r="I221" s="16"/>
      <c r="J221" s="16"/>
      <c r="K221" s="16"/>
      <c r="L221" s="16"/>
      <c r="M221" s="16"/>
      <c r="N221" s="16"/>
      <c r="O221" s="16"/>
      <c r="P221" s="16"/>
      <c r="Q221" s="16"/>
      <c r="R221" s="16"/>
      <c r="S221" s="16"/>
      <c r="T221" s="16"/>
      <c r="U221" s="16"/>
      <c r="V221" s="16"/>
      <c r="W221" s="16"/>
      <c r="X221" s="16"/>
      <c r="Y221" s="16"/>
      <c r="Z221" s="16"/>
      <c r="AA221" s="16"/>
    </row>
    <row r="222">
      <c r="A222" s="16" t="s">
        <v>1000</v>
      </c>
      <c r="B222" s="16" t="s">
        <v>202</v>
      </c>
      <c r="C222" s="17">
        <v>4.7915111121034E13</v>
      </c>
      <c r="D222" s="16" t="s">
        <v>373</v>
      </c>
      <c r="E222" s="16" t="str">
        <f t="shared" si="1"/>
        <v>SERIES-ONE-EXTRA-FIRMFull</v>
      </c>
      <c r="F222" s="18" t="s">
        <v>1191</v>
      </c>
      <c r="G222" s="16"/>
      <c r="H222" s="16"/>
      <c r="I222" s="16"/>
      <c r="J222" s="16"/>
      <c r="K222" s="16"/>
      <c r="L222" s="16"/>
      <c r="M222" s="16"/>
      <c r="N222" s="16"/>
      <c r="O222" s="16"/>
      <c r="P222" s="16"/>
      <c r="Q222" s="16"/>
      <c r="R222" s="16"/>
      <c r="S222" s="16"/>
      <c r="T222" s="16"/>
      <c r="U222" s="16"/>
      <c r="V222" s="16"/>
      <c r="W222" s="16"/>
      <c r="X222" s="16"/>
      <c r="Y222" s="16"/>
      <c r="Z222" s="16"/>
      <c r="AA222" s="16"/>
    </row>
    <row r="223">
      <c r="A223" s="16" t="s">
        <v>1000</v>
      </c>
      <c r="B223" s="16" t="s">
        <v>202</v>
      </c>
      <c r="C223" s="17">
        <v>4.7915111153802E13</v>
      </c>
      <c r="D223" s="16" t="s">
        <v>470</v>
      </c>
      <c r="E223" s="16" t="str">
        <f t="shared" si="1"/>
        <v>SERIES-ONE-EXTRA-FIRMQueen</v>
      </c>
      <c r="F223" s="18" t="s">
        <v>1247</v>
      </c>
      <c r="G223" s="16"/>
      <c r="H223" s="16"/>
      <c r="I223" s="16"/>
      <c r="J223" s="16"/>
      <c r="K223" s="16"/>
      <c r="L223" s="16"/>
      <c r="M223" s="16"/>
      <c r="N223" s="16"/>
      <c r="O223" s="16"/>
      <c r="P223" s="16"/>
      <c r="Q223" s="16"/>
      <c r="R223" s="16"/>
      <c r="S223" s="16"/>
      <c r="T223" s="16"/>
      <c r="U223" s="16"/>
      <c r="V223" s="16"/>
      <c r="W223" s="16"/>
      <c r="X223" s="16"/>
      <c r="Y223" s="16"/>
      <c r="Z223" s="16"/>
      <c r="AA223" s="16"/>
    </row>
    <row r="224">
      <c r="A224" s="16" t="s">
        <v>1000</v>
      </c>
      <c r="B224" s="16" t="s">
        <v>202</v>
      </c>
      <c r="C224" s="17">
        <v>4.791511118657E13</v>
      </c>
      <c r="D224" s="16" t="s">
        <v>568</v>
      </c>
      <c r="E224" s="16" t="str">
        <f t="shared" si="1"/>
        <v>SERIES-ONE-EXTRA-FIRMKing</v>
      </c>
      <c r="F224" s="18" t="s">
        <v>1302</v>
      </c>
      <c r="G224" s="16"/>
      <c r="H224" s="16"/>
      <c r="I224" s="16"/>
      <c r="J224" s="16"/>
      <c r="K224" s="16"/>
      <c r="L224" s="16"/>
      <c r="M224" s="16"/>
      <c r="N224" s="16"/>
      <c r="O224" s="16"/>
      <c r="P224" s="16"/>
      <c r="Q224" s="16"/>
      <c r="R224" s="16"/>
      <c r="S224" s="16"/>
      <c r="T224" s="16"/>
      <c r="U224" s="16"/>
      <c r="V224" s="16"/>
      <c r="W224" s="16"/>
      <c r="X224" s="16"/>
      <c r="Y224" s="16"/>
      <c r="Z224" s="16"/>
      <c r="AA224" s="16"/>
    </row>
    <row r="225">
      <c r="A225" s="16" t="s">
        <v>1000</v>
      </c>
      <c r="B225" s="16" t="s">
        <v>202</v>
      </c>
      <c r="C225" s="17">
        <v>4.7915111219338E13</v>
      </c>
      <c r="D225" s="16" t="s">
        <v>670</v>
      </c>
      <c r="E225" s="16" t="str">
        <f t="shared" si="1"/>
        <v>SERIES-ONE-EXTRA-FIRMCalifornia King</v>
      </c>
      <c r="F225" s="18" t="s">
        <v>1375</v>
      </c>
      <c r="G225" s="16"/>
      <c r="H225" s="16"/>
      <c r="I225" s="16"/>
      <c r="J225" s="16"/>
      <c r="K225" s="16"/>
      <c r="L225" s="16"/>
      <c r="M225" s="16"/>
      <c r="N225" s="16"/>
      <c r="O225" s="16"/>
      <c r="P225" s="16"/>
      <c r="Q225" s="16"/>
      <c r="R225" s="16"/>
      <c r="S225" s="16"/>
      <c r="T225" s="16"/>
      <c r="U225" s="16"/>
      <c r="V225" s="16"/>
      <c r="W225" s="16"/>
      <c r="X225" s="16"/>
      <c r="Y225" s="16"/>
      <c r="Z225" s="16"/>
      <c r="AA225" s="16"/>
    </row>
    <row r="226">
      <c r="A226" s="16" t="s">
        <v>1000</v>
      </c>
      <c r="B226" s="16" t="s">
        <v>202</v>
      </c>
      <c r="C226" s="17">
        <v>4.7915111252106E13</v>
      </c>
      <c r="D226" s="16" t="s">
        <v>710</v>
      </c>
      <c r="E226" s="16" t="str">
        <f t="shared" si="1"/>
        <v>SERIES-ONE-EXTRA-FIRMSplit California King</v>
      </c>
      <c r="F226" s="18" t="s">
        <v>1398</v>
      </c>
      <c r="G226" s="16"/>
      <c r="H226" s="16"/>
      <c r="I226" s="16"/>
      <c r="J226" s="16"/>
      <c r="K226" s="16"/>
      <c r="L226" s="16"/>
      <c r="M226" s="16"/>
      <c r="N226" s="16"/>
      <c r="O226" s="16"/>
      <c r="P226" s="16"/>
      <c r="Q226" s="16"/>
      <c r="R226" s="16"/>
      <c r="S226" s="16"/>
      <c r="T226" s="16"/>
      <c r="U226" s="16"/>
      <c r="V226" s="16"/>
      <c r="W226" s="16"/>
      <c r="X226" s="16"/>
      <c r="Y226" s="16"/>
      <c r="Z226" s="16"/>
      <c r="AA226" s="16"/>
    </row>
    <row r="227">
      <c r="A227" s="16" t="s">
        <v>1001</v>
      </c>
      <c r="B227" s="16" t="s">
        <v>208</v>
      </c>
      <c r="C227" s="17">
        <v>4.7915111284874E13</v>
      </c>
      <c r="D227" s="16" t="s">
        <v>32</v>
      </c>
      <c r="E227" s="16" t="str">
        <f t="shared" si="1"/>
        <v>SERIES-TWO-MEDIUMTwin XL</v>
      </c>
      <c r="F227" s="18" t="s">
        <v>1092</v>
      </c>
      <c r="G227" s="16"/>
      <c r="H227" s="16"/>
      <c r="I227" s="16"/>
      <c r="J227" s="16"/>
      <c r="K227" s="16"/>
      <c r="L227" s="16"/>
      <c r="M227" s="16"/>
      <c r="N227" s="16"/>
      <c r="O227" s="16"/>
      <c r="P227" s="16"/>
      <c r="Q227" s="16"/>
      <c r="R227" s="16"/>
      <c r="S227" s="16"/>
      <c r="T227" s="16"/>
      <c r="U227" s="16"/>
      <c r="V227" s="16"/>
      <c r="W227" s="16"/>
      <c r="X227" s="16"/>
      <c r="Y227" s="16"/>
      <c r="Z227" s="16"/>
      <c r="AA227" s="16"/>
    </row>
    <row r="228">
      <c r="A228" s="16" t="s">
        <v>1001</v>
      </c>
      <c r="B228" s="16" t="s">
        <v>208</v>
      </c>
      <c r="C228" s="17">
        <v>4.7915111317642E13</v>
      </c>
      <c r="D228" s="16" t="s">
        <v>373</v>
      </c>
      <c r="E228" s="16" t="str">
        <f t="shared" si="1"/>
        <v>SERIES-TWO-MEDIUMFull</v>
      </c>
      <c r="F228" s="18" t="s">
        <v>1192</v>
      </c>
      <c r="G228" s="16"/>
      <c r="H228" s="16"/>
      <c r="I228" s="16"/>
      <c r="J228" s="16"/>
      <c r="K228" s="16"/>
      <c r="L228" s="16"/>
      <c r="M228" s="16"/>
      <c r="N228" s="16"/>
      <c r="O228" s="16"/>
      <c r="P228" s="16"/>
      <c r="Q228" s="16"/>
      <c r="R228" s="16"/>
      <c r="S228" s="16"/>
      <c r="T228" s="16"/>
      <c r="U228" s="16"/>
      <c r="V228" s="16"/>
      <c r="W228" s="16"/>
      <c r="X228" s="16"/>
      <c r="Y228" s="16"/>
      <c r="Z228" s="16"/>
      <c r="AA228" s="16"/>
    </row>
    <row r="229">
      <c r="A229" s="16" t="s">
        <v>1001</v>
      </c>
      <c r="B229" s="16" t="s">
        <v>208</v>
      </c>
      <c r="C229" s="17">
        <v>4.791511135041E13</v>
      </c>
      <c r="D229" s="16" t="s">
        <v>470</v>
      </c>
      <c r="E229" s="16" t="str">
        <f t="shared" si="1"/>
        <v>SERIES-TWO-MEDIUMQueen</v>
      </c>
      <c r="F229" s="18" t="s">
        <v>1248</v>
      </c>
      <c r="G229" s="16"/>
      <c r="H229" s="16"/>
      <c r="I229" s="16"/>
      <c r="J229" s="16"/>
      <c r="K229" s="16"/>
      <c r="L229" s="16"/>
      <c r="M229" s="16"/>
      <c r="N229" s="16"/>
      <c r="O229" s="16"/>
      <c r="P229" s="16"/>
      <c r="Q229" s="16"/>
      <c r="R229" s="16"/>
      <c r="S229" s="16"/>
      <c r="T229" s="16"/>
      <c r="U229" s="16"/>
      <c r="V229" s="16"/>
      <c r="W229" s="16"/>
      <c r="X229" s="16"/>
      <c r="Y229" s="16"/>
      <c r="Z229" s="16"/>
      <c r="AA229" s="16"/>
    </row>
    <row r="230">
      <c r="A230" s="16" t="s">
        <v>1001</v>
      </c>
      <c r="B230" s="16" t="s">
        <v>208</v>
      </c>
      <c r="C230" s="17">
        <v>4.7915111383178E13</v>
      </c>
      <c r="D230" s="16" t="s">
        <v>568</v>
      </c>
      <c r="E230" s="16" t="str">
        <f t="shared" si="1"/>
        <v>SERIES-TWO-MEDIUMKing</v>
      </c>
      <c r="F230" s="18" t="s">
        <v>1303</v>
      </c>
      <c r="G230" s="16"/>
      <c r="H230" s="16"/>
      <c r="I230" s="16"/>
      <c r="J230" s="16"/>
      <c r="K230" s="16"/>
      <c r="L230" s="16"/>
      <c r="M230" s="16"/>
      <c r="N230" s="16"/>
      <c r="O230" s="16"/>
      <c r="P230" s="16"/>
      <c r="Q230" s="16"/>
      <c r="R230" s="16"/>
      <c r="S230" s="16"/>
      <c r="T230" s="16"/>
      <c r="U230" s="16"/>
      <c r="V230" s="16"/>
      <c r="W230" s="16"/>
      <c r="X230" s="16"/>
      <c r="Y230" s="16"/>
      <c r="Z230" s="16"/>
      <c r="AA230" s="16"/>
    </row>
    <row r="231">
      <c r="A231" s="16" t="s">
        <v>1001</v>
      </c>
      <c r="B231" s="16" t="s">
        <v>208</v>
      </c>
      <c r="C231" s="17">
        <v>4.7915111415946E13</v>
      </c>
      <c r="D231" s="16" t="s">
        <v>670</v>
      </c>
      <c r="E231" s="16" t="str">
        <f t="shared" si="1"/>
        <v>SERIES-TWO-MEDIUMCalifornia King</v>
      </c>
      <c r="F231" s="18" t="s">
        <v>1376</v>
      </c>
      <c r="G231" s="16"/>
      <c r="H231" s="16"/>
      <c r="I231" s="16"/>
      <c r="J231" s="16"/>
      <c r="K231" s="16"/>
      <c r="L231" s="16"/>
      <c r="M231" s="16"/>
      <c r="N231" s="16"/>
      <c r="O231" s="16"/>
      <c r="P231" s="16"/>
      <c r="Q231" s="16"/>
      <c r="R231" s="16"/>
      <c r="S231" s="16"/>
      <c r="T231" s="16"/>
      <c r="U231" s="16"/>
      <c r="V231" s="16"/>
      <c r="W231" s="16"/>
      <c r="X231" s="16"/>
      <c r="Y231" s="16"/>
      <c r="Z231" s="16"/>
      <c r="AA231" s="16"/>
    </row>
    <row r="232">
      <c r="A232" s="16" t="s">
        <v>1002</v>
      </c>
      <c r="B232" s="16" t="s">
        <v>213</v>
      </c>
      <c r="C232" s="17">
        <v>4.791511151425E13</v>
      </c>
      <c r="D232" s="16" t="s">
        <v>32</v>
      </c>
      <c r="E232" s="16" t="str">
        <f t="shared" si="1"/>
        <v>SERIES-THREE-PLUSH-PILLOW-TOPTwin XL</v>
      </c>
      <c r="F232" s="18" t="s">
        <v>1093</v>
      </c>
      <c r="G232" s="16"/>
      <c r="H232" s="16"/>
      <c r="I232" s="16"/>
      <c r="J232" s="16"/>
      <c r="K232" s="16"/>
      <c r="L232" s="16"/>
      <c r="M232" s="16"/>
      <c r="N232" s="16"/>
      <c r="O232" s="16"/>
      <c r="P232" s="16"/>
      <c r="Q232" s="16"/>
      <c r="R232" s="16"/>
      <c r="S232" s="16"/>
      <c r="T232" s="16"/>
      <c r="U232" s="16"/>
      <c r="V232" s="16"/>
      <c r="W232" s="16"/>
      <c r="X232" s="16"/>
      <c r="Y232" s="16"/>
      <c r="Z232" s="16"/>
      <c r="AA232" s="16"/>
    </row>
    <row r="233">
      <c r="A233" s="16" t="s">
        <v>1002</v>
      </c>
      <c r="B233" s="16" t="s">
        <v>213</v>
      </c>
      <c r="C233" s="17">
        <v>4.7915111547018E13</v>
      </c>
      <c r="D233" s="16" t="s">
        <v>373</v>
      </c>
      <c r="E233" s="16" t="str">
        <f t="shared" si="1"/>
        <v>SERIES-THREE-PLUSH-PILLOW-TOPFull</v>
      </c>
      <c r="F233" s="18" t="s">
        <v>1193</v>
      </c>
      <c r="G233" s="16"/>
      <c r="H233" s="16"/>
      <c r="I233" s="16"/>
      <c r="J233" s="16"/>
      <c r="K233" s="16"/>
      <c r="L233" s="16"/>
      <c r="M233" s="16"/>
      <c r="N233" s="16"/>
      <c r="O233" s="16"/>
      <c r="P233" s="16"/>
      <c r="Q233" s="16"/>
      <c r="R233" s="16"/>
      <c r="S233" s="16"/>
      <c r="T233" s="16"/>
      <c r="U233" s="16"/>
      <c r="V233" s="16"/>
      <c r="W233" s="16"/>
      <c r="X233" s="16"/>
      <c r="Y233" s="16"/>
      <c r="Z233" s="16"/>
      <c r="AA233" s="16"/>
    </row>
    <row r="234">
      <c r="A234" s="16" t="s">
        <v>1002</v>
      </c>
      <c r="B234" s="16" t="s">
        <v>213</v>
      </c>
      <c r="C234" s="17">
        <v>4.7915111579786E13</v>
      </c>
      <c r="D234" s="16" t="s">
        <v>470</v>
      </c>
      <c r="E234" s="16" t="str">
        <f t="shared" si="1"/>
        <v>SERIES-THREE-PLUSH-PILLOW-TOPQueen</v>
      </c>
      <c r="F234" s="18" t="s">
        <v>1249</v>
      </c>
      <c r="G234" s="16"/>
      <c r="H234" s="16"/>
      <c r="I234" s="16"/>
      <c r="J234" s="16"/>
      <c r="K234" s="16"/>
      <c r="L234" s="16"/>
      <c r="M234" s="16"/>
      <c r="N234" s="16"/>
      <c r="O234" s="16"/>
      <c r="P234" s="16"/>
      <c r="Q234" s="16"/>
      <c r="R234" s="16"/>
      <c r="S234" s="16"/>
      <c r="T234" s="16"/>
      <c r="U234" s="16"/>
      <c r="V234" s="16"/>
      <c r="W234" s="16"/>
      <c r="X234" s="16"/>
      <c r="Y234" s="16"/>
      <c r="Z234" s="16"/>
      <c r="AA234" s="16"/>
    </row>
    <row r="235">
      <c r="A235" s="16" t="s">
        <v>1002</v>
      </c>
      <c r="B235" s="16" t="s">
        <v>213</v>
      </c>
      <c r="C235" s="17">
        <v>4.7915111612554E13</v>
      </c>
      <c r="D235" s="16" t="s">
        <v>568</v>
      </c>
      <c r="E235" s="16" t="str">
        <f t="shared" si="1"/>
        <v>SERIES-THREE-PLUSH-PILLOW-TOPKing</v>
      </c>
      <c r="F235" s="18" t="s">
        <v>1304</v>
      </c>
      <c r="G235" s="16"/>
      <c r="H235" s="16"/>
      <c r="I235" s="16"/>
      <c r="J235" s="16"/>
      <c r="K235" s="16"/>
      <c r="L235" s="16"/>
      <c r="M235" s="16"/>
      <c r="N235" s="16"/>
      <c r="O235" s="16"/>
      <c r="P235" s="16"/>
      <c r="Q235" s="16"/>
      <c r="R235" s="16"/>
      <c r="S235" s="16"/>
      <c r="T235" s="16"/>
      <c r="U235" s="16"/>
      <c r="V235" s="16"/>
      <c r="W235" s="16"/>
      <c r="X235" s="16"/>
      <c r="Y235" s="16"/>
      <c r="Z235" s="16"/>
      <c r="AA235" s="16"/>
    </row>
    <row r="236">
      <c r="A236" s="16" t="s">
        <v>1002</v>
      </c>
      <c r="B236" s="16" t="s">
        <v>213</v>
      </c>
      <c r="C236" s="17">
        <v>4.7915111645322E13</v>
      </c>
      <c r="D236" s="16" t="s">
        <v>670</v>
      </c>
      <c r="E236" s="16" t="str">
        <f t="shared" si="1"/>
        <v>SERIES-THREE-PLUSH-PILLOW-TOPCalifornia King</v>
      </c>
      <c r="F236" s="18" t="s">
        <v>1377</v>
      </c>
      <c r="G236" s="16"/>
      <c r="H236" s="16"/>
      <c r="I236" s="16"/>
      <c r="J236" s="16"/>
      <c r="K236" s="16"/>
      <c r="L236" s="16"/>
      <c r="M236" s="16"/>
      <c r="N236" s="16"/>
      <c r="O236" s="16"/>
      <c r="P236" s="16"/>
      <c r="Q236" s="16"/>
      <c r="R236" s="16"/>
      <c r="S236" s="16"/>
      <c r="T236" s="16"/>
      <c r="U236" s="16"/>
      <c r="V236" s="16"/>
      <c r="W236" s="16"/>
      <c r="X236" s="16"/>
      <c r="Y236" s="16"/>
      <c r="Z236" s="16"/>
      <c r="AA236" s="16"/>
    </row>
    <row r="237">
      <c r="A237" s="16" t="s">
        <v>1002</v>
      </c>
      <c r="B237" s="16" t="s">
        <v>213</v>
      </c>
      <c r="C237" s="17">
        <v>4.791511167809E13</v>
      </c>
      <c r="D237" s="16" t="s">
        <v>710</v>
      </c>
      <c r="E237" s="16" t="str">
        <f t="shared" si="1"/>
        <v>SERIES-THREE-PLUSH-PILLOW-TOPSplit California King</v>
      </c>
      <c r="F237" s="18" t="s">
        <v>1399</v>
      </c>
      <c r="G237" s="16"/>
      <c r="H237" s="16"/>
      <c r="I237" s="16"/>
      <c r="J237" s="16"/>
      <c r="K237" s="16"/>
      <c r="L237" s="16"/>
      <c r="M237" s="16"/>
      <c r="N237" s="16"/>
      <c r="O237" s="16"/>
      <c r="P237" s="16"/>
      <c r="Q237" s="16"/>
      <c r="R237" s="16"/>
      <c r="S237" s="16"/>
      <c r="T237" s="16"/>
      <c r="U237" s="16"/>
      <c r="V237" s="16"/>
      <c r="W237" s="16"/>
      <c r="X237" s="16"/>
      <c r="Y237" s="16"/>
      <c r="Z237" s="16"/>
      <c r="AA237" s="16"/>
    </row>
    <row r="238">
      <c r="A238" s="16" t="s">
        <v>1003</v>
      </c>
      <c r="B238" s="16" t="s">
        <v>218</v>
      </c>
      <c r="C238" s="17">
        <v>4.7915111710858E13</v>
      </c>
      <c r="D238" s="16" t="s">
        <v>32</v>
      </c>
      <c r="E238" s="16" t="str">
        <f t="shared" si="1"/>
        <v>ESTATE-FIRM-TTTwin XL</v>
      </c>
      <c r="F238" s="18" t="s">
        <v>1094</v>
      </c>
      <c r="G238" s="16"/>
      <c r="H238" s="16"/>
      <c r="I238" s="16"/>
      <c r="J238" s="16"/>
      <c r="K238" s="16"/>
      <c r="L238" s="16"/>
      <c r="M238" s="16"/>
      <c r="N238" s="16"/>
      <c r="O238" s="16"/>
      <c r="P238" s="16"/>
      <c r="Q238" s="16"/>
      <c r="R238" s="16"/>
      <c r="S238" s="16"/>
      <c r="T238" s="16"/>
      <c r="U238" s="16"/>
      <c r="V238" s="16"/>
      <c r="W238" s="16"/>
      <c r="X238" s="16"/>
      <c r="Y238" s="16"/>
      <c r="Z238" s="16"/>
      <c r="AA238" s="16"/>
    </row>
    <row r="239">
      <c r="A239" s="16" t="s">
        <v>1003</v>
      </c>
      <c r="B239" s="16" t="s">
        <v>218</v>
      </c>
      <c r="C239" s="17">
        <v>4.7915111743626E13</v>
      </c>
      <c r="D239" s="16" t="s">
        <v>373</v>
      </c>
      <c r="E239" s="16" t="str">
        <f t="shared" si="1"/>
        <v>ESTATE-FIRM-TTFull</v>
      </c>
      <c r="F239" s="18" t="s">
        <v>1194</v>
      </c>
      <c r="G239" s="16"/>
      <c r="H239" s="16"/>
      <c r="I239" s="16"/>
      <c r="J239" s="16"/>
      <c r="K239" s="16"/>
      <c r="L239" s="16"/>
      <c r="M239" s="16"/>
      <c r="N239" s="16"/>
      <c r="O239" s="16"/>
      <c r="P239" s="16"/>
      <c r="Q239" s="16"/>
      <c r="R239" s="16"/>
      <c r="S239" s="16"/>
      <c r="T239" s="16"/>
      <c r="U239" s="16"/>
      <c r="V239" s="16"/>
      <c r="W239" s="16"/>
      <c r="X239" s="16"/>
      <c r="Y239" s="16"/>
      <c r="Z239" s="16"/>
      <c r="AA239" s="16"/>
    </row>
    <row r="240">
      <c r="A240" s="16" t="s">
        <v>1003</v>
      </c>
      <c r="B240" s="16" t="s">
        <v>218</v>
      </c>
      <c r="C240" s="17">
        <v>4.7915111776394E13</v>
      </c>
      <c r="D240" s="16" t="s">
        <v>470</v>
      </c>
      <c r="E240" s="16" t="str">
        <f t="shared" si="1"/>
        <v>ESTATE-FIRM-TTQueen</v>
      </c>
      <c r="F240" s="18" t="s">
        <v>1250</v>
      </c>
      <c r="G240" s="16"/>
      <c r="H240" s="16"/>
      <c r="I240" s="16"/>
      <c r="J240" s="16"/>
      <c r="K240" s="16"/>
      <c r="L240" s="16"/>
      <c r="M240" s="16"/>
      <c r="N240" s="16"/>
      <c r="O240" s="16"/>
      <c r="P240" s="16"/>
      <c r="Q240" s="16"/>
      <c r="R240" s="16"/>
      <c r="S240" s="16"/>
      <c r="T240" s="16"/>
      <c r="U240" s="16"/>
      <c r="V240" s="16"/>
      <c r="W240" s="16"/>
      <c r="X240" s="16"/>
      <c r="Y240" s="16"/>
      <c r="Z240" s="16"/>
      <c r="AA240" s="16"/>
    </row>
    <row r="241">
      <c r="A241" s="16" t="s">
        <v>1003</v>
      </c>
      <c r="B241" s="16" t="s">
        <v>218</v>
      </c>
      <c r="C241" s="17">
        <v>4.7915111809162E13</v>
      </c>
      <c r="D241" s="16" t="s">
        <v>568</v>
      </c>
      <c r="E241" s="16" t="str">
        <f t="shared" si="1"/>
        <v>ESTATE-FIRM-TTKing</v>
      </c>
      <c r="F241" s="18" t="s">
        <v>1305</v>
      </c>
      <c r="G241" s="16"/>
      <c r="H241" s="16"/>
      <c r="I241" s="16"/>
      <c r="J241" s="16"/>
      <c r="K241" s="16"/>
      <c r="L241" s="16"/>
      <c r="M241" s="16"/>
      <c r="N241" s="16"/>
      <c r="O241" s="16"/>
      <c r="P241" s="16"/>
      <c r="Q241" s="16"/>
      <c r="R241" s="16"/>
      <c r="S241" s="16"/>
      <c r="T241" s="16"/>
      <c r="U241" s="16"/>
      <c r="V241" s="16"/>
      <c r="W241" s="16"/>
      <c r="X241" s="16"/>
      <c r="Y241" s="16"/>
      <c r="Z241" s="16"/>
      <c r="AA241" s="16"/>
    </row>
    <row r="242">
      <c r="A242" s="16" t="s">
        <v>1003</v>
      </c>
      <c r="B242" s="16" t="s">
        <v>218</v>
      </c>
      <c r="C242" s="17">
        <v>4.791511184193E13</v>
      </c>
      <c r="D242" s="16" t="s">
        <v>670</v>
      </c>
      <c r="E242" s="16" t="str">
        <f t="shared" si="1"/>
        <v>ESTATE-FIRM-TTCalifornia King</v>
      </c>
      <c r="F242" s="18" t="s">
        <v>1378</v>
      </c>
      <c r="G242" s="16"/>
      <c r="H242" s="16"/>
      <c r="I242" s="16"/>
      <c r="J242" s="16"/>
      <c r="K242" s="16"/>
      <c r="L242" s="16"/>
      <c r="M242" s="16"/>
      <c r="N242" s="16"/>
      <c r="O242" s="16"/>
      <c r="P242" s="16"/>
      <c r="Q242" s="16"/>
      <c r="R242" s="16"/>
      <c r="S242" s="16"/>
      <c r="T242" s="16"/>
      <c r="U242" s="16"/>
      <c r="V242" s="16"/>
      <c r="W242" s="16"/>
      <c r="X242" s="16"/>
      <c r="Y242" s="16"/>
      <c r="Z242" s="16"/>
      <c r="AA242" s="16"/>
    </row>
    <row r="243">
      <c r="A243" s="16" t="s">
        <v>1003</v>
      </c>
      <c r="B243" s="16" t="s">
        <v>218</v>
      </c>
      <c r="C243" s="17">
        <v>4.7915111874698E13</v>
      </c>
      <c r="D243" s="16" t="s">
        <v>710</v>
      </c>
      <c r="E243" s="16" t="str">
        <f t="shared" si="1"/>
        <v>ESTATE-FIRM-TTSplit California King</v>
      </c>
      <c r="F243" s="18" t="s">
        <v>1400</v>
      </c>
      <c r="G243" s="16"/>
      <c r="H243" s="16"/>
      <c r="I243" s="16"/>
      <c r="J243" s="16"/>
      <c r="K243" s="16"/>
      <c r="L243" s="16"/>
      <c r="M243" s="16"/>
      <c r="N243" s="16"/>
      <c r="O243" s="16"/>
      <c r="P243" s="16"/>
      <c r="Q243" s="16"/>
      <c r="R243" s="16"/>
      <c r="S243" s="16"/>
      <c r="T243" s="16"/>
      <c r="U243" s="16"/>
      <c r="V243" s="16"/>
      <c r="W243" s="16"/>
      <c r="X243" s="16"/>
      <c r="Y243" s="16"/>
      <c r="Z243" s="16"/>
      <c r="AA243" s="16"/>
    </row>
    <row r="244">
      <c r="A244" s="16" t="s">
        <v>1004</v>
      </c>
      <c r="B244" s="16" t="s">
        <v>436</v>
      </c>
      <c r="C244" s="17">
        <v>4.7915111907466E13</v>
      </c>
      <c r="D244" s="16" t="s">
        <v>32</v>
      </c>
      <c r="E244" s="16" t="str">
        <f t="shared" si="1"/>
        <v>ESTATE-FIRM-PTTwin XL</v>
      </c>
      <c r="F244" s="18" t="s">
        <v>1095</v>
      </c>
      <c r="G244" s="16"/>
      <c r="H244" s="16"/>
      <c r="I244" s="16"/>
      <c r="J244" s="16"/>
      <c r="K244" s="16"/>
      <c r="L244" s="16"/>
      <c r="M244" s="16"/>
      <c r="N244" s="16"/>
      <c r="O244" s="16"/>
      <c r="P244" s="16"/>
      <c r="Q244" s="16"/>
      <c r="R244" s="16"/>
      <c r="S244" s="16"/>
      <c r="T244" s="16"/>
      <c r="U244" s="16"/>
      <c r="V244" s="16"/>
      <c r="W244" s="16"/>
      <c r="X244" s="16"/>
      <c r="Y244" s="16"/>
      <c r="Z244" s="16"/>
      <c r="AA244" s="16"/>
    </row>
    <row r="245">
      <c r="A245" s="16" t="s">
        <v>1004</v>
      </c>
      <c r="B245" s="16" t="s">
        <v>436</v>
      </c>
      <c r="C245" s="17">
        <v>4.7915111940234E13</v>
      </c>
      <c r="D245" s="16" t="s">
        <v>373</v>
      </c>
      <c r="E245" s="16" t="str">
        <f t="shared" si="1"/>
        <v>ESTATE-FIRM-PTFull</v>
      </c>
      <c r="F245" s="18" t="s">
        <v>1195</v>
      </c>
      <c r="G245" s="16"/>
      <c r="H245" s="16"/>
      <c r="I245" s="16"/>
      <c r="J245" s="16"/>
      <c r="K245" s="16"/>
      <c r="L245" s="16"/>
      <c r="M245" s="16"/>
      <c r="N245" s="16"/>
      <c r="O245" s="16"/>
      <c r="P245" s="16"/>
      <c r="Q245" s="16"/>
      <c r="R245" s="16"/>
      <c r="S245" s="16"/>
      <c r="T245" s="16"/>
      <c r="U245" s="16"/>
      <c r="V245" s="16"/>
      <c r="W245" s="16"/>
      <c r="X245" s="16"/>
      <c r="Y245" s="16"/>
      <c r="Z245" s="16"/>
      <c r="AA245" s="16"/>
    </row>
    <row r="246">
      <c r="A246" s="16" t="s">
        <v>1004</v>
      </c>
      <c r="B246" s="16" t="s">
        <v>436</v>
      </c>
      <c r="C246" s="17">
        <v>4.7915111973002E13</v>
      </c>
      <c r="D246" s="16" t="s">
        <v>470</v>
      </c>
      <c r="E246" s="16" t="str">
        <f t="shared" si="1"/>
        <v>ESTATE-FIRM-PTQueen</v>
      </c>
      <c r="F246" s="18" t="s">
        <v>1251</v>
      </c>
      <c r="G246" s="16"/>
      <c r="H246" s="16"/>
      <c r="I246" s="16"/>
      <c r="J246" s="16"/>
      <c r="K246" s="16"/>
      <c r="L246" s="16"/>
      <c r="M246" s="16"/>
      <c r="N246" s="16"/>
      <c r="O246" s="16"/>
      <c r="P246" s="16"/>
      <c r="Q246" s="16"/>
      <c r="R246" s="16"/>
      <c r="S246" s="16"/>
      <c r="T246" s="16"/>
      <c r="U246" s="16"/>
      <c r="V246" s="16"/>
      <c r="W246" s="16"/>
      <c r="X246" s="16"/>
      <c r="Y246" s="16"/>
      <c r="Z246" s="16"/>
      <c r="AA246" s="16"/>
    </row>
    <row r="247">
      <c r="A247" s="16" t="s">
        <v>1004</v>
      </c>
      <c r="B247" s="16" t="s">
        <v>436</v>
      </c>
      <c r="C247" s="17">
        <v>4.791511200577E13</v>
      </c>
      <c r="D247" s="16" t="s">
        <v>568</v>
      </c>
      <c r="E247" s="16" t="str">
        <f t="shared" si="1"/>
        <v>ESTATE-FIRM-PTKing</v>
      </c>
      <c r="F247" s="18" t="s">
        <v>1306</v>
      </c>
      <c r="G247" s="16"/>
      <c r="H247" s="16"/>
      <c r="I247" s="16"/>
      <c r="J247" s="16"/>
      <c r="K247" s="16"/>
      <c r="L247" s="16"/>
      <c r="M247" s="16"/>
      <c r="N247" s="16"/>
      <c r="O247" s="16"/>
      <c r="P247" s="16"/>
      <c r="Q247" s="16"/>
      <c r="R247" s="16"/>
      <c r="S247" s="16"/>
      <c r="T247" s="16"/>
      <c r="U247" s="16"/>
      <c r="V247" s="16"/>
      <c r="W247" s="16"/>
      <c r="X247" s="16"/>
      <c r="Y247" s="16"/>
      <c r="Z247" s="16"/>
      <c r="AA247" s="16"/>
    </row>
    <row r="248">
      <c r="A248" s="16" t="s">
        <v>1005</v>
      </c>
      <c r="B248" s="16" t="s">
        <v>226</v>
      </c>
      <c r="C248" s="17">
        <v>4.7915112038538E13</v>
      </c>
      <c r="D248" s="16" t="s">
        <v>32</v>
      </c>
      <c r="E248" s="16" t="str">
        <f t="shared" si="1"/>
        <v>LUX-ESTATE-ELITETwin XL</v>
      </c>
      <c r="F248" s="18" t="s">
        <v>1096</v>
      </c>
      <c r="G248" s="16"/>
      <c r="H248" s="16"/>
      <c r="I248" s="16"/>
      <c r="J248" s="16"/>
      <c r="K248" s="16"/>
      <c r="L248" s="16"/>
      <c r="M248" s="16"/>
      <c r="N248" s="16"/>
      <c r="O248" s="16"/>
      <c r="P248" s="16"/>
      <c r="Q248" s="16"/>
      <c r="R248" s="16"/>
      <c r="S248" s="16"/>
      <c r="T248" s="16"/>
      <c r="U248" s="16"/>
      <c r="V248" s="16"/>
      <c r="W248" s="16"/>
      <c r="X248" s="16"/>
      <c r="Y248" s="16"/>
      <c r="Z248" s="16"/>
      <c r="AA248" s="16"/>
    </row>
    <row r="249">
      <c r="A249" s="16" t="s">
        <v>1005</v>
      </c>
      <c r="B249" s="16" t="s">
        <v>226</v>
      </c>
      <c r="C249" s="17">
        <v>4.7915112071306E13</v>
      </c>
      <c r="D249" s="16" t="s">
        <v>470</v>
      </c>
      <c r="E249" s="16" t="str">
        <f t="shared" si="1"/>
        <v>LUX-ESTATE-ELITEQueen</v>
      </c>
      <c r="F249" s="18" t="s">
        <v>1252</v>
      </c>
      <c r="G249" s="16"/>
      <c r="H249" s="16"/>
      <c r="I249" s="16"/>
      <c r="J249" s="16"/>
      <c r="K249" s="16"/>
      <c r="L249" s="16"/>
      <c r="M249" s="16"/>
      <c r="N249" s="16"/>
      <c r="O249" s="16"/>
      <c r="P249" s="16"/>
      <c r="Q249" s="16"/>
      <c r="R249" s="16"/>
      <c r="S249" s="16"/>
      <c r="T249" s="16"/>
      <c r="U249" s="16"/>
      <c r="V249" s="16"/>
      <c r="W249" s="16"/>
      <c r="X249" s="16"/>
      <c r="Y249" s="16"/>
      <c r="Z249" s="16"/>
      <c r="AA249" s="16"/>
    </row>
    <row r="250">
      <c r="A250" s="16" t="s">
        <v>1005</v>
      </c>
      <c r="B250" s="16" t="s">
        <v>226</v>
      </c>
      <c r="C250" s="17">
        <v>4.7915112104074E13</v>
      </c>
      <c r="D250" s="16" t="s">
        <v>568</v>
      </c>
      <c r="E250" s="16" t="str">
        <f t="shared" si="1"/>
        <v>LUX-ESTATE-ELITEKing</v>
      </c>
      <c r="F250" s="18" t="s">
        <v>1307</v>
      </c>
      <c r="G250" s="16"/>
      <c r="H250" s="16"/>
      <c r="I250" s="16"/>
      <c r="J250" s="16"/>
      <c r="K250" s="16"/>
      <c r="L250" s="16"/>
      <c r="M250" s="16"/>
      <c r="N250" s="16"/>
      <c r="O250" s="16"/>
      <c r="P250" s="16"/>
      <c r="Q250" s="16"/>
      <c r="R250" s="16"/>
      <c r="S250" s="16"/>
      <c r="T250" s="16"/>
      <c r="U250" s="16"/>
      <c r="V250" s="16"/>
      <c r="W250" s="16"/>
      <c r="X250" s="16"/>
      <c r="Y250" s="16"/>
      <c r="Z250" s="16"/>
      <c r="AA250" s="16"/>
    </row>
    <row r="251">
      <c r="A251" s="16" t="s">
        <v>1005</v>
      </c>
      <c r="B251" s="16" t="s">
        <v>226</v>
      </c>
      <c r="C251" s="17">
        <v>4.7915112136842E13</v>
      </c>
      <c r="D251" s="16" t="s">
        <v>670</v>
      </c>
      <c r="E251" s="16" t="str">
        <f t="shared" si="1"/>
        <v>LUX-ESTATE-ELITECalifornia King</v>
      </c>
      <c r="F251" s="18" t="s">
        <v>1380</v>
      </c>
      <c r="G251" s="16"/>
      <c r="H251" s="16"/>
      <c r="I251" s="16"/>
      <c r="J251" s="16"/>
      <c r="K251" s="16"/>
      <c r="L251" s="16"/>
      <c r="M251" s="16"/>
      <c r="N251" s="16"/>
      <c r="O251" s="16"/>
      <c r="P251" s="16"/>
      <c r="Q251" s="16"/>
      <c r="R251" s="16"/>
      <c r="S251" s="16"/>
      <c r="T251" s="16"/>
      <c r="U251" s="16"/>
      <c r="V251" s="16"/>
      <c r="W251" s="16"/>
      <c r="X251" s="16"/>
      <c r="Y251" s="16"/>
      <c r="Z251" s="16"/>
      <c r="AA251" s="16"/>
    </row>
    <row r="252">
      <c r="A252" s="16" t="s">
        <v>1006</v>
      </c>
      <c r="B252" s="16" t="s">
        <v>231</v>
      </c>
      <c r="C252" s="17">
        <v>4.791511216961E13</v>
      </c>
      <c r="D252" s="16" t="s">
        <v>32</v>
      </c>
      <c r="E252" s="16" t="str">
        <f t="shared" si="1"/>
        <v>HELIX-MIDNIGHT-LUXETwin XL</v>
      </c>
      <c r="F252" s="18" t="s">
        <v>1097</v>
      </c>
      <c r="G252" s="16"/>
      <c r="H252" s="16"/>
      <c r="I252" s="16"/>
      <c r="J252" s="16"/>
      <c r="K252" s="16"/>
      <c r="L252" s="16"/>
      <c r="M252" s="16"/>
      <c r="N252" s="16"/>
      <c r="O252" s="16"/>
      <c r="P252" s="16"/>
      <c r="Q252" s="16"/>
      <c r="R252" s="16"/>
      <c r="S252" s="16"/>
      <c r="T252" s="16"/>
      <c r="U252" s="16"/>
      <c r="V252" s="16"/>
      <c r="W252" s="16"/>
      <c r="X252" s="16"/>
      <c r="Y252" s="16"/>
      <c r="Z252" s="16"/>
      <c r="AA252" s="16"/>
    </row>
    <row r="253">
      <c r="A253" s="16" t="s">
        <v>1006</v>
      </c>
      <c r="B253" s="16" t="s">
        <v>231</v>
      </c>
      <c r="C253" s="17">
        <v>4.7915112202378E13</v>
      </c>
      <c r="D253" s="16" t="s">
        <v>242</v>
      </c>
      <c r="E253" s="16" t="str">
        <f t="shared" si="1"/>
        <v>HELIX-MIDNIGHT-LUXETwin</v>
      </c>
      <c r="F253" s="18" t="s">
        <v>1144</v>
      </c>
      <c r="G253" s="16"/>
      <c r="H253" s="16"/>
      <c r="I253" s="16"/>
      <c r="J253" s="16"/>
      <c r="K253" s="16"/>
      <c r="L253" s="16"/>
      <c r="M253" s="16"/>
      <c r="N253" s="16"/>
      <c r="O253" s="16"/>
      <c r="P253" s="16"/>
      <c r="Q253" s="16"/>
      <c r="R253" s="16"/>
      <c r="S253" s="16"/>
      <c r="T253" s="16"/>
      <c r="U253" s="16"/>
      <c r="V253" s="16"/>
      <c r="W253" s="16"/>
      <c r="X253" s="16"/>
      <c r="Y253" s="16"/>
      <c r="Z253" s="16"/>
      <c r="AA253" s="16"/>
    </row>
    <row r="254">
      <c r="A254" s="16" t="s">
        <v>1006</v>
      </c>
      <c r="B254" s="16" t="s">
        <v>231</v>
      </c>
      <c r="C254" s="17">
        <v>4.7915112235146E13</v>
      </c>
      <c r="D254" s="16" t="s">
        <v>373</v>
      </c>
      <c r="E254" s="16" t="str">
        <f t="shared" si="1"/>
        <v>HELIX-MIDNIGHT-LUXEFull</v>
      </c>
      <c r="F254" s="18" t="s">
        <v>1199</v>
      </c>
      <c r="G254" s="16"/>
      <c r="H254" s="16"/>
      <c r="I254" s="16"/>
      <c r="J254" s="16"/>
      <c r="K254" s="16"/>
      <c r="L254" s="16"/>
      <c r="M254" s="16"/>
      <c r="N254" s="16"/>
      <c r="O254" s="16"/>
      <c r="P254" s="16"/>
      <c r="Q254" s="16"/>
      <c r="R254" s="16"/>
      <c r="S254" s="16"/>
      <c r="T254" s="16"/>
      <c r="U254" s="16"/>
      <c r="V254" s="16"/>
      <c r="W254" s="16"/>
      <c r="X254" s="16"/>
      <c r="Y254" s="16"/>
      <c r="Z254" s="16"/>
      <c r="AA254" s="16"/>
    </row>
    <row r="255">
      <c r="A255" s="16" t="s">
        <v>1006</v>
      </c>
      <c r="B255" s="16" t="s">
        <v>231</v>
      </c>
      <c r="C255" s="17">
        <v>4.7915112267914E13</v>
      </c>
      <c r="D255" s="16" t="s">
        <v>470</v>
      </c>
      <c r="E255" s="16" t="str">
        <f t="shared" si="1"/>
        <v>HELIX-MIDNIGHT-LUXEQueen</v>
      </c>
      <c r="F255" s="18" t="s">
        <v>1253</v>
      </c>
      <c r="G255" s="16"/>
      <c r="H255" s="16"/>
      <c r="I255" s="16"/>
      <c r="J255" s="16"/>
      <c r="K255" s="16"/>
      <c r="L255" s="16"/>
      <c r="M255" s="16"/>
      <c r="N255" s="16"/>
      <c r="O255" s="16"/>
      <c r="P255" s="16"/>
      <c r="Q255" s="16"/>
      <c r="R255" s="16"/>
      <c r="S255" s="16"/>
      <c r="T255" s="16"/>
      <c r="U255" s="16"/>
      <c r="V255" s="16"/>
      <c r="W255" s="16"/>
      <c r="X255" s="16"/>
      <c r="Y255" s="16"/>
      <c r="Z255" s="16"/>
      <c r="AA255" s="16"/>
    </row>
    <row r="256">
      <c r="A256" s="16" t="s">
        <v>1006</v>
      </c>
      <c r="B256" s="16" t="s">
        <v>231</v>
      </c>
      <c r="C256" s="17">
        <v>4.7915112300682E13</v>
      </c>
      <c r="D256" s="16" t="s">
        <v>568</v>
      </c>
      <c r="E256" s="16" t="str">
        <f t="shared" si="1"/>
        <v>HELIX-MIDNIGHT-LUXEKing</v>
      </c>
      <c r="F256" s="18" t="s">
        <v>1308</v>
      </c>
      <c r="G256" s="16"/>
      <c r="H256" s="16"/>
      <c r="I256" s="16"/>
      <c r="J256" s="16"/>
      <c r="K256" s="16"/>
      <c r="L256" s="16"/>
      <c r="M256" s="16"/>
      <c r="N256" s="16"/>
      <c r="O256" s="16"/>
      <c r="P256" s="16"/>
      <c r="Q256" s="16"/>
      <c r="R256" s="16"/>
      <c r="S256" s="16"/>
      <c r="T256" s="16"/>
      <c r="U256" s="16"/>
      <c r="V256" s="16"/>
      <c r="W256" s="16"/>
      <c r="X256" s="16"/>
      <c r="Y256" s="16"/>
      <c r="Z256" s="16"/>
      <c r="AA256" s="16"/>
    </row>
    <row r="257">
      <c r="A257" s="16" t="s">
        <v>1006</v>
      </c>
      <c r="B257" s="16" t="s">
        <v>231</v>
      </c>
      <c r="C257" s="17">
        <v>4.791511233345E13</v>
      </c>
      <c r="D257" s="16" t="s">
        <v>670</v>
      </c>
      <c r="E257" s="16" t="str">
        <f t="shared" si="1"/>
        <v>HELIX-MIDNIGHT-LUXECalifornia King</v>
      </c>
      <c r="F257" s="18" t="s">
        <v>1381</v>
      </c>
      <c r="G257" s="16"/>
      <c r="H257" s="16"/>
      <c r="I257" s="16"/>
      <c r="J257" s="16"/>
      <c r="K257" s="16"/>
      <c r="L257" s="16"/>
      <c r="M257" s="16"/>
      <c r="N257" s="16"/>
      <c r="O257" s="16"/>
      <c r="P257" s="16"/>
      <c r="Q257" s="16"/>
      <c r="R257" s="16"/>
      <c r="S257" s="16"/>
      <c r="T257" s="16"/>
      <c r="U257" s="16"/>
      <c r="V257" s="16"/>
      <c r="W257" s="16"/>
      <c r="X257" s="16"/>
      <c r="Y257" s="16"/>
      <c r="Z257" s="16"/>
      <c r="AA257" s="16"/>
    </row>
    <row r="258">
      <c r="A258" s="16" t="s">
        <v>1007</v>
      </c>
      <c r="B258" s="16" t="s">
        <v>236</v>
      </c>
      <c r="C258" s="17">
        <v>4.7915112398986E13</v>
      </c>
      <c r="D258" s="16" t="s">
        <v>32</v>
      </c>
      <c r="E258" s="16" t="str">
        <f t="shared" si="1"/>
        <v>HELIX-MIDNIGHT-ELITETwin XL</v>
      </c>
      <c r="F258" s="18" t="s">
        <v>1098</v>
      </c>
      <c r="G258" s="16"/>
      <c r="H258" s="16"/>
      <c r="I258" s="16"/>
      <c r="J258" s="16"/>
      <c r="K258" s="16"/>
      <c r="L258" s="16"/>
      <c r="M258" s="16"/>
      <c r="N258" s="16"/>
      <c r="O258" s="16"/>
      <c r="P258" s="16"/>
      <c r="Q258" s="16"/>
      <c r="R258" s="16"/>
      <c r="S258" s="16"/>
      <c r="T258" s="16"/>
      <c r="U258" s="16"/>
      <c r="V258" s="16"/>
      <c r="W258" s="16"/>
      <c r="X258" s="16"/>
      <c r="Y258" s="16"/>
      <c r="Z258" s="16"/>
      <c r="AA258" s="16"/>
    </row>
    <row r="259">
      <c r="A259" s="16" t="s">
        <v>1007</v>
      </c>
      <c r="B259" s="16" t="s">
        <v>236</v>
      </c>
      <c r="C259" s="17">
        <v>4.7915112431754E13</v>
      </c>
      <c r="D259" s="16" t="s">
        <v>242</v>
      </c>
      <c r="E259" s="16" t="str">
        <f t="shared" si="1"/>
        <v>HELIX-MIDNIGHT-ELITETwin</v>
      </c>
      <c r="F259" s="18" t="s">
        <v>1145</v>
      </c>
      <c r="G259" s="16"/>
      <c r="H259" s="16"/>
      <c r="I259" s="16"/>
      <c r="J259" s="16"/>
      <c r="K259" s="16"/>
      <c r="L259" s="16"/>
      <c r="M259" s="16"/>
      <c r="N259" s="16"/>
      <c r="O259" s="16"/>
      <c r="P259" s="16"/>
      <c r="Q259" s="16"/>
      <c r="R259" s="16"/>
      <c r="S259" s="16"/>
      <c r="T259" s="16"/>
      <c r="U259" s="16"/>
      <c r="V259" s="16"/>
      <c r="W259" s="16"/>
      <c r="X259" s="16"/>
      <c r="Y259" s="16"/>
      <c r="Z259" s="16"/>
      <c r="AA259" s="16"/>
    </row>
    <row r="260">
      <c r="A260" s="16" t="s">
        <v>1007</v>
      </c>
      <c r="B260" s="16" t="s">
        <v>236</v>
      </c>
      <c r="C260" s="17">
        <v>4.7915112464522E13</v>
      </c>
      <c r="D260" s="16" t="s">
        <v>373</v>
      </c>
      <c r="E260" s="16" t="str">
        <f t="shared" si="1"/>
        <v>HELIX-MIDNIGHT-ELITEFull</v>
      </c>
      <c r="F260" s="18" t="s">
        <v>1200</v>
      </c>
      <c r="G260" s="16"/>
      <c r="H260" s="16"/>
      <c r="I260" s="16"/>
      <c r="J260" s="16"/>
      <c r="K260" s="16"/>
      <c r="L260" s="16"/>
      <c r="M260" s="16"/>
      <c r="N260" s="16"/>
      <c r="O260" s="16"/>
      <c r="P260" s="16"/>
      <c r="Q260" s="16"/>
      <c r="R260" s="16"/>
      <c r="S260" s="16"/>
      <c r="T260" s="16"/>
      <c r="U260" s="16"/>
      <c r="V260" s="16"/>
      <c r="W260" s="16"/>
      <c r="X260" s="16"/>
      <c r="Y260" s="16"/>
      <c r="Z260" s="16"/>
      <c r="AA260" s="16"/>
    </row>
    <row r="261">
      <c r="A261" s="16" t="s">
        <v>1007</v>
      </c>
      <c r="B261" s="16" t="s">
        <v>236</v>
      </c>
      <c r="C261" s="17">
        <v>4.791511249729E13</v>
      </c>
      <c r="D261" s="16" t="s">
        <v>470</v>
      </c>
      <c r="E261" s="16" t="str">
        <f t="shared" si="1"/>
        <v>HELIX-MIDNIGHT-ELITEQueen</v>
      </c>
      <c r="F261" s="18" t="s">
        <v>1254</v>
      </c>
      <c r="G261" s="16"/>
      <c r="H261" s="16"/>
      <c r="I261" s="16"/>
      <c r="J261" s="16"/>
      <c r="K261" s="16"/>
      <c r="L261" s="16"/>
      <c r="M261" s="16"/>
      <c r="N261" s="16"/>
      <c r="O261" s="16"/>
      <c r="P261" s="16"/>
      <c r="Q261" s="16"/>
      <c r="R261" s="16"/>
      <c r="S261" s="16"/>
      <c r="T261" s="16"/>
      <c r="U261" s="16"/>
      <c r="V261" s="16"/>
      <c r="W261" s="16"/>
      <c r="X261" s="16"/>
      <c r="Y261" s="16"/>
      <c r="Z261" s="16"/>
      <c r="AA261" s="16"/>
    </row>
    <row r="262">
      <c r="A262" s="16" t="s">
        <v>1007</v>
      </c>
      <c r="B262" s="16" t="s">
        <v>236</v>
      </c>
      <c r="C262" s="17">
        <v>4.7915112530058E13</v>
      </c>
      <c r="D262" s="16" t="s">
        <v>568</v>
      </c>
      <c r="E262" s="16" t="str">
        <f t="shared" si="1"/>
        <v>HELIX-MIDNIGHT-ELITEKing</v>
      </c>
      <c r="F262" s="18" t="s">
        <v>1309</v>
      </c>
      <c r="G262" s="16"/>
      <c r="H262" s="16"/>
      <c r="I262" s="16"/>
      <c r="J262" s="16"/>
      <c r="K262" s="16"/>
      <c r="L262" s="16"/>
      <c r="M262" s="16"/>
      <c r="N262" s="16"/>
      <c r="O262" s="16"/>
      <c r="P262" s="16"/>
      <c r="Q262" s="16"/>
      <c r="R262" s="16"/>
      <c r="S262" s="16"/>
      <c r="T262" s="16"/>
      <c r="U262" s="16"/>
      <c r="V262" s="16"/>
      <c r="W262" s="16"/>
      <c r="X262" s="16"/>
      <c r="Y262" s="16"/>
      <c r="Z262" s="16"/>
      <c r="AA262" s="16"/>
    </row>
    <row r="263">
      <c r="A263" s="16" t="s">
        <v>1007</v>
      </c>
      <c r="B263" s="16" t="s">
        <v>236</v>
      </c>
      <c r="C263" s="17">
        <v>4.7915112562826E13</v>
      </c>
      <c r="D263" s="16" t="s">
        <v>670</v>
      </c>
      <c r="E263" s="16" t="str">
        <f t="shared" si="1"/>
        <v>HELIX-MIDNIGHT-ELITECalifornia King</v>
      </c>
      <c r="F263" s="18" t="s">
        <v>1382</v>
      </c>
      <c r="G263" s="16"/>
      <c r="H263" s="16"/>
      <c r="I263" s="16"/>
      <c r="J263" s="16"/>
      <c r="K263" s="16"/>
      <c r="L263" s="16"/>
      <c r="M263" s="16"/>
      <c r="N263" s="16"/>
      <c r="O263" s="16"/>
      <c r="P263" s="16"/>
      <c r="Q263" s="16"/>
      <c r="R263" s="16"/>
      <c r="S263" s="16"/>
      <c r="T263" s="16"/>
      <c r="U263" s="16"/>
      <c r="V263" s="16"/>
      <c r="W263" s="16"/>
      <c r="X263" s="16"/>
      <c r="Y263" s="16"/>
      <c r="Z263" s="16"/>
      <c r="AA263" s="16"/>
    </row>
    <row r="264">
      <c r="A264" s="16" t="s">
        <v>248</v>
      </c>
      <c r="B264" s="16" t="s">
        <v>247</v>
      </c>
      <c r="C264" s="17">
        <v>4.7915112595594E13</v>
      </c>
      <c r="D264" s="16" t="s">
        <v>242</v>
      </c>
      <c r="E264" s="16" t="str">
        <f t="shared" si="1"/>
        <v>TURNBULLTwin</v>
      </c>
      <c r="F264" s="18" t="s">
        <v>1102</v>
      </c>
      <c r="G264" s="16"/>
      <c r="H264" s="16"/>
      <c r="I264" s="16"/>
      <c r="J264" s="16"/>
      <c r="K264" s="16"/>
      <c r="L264" s="16"/>
      <c r="M264" s="16"/>
      <c r="N264" s="16"/>
      <c r="O264" s="16"/>
      <c r="P264" s="16"/>
      <c r="Q264" s="16"/>
      <c r="R264" s="16"/>
      <c r="S264" s="16"/>
      <c r="T264" s="16"/>
      <c r="U264" s="16"/>
      <c r="V264" s="16"/>
      <c r="W264" s="16"/>
      <c r="X264" s="16"/>
      <c r="Y264" s="16"/>
      <c r="Z264" s="16"/>
      <c r="AA264" s="16"/>
    </row>
    <row r="265">
      <c r="A265" s="16" t="s">
        <v>248</v>
      </c>
      <c r="B265" s="16" t="s">
        <v>247</v>
      </c>
      <c r="C265" s="17">
        <v>4.7915112628362E13</v>
      </c>
      <c r="D265" s="16" t="s">
        <v>373</v>
      </c>
      <c r="E265" s="16" t="str">
        <f t="shared" si="1"/>
        <v>TURNBULLFull</v>
      </c>
      <c r="F265" s="18" t="s">
        <v>1152</v>
      </c>
      <c r="G265" s="16"/>
      <c r="H265" s="16"/>
      <c r="I265" s="16"/>
      <c r="J265" s="16"/>
      <c r="K265" s="16"/>
      <c r="L265" s="16"/>
      <c r="M265" s="16"/>
      <c r="N265" s="16"/>
      <c r="O265" s="16"/>
      <c r="P265" s="16"/>
      <c r="Q265" s="16"/>
      <c r="R265" s="16"/>
      <c r="S265" s="16"/>
      <c r="T265" s="16"/>
      <c r="U265" s="16"/>
      <c r="V265" s="16"/>
      <c r="W265" s="16"/>
      <c r="X265" s="16"/>
      <c r="Y265" s="16"/>
      <c r="Z265" s="16"/>
      <c r="AA265" s="16"/>
    </row>
    <row r="266">
      <c r="A266" s="16" t="s">
        <v>254</v>
      </c>
      <c r="B266" s="16" t="s">
        <v>253</v>
      </c>
      <c r="C266" s="17">
        <v>4.7915112693898E13</v>
      </c>
      <c r="D266" s="16" t="s">
        <v>242</v>
      </c>
      <c r="E266" s="16" t="str">
        <f t="shared" si="1"/>
        <v>HAWKETwin</v>
      </c>
      <c r="F266" s="18" t="s">
        <v>1103</v>
      </c>
      <c r="G266" s="16"/>
      <c r="H266" s="16"/>
      <c r="I266" s="16"/>
      <c r="J266" s="16"/>
      <c r="K266" s="16"/>
      <c r="L266" s="16"/>
      <c r="M266" s="16"/>
      <c r="N266" s="16"/>
      <c r="O266" s="16"/>
      <c r="P266" s="16"/>
      <c r="Q266" s="16"/>
      <c r="R266" s="16"/>
      <c r="S266" s="16"/>
      <c r="T266" s="16"/>
      <c r="U266" s="16"/>
      <c r="V266" s="16"/>
      <c r="W266" s="16"/>
      <c r="X266" s="16"/>
      <c r="Y266" s="16"/>
      <c r="Z266" s="16"/>
      <c r="AA266" s="16"/>
    </row>
    <row r="267">
      <c r="A267" s="16" t="s">
        <v>254</v>
      </c>
      <c r="B267" s="16" t="s">
        <v>253</v>
      </c>
      <c r="C267" s="17">
        <v>4.7915112726666E13</v>
      </c>
      <c r="D267" s="16" t="s">
        <v>373</v>
      </c>
      <c r="E267" s="16" t="str">
        <f t="shared" si="1"/>
        <v>HAWKEFull</v>
      </c>
      <c r="F267" s="18" t="s">
        <v>1153</v>
      </c>
      <c r="G267" s="16"/>
      <c r="H267" s="16"/>
      <c r="I267" s="16"/>
      <c r="J267" s="16"/>
      <c r="K267" s="16"/>
      <c r="L267" s="16"/>
      <c r="M267" s="16"/>
      <c r="N267" s="16"/>
      <c r="O267" s="16"/>
      <c r="P267" s="16"/>
      <c r="Q267" s="16"/>
      <c r="R267" s="16"/>
      <c r="S267" s="16"/>
      <c r="T267" s="16"/>
      <c r="U267" s="16"/>
      <c r="V267" s="16"/>
      <c r="W267" s="16"/>
      <c r="X267" s="16"/>
      <c r="Y267" s="16"/>
      <c r="Z267" s="16"/>
      <c r="AA267" s="16"/>
    </row>
    <row r="268">
      <c r="A268" s="16" t="s">
        <v>259</v>
      </c>
      <c r="B268" s="16" t="s">
        <v>258</v>
      </c>
      <c r="C268" s="17">
        <v>4.7915112759434E13</v>
      </c>
      <c r="D268" s="16" t="s">
        <v>242</v>
      </c>
      <c r="E268" s="16" t="str">
        <f t="shared" si="1"/>
        <v>GRENSONTwin</v>
      </c>
      <c r="F268" s="18" t="s">
        <v>1104</v>
      </c>
      <c r="G268" s="16"/>
      <c r="H268" s="16"/>
      <c r="I268" s="16"/>
      <c r="J268" s="16"/>
      <c r="K268" s="16"/>
      <c r="L268" s="16"/>
      <c r="M268" s="16"/>
      <c r="N268" s="16"/>
      <c r="O268" s="16"/>
      <c r="P268" s="16"/>
      <c r="Q268" s="16"/>
      <c r="R268" s="16"/>
      <c r="S268" s="16"/>
      <c r="T268" s="16"/>
      <c r="U268" s="16"/>
      <c r="V268" s="16"/>
      <c r="W268" s="16"/>
      <c r="X268" s="16"/>
      <c r="Y268" s="16"/>
      <c r="Z268" s="16"/>
      <c r="AA268" s="16"/>
    </row>
    <row r="269">
      <c r="A269" s="16" t="s">
        <v>259</v>
      </c>
      <c r="B269" s="16" t="s">
        <v>258</v>
      </c>
      <c r="C269" s="17">
        <v>4.7915112792202E13</v>
      </c>
      <c r="D269" s="16" t="s">
        <v>373</v>
      </c>
      <c r="E269" s="16" t="str">
        <f t="shared" si="1"/>
        <v>GRENSONFull</v>
      </c>
      <c r="F269" s="18" t="s">
        <v>1154</v>
      </c>
      <c r="G269" s="16"/>
      <c r="H269" s="16"/>
      <c r="I269" s="16"/>
      <c r="J269" s="16"/>
      <c r="K269" s="16"/>
      <c r="L269" s="16"/>
      <c r="M269" s="16"/>
      <c r="N269" s="16"/>
      <c r="O269" s="16"/>
      <c r="P269" s="16"/>
      <c r="Q269" s="16"/>
      <c r="R269" s="16"/>
      <c r="S269" s="16"/>
      <c r="T269" s="16"/>
      <c r="U269" s="16"/>
      <c r="V269" s="16"/>
      <c r="W269" s="16"/>
      <c r="X269" s="16"/>
      <c r="Y269" s="16"/>
      <c r="Z269" s="16"/>
      <c r="AA269" s="16"/>
    </row>
    <row r="270">
      <c r="A270" s="16" t="s">
        <v>1008</v>
      </c>
      <c r="B270" s="16" t="s">
        <v>1430</v>
      </c>
      <c r="C270" s="17">
        <v>4.791511282497E13</v>
      </c>
      <c r="D270" s="16" t="s">
        <v>242</v>
      </c>
      <c r="E270" s="16" t="str">
        <f t="shared" si="1"/>
        <v>TUFT-NEEDLE-KIDS-GLEETwin</v>
      </c>
      <c r="F270" s="18" t="s">
        <v>1114</v>
      </c>
      <c r="G270" s="16"/>
      <c r="H270" s="16"/>
      <c r="I270" s="16"/>
      <c r="J270" s="16"/>
      <c r="K270" s="16"/>
      <c r="L270" s="16"/>
      <c r="M270" s="16"/>
      <c r="N270" s="16"/>
      <c r="O270" s="16"/>
      <c r="P270" s="16"/>
      <c r="Q270" s="16"/>
      <c r="R270" s="16"/>
      <c r="S270" s="16"/>
      <c r="T270" s="16"/>
      <c r="U270" s="16"/>
      <c r="V270" s="16"/>
      <c r="W270" s="16"/>
      <c r="X270" s="16"/>
      <c r="Y270" s="16"/>
      <c r="Z270" s="16"/>
      <c r="AA270" s="16"/>
    </row>
    <row r="271">
      <c r="A271" s="16" t="s">
        <v>1008</v>
      </c>
      <c r="B271" s="16" t="s">
        <v>1430</v>
      </c>
      <c r="C271" s="17">
        <v>4.7915112857738E13</v>
      </c>
      <c r="D271" s="16" t="s">
        <v>373</v>
      </c>
      <c r="E271" s="16" t="str">
        <f t="shared" si="1"/>
        <v>TUFT-NEEDLE-KIDS-GLEEFull</v>
      </c>
      <c r="F271" s="18" t="s">
        <v>1164</v>
      </c>
      <c r="G271" s="16"/>
      <c r="H271" s="16"/>
      <c r="I271" s="16"/>
      <c r="J271" s="16"/>
      <c r="K271" s="16"/>
      <c r="L271" s="16"/>
      <c r="M271" s="16"/>
      <c r="N271" s="16"/>
      <c r="O271" s="16"/>
      <c r="P271" s="16"/>
      <c r="Q271" s="16"/>
      <c r="R271" s="16"/>
      <c r="S271" s="16"/>
      <c r="T271" s="16"/>
      <c r="U271" s="16"/>
      <c r="V271" s="16"/>
      <c r="W271" s="16"/>
      <c r="X271" s="16"/>
      <c r="Y271" s="16"/>
      <c r="Z271" s="16"/>
      <c r="AA271" s="16"/>
    </row>
    <row r="272">
      <c r="A272" s="16" t="s">
        <v>1009</v>
      </c>
      <c r="B272" s="16" t="s">
        <v>282</v>
      </c>
      <c r="C272" s="17">
        <v>4.7915112890506E13</v>
      </c>
      <c r="D272" s="16" t="s">
        <v>242</v>
      </c>
      <c r="E272" s="16" t="str">
        <f t="shared" si="1"/>
        <v>SIMMONS-KIDS-DELIGHTTwin</v>
      </c>
      <c r="F272" s="18" t="s">
        <v>1118</v>
      </c>
      <c r="G272" s="16"/>
      <c r="H272" s="16"/>
      <c r="I272" s="16"/>
      <c r="J272" s="16"/>
      <c r="K272" s="16"/>
      <c r="L272" s="16"/>
      <c r="M272" s="16"/>
      <c r="N272" s="16"/>
      <c r="O272" s="16"/>
      <c r="P272" s="16"/>
      <c r="Q272" s="16"/>
      <c r="R272" s="16"/>
      <c r="S272" s="16"/>
      <c r="T272" s="16"/>
      <c r="U272" s="16"/>
      <c r="V272" s="16"/>
      <c r="W272" s="16"/>
      <c r="X272" s="16"/>
      <c r="Y272" s="16"/>
      <c r="Z272" s="16"/>
      <c r="AA272" s="16"/>
    </row>
    <row r="273">
      <c r="A273" s="16" t="s">
        <v>1009</v>
      </c>
      <c r="B273" s="16" t="s">
        <v>282</v>
      </c>
      <c r="C273" s="17">
        <v>4.7915112923274E13</v>
      </c>
      <c r="D273" s="16" t="s">
        <v>373</v>
      </c>
      <c r="E273" s="16" t="str">
        <f t="shared" si="1"/>
        <v>SIMMONS-KIDS-DELIGHTFull</v>
      </c>
      <c r="F273" s="18" t="s">
        <v>1168</v>
      </c>
      <c r="G273" s="16"/>
      <c r="H273" s="16"/>
      <c r="I273" s="16"/>
      <c r="J273" s="16"/>
      <c r="K273" s="16"/>
      <c r="L273" s="16"/>
      <c r="M273" s="16"/>
      <c r="N273" s="16"/>
      <c r="O273" s="16"/>
      <c r="P273" s="16"/>
      <c r="Q273" s="16"/>
      <c r="R273" s="16"/>
      <c r="S273" s="16"/>
      <c r="T273" s="16"/>
      <c r="U273" s="16"/>
      <c r="V273" s="16"/>
      <c r="W273" s="16"/>
      <c r="X273" s="16"/>
      <c r="Y273" s="16"/>
      <c r="Z273" s="16"/>
      <c r="AA273" s="16"/>
    </row>
    <row r="274">
      <c r="A274" s="16" t="s">
        <v>1010</v>
      </c>
      <c r="B274" s="16" t="s">
        <v>288</v>
      </c>
      <c r="C274" s="17">
        <v>4.7915112956042E13</v>
      </c>
      <c r="D274" s="16" t="s">
        <v>242</v>
      </c>
      <c r="E274" s="16" t="str">
        <f t="shared" si="1"/>
        <v>SIMMONS-KIDS-GLADTwin</v>
      </c>
      <c r="F274" s="18" t="s">
        <v>1119</v>
      </c>
      <c r="G274" s="16"/>
      <c r="H274" s="16"/>
      <c r="I274" s="16"/>
      <c r="J274" s="16"/>
      <c r="K274" s="16"/>
      <c r="L274" s="16"/>
      <c r="M274" s="16"/>
      <c r="N274" s="16"/>
      <c r="O274" s="16"/>
      <c r="P274" s="16"/>
      <c r="Q274" s="16"/>
      <c r="R274" s="16"/>
      <c r="S274" s="16"/>
      <c r="T274" s="16"/>
      <c r="U274" s="16"/>
      <c r="V274" s="16"/>
      <c r="W274" s="16"/>
      <c r="X274" s="16"/>
      <c r="Y274" s="16"/>
      <c r="Z274" s="16"/>
      <c r="AA274" s="16"/>
    </row>
    <row r="275">
      <c r="A275" s="16" t="s">
        <v>1010</v>
      </c>
      <c r="B275" s="16" t="s">
        <v>288</v>
      </c>
      <c r="C275" s="17">
        <v>4.791511298881E13</v>
      </c>
      <c r="D275" s="16" t="s">
        <v>373</v>
      </c>
      <c r="E275" s="16" t="str">
        <f t="shared" si="1"/>
        <v>SIMMONS-KIDS-GLADFull</v>
      </c>
      <c r="F275" s="18" t="s">
        <v>1169</v>
      </c>
      <c r="G275" s="16"/>
      <c r="H275" s="16"/>
      <c r="I275" s="16"/>
      <c r="J275" s="16"/>
      <c r="K275" s="16"/>
      <c r="L275" s="16"/>
      <c r="M275" s="16"/>
      <c r="N275" s="16"/>
      <c r="O275" s="16"/>
      <c r="P275" s="16"/>
      <c r="Q275" s="16"/>
      <c r="R275" s="16"/>
      <c r="S275" s="16"/>
      <c r="T275" s="16"/>
      <c r="U275" s="16"/>
      <c r="V275" s="16"/>
      <c r="W275" s="16"/>
      <c r="X275" s="16"/>
      <c r="Y275" s="16"/>
      <c r="Z275" s="16"/>
      <c r="AA275" s="16"/>
    </row>
    <row r="276">
      <c r="A276" s="16" t="s">
        <v>1011</v>
      </c>
      <c r="B276" s="16" t="s">
        <v>293</v>
      </c>
      <c r="C276" s="17">
        <v>4.7915113021578E13</v>
      </c>
      <c r="D276" s="16" t="s">
        <v>242</v>
      </c>
      <c r="E276" s="16" t="str">
        <f t="shared" si="1"/>
        <v>SIMMONS-KIDS-HAPPYTwin</v>
      </c>
      <c r="F276" s="18" t="s">
        <v>1120</v>
      </c>
      <c r="G276" s="16"/>
      <c r="H276" s="16"/>
      <c r="I276" s="16"/>
      <c r="J276" s="16"/>
      <c r="K276" s="16"/>
      <c r="L276" s="16"/>
      <c r="M276" s="16"/>
      <c r="N276" s="16"/>
      <c r="O276" s="16"/>
      <c r="P276" s="16"/>
      <c r="Q276" s="16"/>
      <c r="R276" s="16"/>
      <c r="S276" s="16"/>
      <c r="T276" s="16"/>
      <c r="U276" s="16"/>
      <c r="V276" s="16"/>
      <c r="W276" s="16"/>
      <c r="X276" s="16"/>
      <c r="Y276" s="16"/>
      <c r="Z276" s="16"/>
      <c r="AA276" s="16"/>
    </row>
    <row r="277">
      <c r="A277" s="16" t="s">
        <v>1011</v>
      </c>
      <c r="B277" s="16" t="s">
        <v>293</v>
      </c>
      <c r="C277" s="17">
        <v>4.7915113054346E13</v>
      </c>
      <c r="D277" s="16" t="s">
        <v>373</v>
      </c>
      <c r="E277" s="16" t="str">
        <f t="shared" si="1"/>
        <v>SIMMONS-KIDS-HAPPYFull</v>
      </c>
      <c r="F277" s="18" t="s">
        <v>1170</v>
      </c>
      <c r="G277" s="16"/>
      <c r="H277" s="16"/>
      <c r="I277" s="16"/>
      <c r="J277" s="16"/>
      <c r="K277" s="16"/>
      <c r="L277" s="16"/>
      <c r="M277" s="16"/>
      <c r="N277" s="16"/>
      <c r="O277" s="16"/>
      <c r="P277" s="16"/>
      <c r="Q277" s="16"/>
      <c r="R277" s="16"/>
      <c r="S277" s="16"/>
      <c r="T277" s="16"/>
      <c r="U277" s="16"/>
      <c r="V277" s="16"/>
      <c r="W277" s="16"/>
      <c r="X277" s="16"/>
      <c r="Y277" s="16"/>
      <c r="Z277" s="16"/>
      <c r="AA277" s="16"/>
    </row>
    <row r="278">
      <c r="A278" s="16" t="s">
        <v>307</v>
      </c>
      <c r="B278" s="16" t="s">
        <v>306</v>
      </c>
      <c r="C278" s="17">
        <v>4.7915113119882E13</v>
      </c>
      <c r="D278" s="16" t="s">
        <v>242</v>
      </c>
      <c r="E278" s="16" t="str">
        <f t="shared" si="1"/>
        <v>ALDERTwin</v>
      </c>
      <c r="F278" s="18" t="s">
        <v>1124</v>
      </c>
      <c r="G278" s="16"/>
      <c r="H278" s="16"/>
      <c r="I278" s="16"/>
      <c r="J278" s="16"/>
      <c r="K278" s="16"/>
      <c r="L278" s="16"/>
      <c r="M278" s="16"/>
      <c r="N278" s="16"/>
      <c r="O278" s="16"/>
      <c r="P278" s="16"/>
      <c r="Q278" s="16"/>
      <c r="R278" s="16"/>
      <c r="S278" s="16"/>
      <c r="T278" s="16"/>
      <c r="U278" s="16"/>
      <c r="V278" s="16"/>
      <c r="W278" s="16"/>
      <c r="X278" s="16"/>
      <c r="Y278" s="16"/>
      <c r="Z278" s="16"/>
      <c r="AA278" s="16"/>
    </row>
    <row r="279">
      <c r="A279" s="16" t="s">
        <v>307</v>
      </c>
      <c r="B279" s="16" t="s">
        <v>306</v>
      </c>
      <c r="C279" s="17">
        <v>4.791511315265E13</v>
      </c>
      <c r="D279" s="16" t="s">
        <v>373</v>
      </c>
      <c r="E279" s="16" t="str">
        <f t="shared" si="1"/>
        <v>ALDERFull</v>
      </c>
      <c r="F279" s="18" t="s">
        <v>1174</v>
      </c>
      <c r="G279" s="16"/>
      <c r="H279" s="16"/>
      <c r="I279" s="16"/>
      <c r="J279" s="16"/>
      <c r="K279" s="16"/>
      <c r="L279" s="16"/>
      <c r="M279" s="16"/>
      <c r="N279" s="16"/>
      <c r="O279" s="16"/>
      <c r="P279" s="16"/>
      <c r="Q279" s="16"/>
      <c r="R279" s="16"/>
      <c r="S279" s="16"/>
      <c r="T279" s="16"/>
      <c r="U279" s="16"/>
      <c r="V279" s="16"/>
      <c r="W279" s="16"/>
      <c r="X279" s="16"/>
      <c r="Y279" s="16"/>
      <c r="Z279" s="16"/>
      <c r="AA279" s="16"/>
    </row>
    <row r="280">
      <c r="A280" s="16" t="s">
        <v>313</v>
      </c>
      <c r="B280" s="16" t="s">
        <v>312</v>
      </c>
      <c r="C280" s="17">
        <v>4.7915113185418E13</v>
      </c>
      <c r="D280" s="16" t="s">
        <v>242</v>
      </c>
      <c r="E280" s="16" t="str">
        <f t="shared" si="1"/>
        <v>CREEKMORETwin</v>
      </c>
      <c r="F280" s="18" t="s">
        <v>1125</v>
      </c>
      <c r="G280" s="16"/>
      <c r="H280" s="16"/>
      <c r="I280" s="16"/>
      <c r="J280" s="16"/>
      <c r="K280" s="16"/>
      <c r="L280" s="16"/>
      <c r="M280" s="16"/>
      <c r="N280" s="16"/>
      <c r="O280" s="16"/>
      <c r="P280" s="16"/>
      <c r="Q280" s="16"/>
      <c r="R280" s="16"/>
      <c r="S280" s="16"/>
      <c r="T280" s="16"/>
      <c r="U280" s="16"/>
      <c r="V280" s="16"/>
      <c r="W280" s="16"/>
      <c r="X280" s="16"/>
      <c r="Y280" s="16"/>
      <c r="Z280" s="16"/>
      <c r="AA280" s="16"/>
    </row>
    <row r="281">
      <c r="A281" s="16" t="s">
        <v>313</v>
      </c>
      <c r="B281" s="16" t="s">
        <v>312</v>
      </c>
      <c r="C281" s="17">
        <v>4.7915113218186E13</v>
      </c>
      <c r="D281" s="16" t="s">
        <v>373</v>
      </c>
      <c r="E281" s="16" t="str">
        <f t="shared" si="1"/>
        <v>CREEKMOREFull</v>
      </c>
      <c r="F281" s="18" t="s">
        <v>1175</v>
      </c>
      <c r="G281" s="16"/>
      <c r="H281" s="16"/>
      <c r="I281" s="16"/>
      <c r="J281" s="16"/>
      <c r="K281" s="16"/>
      <c r="L281" s="16"/>
      <c r="M281" s="16"/>
      <c r="N281" s="16"/>
      <c r="O281" s="16"/>
      <c r="P281" s="16"/>
      <c r="Q281" s="16"/>
      <c r="R281" s="16"/>
      <c r="S281" s="16"/>
      <c r="T281" s="16"/>
      <c r="U281" s="16"/>
      <c r="V281" s="16"/>
      <c r="W281" s="16"/>
      <c r="X281" s="16"/>
      <c r="Y281" s="16"/>
      <c r="Z281" s="16"/>
      <c r="AA281" s="16"/>
    </row>
    <row r="282">
      <c r="A282" s="16" t="s">
        <v>318</v>
      </c>
      <c r="B282" s="16" t="s">
        <v>317</v>
      </c>
      <c r="C282" s="17">
        <v>4.7915113283722E13</v>
      </c>
      <c r="D282" s="16" t="s">
        <v>242</v>
      </c>
      <c r="E282" s="16" t="str">
        <f t="shared" si="1"/>
        <v>FLOURISHTwin</v>
      </c>
      <c r="F282" s="18" t="s">
        <v>1126</v>
      </c>
      <c r="G282" s="16"/>
      <c r="H282" s="16"/>
      <c r="I282" s="16"/>
      <c r="J282" s="16"/>
      <c r="K282" s="16"/>
      <c r="L282" s="16"/>
      <c r="M282" s="16"/>
      <c r="N282" s="16"/>
      <c r="O282" s="16"/>
      <c r="P282" s="16"/>
      <c r="Q282" s="16"/>
      <c r="R282" s="16"/>
      <c r="S282" s="16"/>
      <c r="T282" s="16"/>
      <c r="U282" s="16"/>
      <c r="V282" s="16"/>
      <c r="W282" s="16"/>
      <c r="X282" s="16"/>
      <c r="Y282" s="16"/>
      <c r="Z282" s="16"/>
      <c r="AA282" s="16"/>
    </row>
    <row r="283">
      <c r="A283" s="16" t="s">
        <v>318</v>
      </c>
      <c r="B283" s="16" t="s">
        <v>317</v>
      </c>
      <c r="C283" s="17">
        <v>4.791511331649E13</v>
      </c>
      <c r="D283" s="16" t="s">
        <v>373</v>
      </c>
      <c r="E283" s="16" t="str">
        <f t="shared" si="1"/>
        <v>FLOURISHFull</v>
      </c>
      <c r="F283" s="18" t="s">
        <v>1176</v>
      </c>
      <c r="G283" s="16"/>
      <c r="H283" s="16"/>
      <c r="I283" s="16"/>
      <c r="J283" s="16"/>
      <c r="K283" s="16"/>
      <c r="L283" s="16"/>
      <c r="M283" s="16"/>
      <c r="N283" s="16"/>
      <c r="O283" s="16"/>
      <c r="P283" s="16"/>
      <c r="Q283" s="16"/>
      <c r="R283" s="16"/>
      <c r="S283" s="16"/>
      <c r="T283" s="16"/>
      <c r="U283" s="16"/>
      <c r="V283" s="16"/>
      <c r="W283" s="16"/>
      <c r="X283" s="16"/>
      <c r="Y283" s="16"/>
      <c r="Z283" s="16"/>
      <c r="AA283" s="16"/>
    </row>
    <row r="284">
      <c r="A284" s="16" t="s">
        <v>323</v>
      </c>
      <c r="B284" s="16" t="s">
        <v>322</v>
      </c>
      <c r="C284" s="17">
        <v>4.7915113349258E13</v>
      </c>
      <c r="D284" s="16" t="s">
        <v>242</v>
      </c>
      <c r="E284" s="16" t="str">
        <f t="shared" si="1"/>
        <v>HAMELTwin</v>
      </c>
      <c r="F284" s="18" t="s">
        <v>1127</v>
      </c>
      <c r="G284" s="16"/>
      <c r="H284" s="16"/>
      <c r="I284" s="16"/>
      <c r="J284" s="16"/>
      <c r="K284" s="16"/>
      <c r="L284" s="16"/>
      <c r="M284" s="16"/>
      <c r="N284" s="16"/>
      <c r="O284" s="16"/>
      <c r="P284" s="16"/>
      <c r="Q284" s="16"/>
      <c r="R284" s="16"/>
      <c r="S284" s="16"/>
      <c r="T284" s="16"/>
      <c r="U284" s="16"/>
      <c r="V284" s="16"/>
      <c r="W284" s="16"/>
      <c r="X284" s="16"/>
      <c r="Y284" s="16"/>
      <c r="Z284" s="16"/>
      <c r="AA284" s="16"/>
    </row>
    <row r="285">
      <c r="A285" s="16" t="s">
        <v>323</v>
      </c>
      <c r="B285" s="16" t="s">
        <v>322</v>
      </c>
      <c r="C285" s="17">
        <v>4.7915113382026E13</v>
      </c>
      <c r="D285" s="16" t="s">
        <v>373</v>
      </c>
      <c r="E285" s="16" t="str">
        <f t="shared" si="1"/>
        <v>HAMELFull</v>
      </c>
      <c r="F285" s="18" t="s">
        <v>1177</v>
      </c>
      <c r="G285" s="16"/>
      <c r="H285" s="16"/>
      <c r="I285" s="16"/>
      <c r="J285" s="16"/>
      <c r="K285" s="16"/>
      <c r="L285" s="16"/>
      <c r="M285" s="16"/>
      <c r="N285" s="16"/>
      <c r="O285" s="16"/>
      <c r="P285" s="16"/>
      <c r="Q285" s="16"/>
      <c r="R285" s="16"/>
      <c r="S285" s="16"/>
      <c r="T285" s="16"/>
      <c r="U285" s="16"/>
      <c r="V285" s="16"/>
      <c r="W285" s="16"/>
      <c r="X285" s="16"/>
      <c r="Y285" s="16"/>
      <c r="Z285" s="16"/>
      <c r="AA285" s="16"/>
    </row>
    <row r="286">
      <c r="A286" s="16" t="s">
        <v>328</v>
      </c>
      <c r="B286" s="16" t="s">
        <v>327</v>
      </c>
      <c r="C286" s="17">
        <v>4.7915113414794E13</v>
      </c>
      <c r="D286" s="16" t="s">
        <v>242</v>
      </c>
      <c r="E286" s="16" t="str">
        <f t="shared" si="1"/>
        <v>IMPREZATwin</v>
      </c>
      <c r="F286" s="18" t="s">
        <v>1128</v>
      </c>
      <c r="G286" s="16"/>
      <c r="H286" s="16"/>
      <c r="I286" s="16"/>
      <c r="J286" s="16"/>
      <c r="K286" s="16"/>
      <c r="L286" s="16"/>
      <c r="M286" s="16"/>
      <c r="N286" s="16"/>
      <c r="O286" s="16"/>
      <c r="P286" s="16"/>
      <c r="Q286" s="16"/>
      <c r="R286" s="16"/>
      <c r="S286" s="16"/>
      <c r="T286" s="16"/>
      <c r="U286" s="16"/>
      <c r="V286" s="16"/>
      <c r="W286" s="16"/>
      <c r="X286" s="16"/>
      <c r="Y286" s="16"/>
      <c r="Z286" s="16"/>
      <c r="AA286" s="16"/>
    </row>
    <row r="287">
      <c r="A287" s="16" t="s">
        <v>328</v>
      </c>
      <c r="B287" s="16" t="s">
        <v>327</v>
      </c>
      <c r="C287" s="17">
        <v>4.7915113447562E13</v>
      </c>
      <c r="D287" s="16" t="s">
        <v>373</v>
      </c>
      <c r="E287" s="16" t="str">
        <f t="shared" si="1"/>
        <v>IMPREZAFull</v>
      </c>
      <c r="F287" s="18" t="s">
        <v>1178</v>
      </c>
      <c r="G287" s="16"/>
      <c r="H287" s="16"/>
      <c r="I287" s="16"/>
      <c r="J287" s="16"/>
      <c r="K287" s="16"/>
      <c r="L287" s="16"/>
      <c r="M287" s="16"/>
      <c r="N287" s="16"/>
      <c r="O287" s="16"/>
      <c r="P287" s="16"/>
      <c r="Q287" s="16"/>
      <c r="R287" s="16"/>
      <c r="S287" s="16"/>
      <c r="T287" s="16"/>
      <c r="U287" s="16"/>
      <c r="V287" s="16"/>
      <c r="W287" s="16"/>
      <c r="X287" s="16"/>
      <c r="Y287" s="16"/>
      <c r="Z287" s="16"/>
      <c r="AA287" s="16"/>
    </row>
    <row r="288">
      <c r="A288" s="16" t="s">
        <v>348</v>
      </c>
      <c r="B288" s="16" t="s">
        <v>1431</v>
      </c>
      <c r="C288" s="17">
        <v>4.791511348033E13</v>
      </c>
      <c r="D288" s="16" t="s">
        <v>242</v>
      </c>
      <c r="E288" s="16" t="str">
        <f t="shared" si="1"/>
        <v>TEMPUR-KIDSTwin</v>
      </c>
      <c r="F288" s="18" t="s">
        <v>1140</v>
      </c>
      <c r="G288" s="16"/>
      <c r="H288" s="16"/>
      <c r="I288" s="16"/>
      <c r="J288" s="16"/>
      <c r="K288" s="16"/>
      <c r="L288" s="16"/>
      <c r="M288" s="16"/>
      <c r="N288" s="16"/>
      <c r="O288" s="16"/>
      <c r="P288" s="16"/>
      <c r="Q288" s="16"/>
      <c r="R288" s="16"/>
      <c r="S288" s="16"/>
      <c r="T288" s="16"/>
      <c r="U288" s="16"/>
      <c r="V288" s="16"/>
      <c r="W288" s="16"/>
      <c r="X288" s="16"/>
      <c r="Y288" s="16"/>
      <c r="Z288" s="16"/>
      <c r="AA288" s="16"/>
    </row>
    <row r="289">
      <c r="A289" s="16" t="s">
        <v>348</v>
      </c>
      <c r="B289" s="16" t="s">
        <v>1431</v>
      </c>
      <c r="C289" s="17">
        <v>4.7915113513098E13</v>
      </c>
      <c r="D289" s="16" t="s">
        <v>373</v>
      </c>
      <c r="E289" s="16" t="str">
        <f t="shared" si="1"/>
        <v>TEMPUR-KIDSFull</v>
      </c>
      <c r="F289" s="18" t="s">
        <v>1190</v>
      </c>
      <c r="G289" s="16"/>
      <c r="H289" s="16"/>
      <c r="I289" s="16"/>
      <c r="J289" s="16"/>
      <c r="K289" s="16"/>
      <c r="L289" s="16"/>
      <c r="M289" s="16"/>
      <c r="N289" s="16"/>
      <c r="O289" s="16"/>
      <c r="P289" s="16"/>
      <c r="Q289" s="16"/>
      <c r="R289" s="16"/>
      <c r="S289" s="16"/>
      <c r="T289" s="16"/>
      <c r="U289" s="16"/>
      <c r="V289" s="16"/>
      <c r="W289" s="16"/>
      <c r="X289" s="16"/>
      <c r="Y289" s="16"/>
      <c r="Z289" s="16"/>
      <c r="AA289" s="16"/>
    </row>
    <row r="290">
      <c r="A290" s="16" t="s">
        <v>352</v>
      </c>
      <c r="B290" s="16" t="s">
        <v>352</v>
      </c>
      <c r="C290" s="17">
        <v>4.7915113578634E13</v>
      </c>
      <c r="D290" s="16" t="s">
        <v>242</v>
      </c>
      <c r="E290" s="16" t="str">
        <f t="shared" si="1"/>
        <v>Z-305Twin</v>
      </c>
      <c r="F290" s="18" t="s">
        <v>1141</v>
      </c>
      <c r="G290" s="16"/>
      <c r="H290" s="16"/>
      <c r="I290" s="16"/>
      <c r="J290" s="16"/>
      <c r="K290" s="16"/>
      <c r="L290" s="16"/>
      <c r="M290" s="16"/>
      <c r="N290" s="16"/>
      <c r="O290" s="16"/>
      <c r="P290" s="16"/>
      <c r="Q290" s="16"/>
      <c r="R290" s="16"/>
      <c r="S290" s="16"/>
      <c r="T290" s="16"/>
      <c r="U290" s="16"/>
      <c r="V290" s="16"/>
      <c r="W290" s="16"/>
      <c r="X290" s="16"/>
      <c r="Y290" s="16"/>
      <c r="Z290" s="16"/>
      <c r="AA290" s="16"/>
    </row>
    <row r="291">
      <c r="A291" s="16" t="s">
        <v>352</v>
      </c>
      <c r="B291" s="16" t="s">
        <v>352</v>
      </c>
      <c r="C291" s="17">
        <v>4.7915113611402E13</v>
      </c>
      <c r="D291" s="16" t="s">
        <v>373</v>
      </c>
      <c r="E291" s="16" t="str">
        <f t="shared" si="1"/>
        <v>Z-305Full</v>
      </c>
      <c r="F291" s="18" t="s">
        <v>1196</v>
      </c>
      <c r="G291" s="16"/>
      <c r="H291" s="16"/>
      <c r="I291" s="16"/>
      <c r="J291" s="16"/>
      <c r="K291" s="16"/>
      <c r="L291" s="16"/>
      <c r="M291" s="16"/>
      <c r="N291" s="16"/>
      <c r="O291" s="16"/>
      <c r="P291" s="16"/>
      <c r="Q291" s="16"/>
      <c r="R291" s="16"/>
      <c r="S291" s="16"/>
      <c r="T291" s="16"/>
      <c r="U291" s="16"/>
      <c r="V291" s="16"/>
      <c r="W291" s="16"/>
      <c r="X291" s="16"/>
      <c r="Y291" s="16"/>
      <c r="Z291" s="16"/>
      <c r="AA291" s="16"/>
    </row>
    <row r="292">
      <c r="A292" s="16" t="s">
        <v>356</v>
      </c>
      <c r="B292" s="16" t="s">
        <v>356</v>
      </c>
      <c r="C292" s="17">
        <v>4.7915113676938E13</v>
      </c>
      <c r="D292" s="16" t="s">
        <v>242</v>
      </c>
      <c r="E292" s="16" t="str">
        <f t="shared" si="1"/>
        <v>Z-505Twin</v>
      </c>
      <c r="F292" s="18" t="s">
        <v>1142</v>
      </c>
      <c r="G292" s="16"/>
      <c r="H292" s="16"/>
      <c r="I292" s="16"/>
      <c r="J292" s="16"/>
      <c r="K292" s="16"/>
      <c r="L292" s="16"/>
      <c r="M292" s="16"/>
      <c r="N292" s="16"/>
      <c r="O292" s="16"/>
      <c r="P292" s="16"/>
      <c r="Q292" s="16"/>
      <c r="R292" s="16"/>
      <c r="S292" s="16"/>
      <c r="T292" s="16"/>
      <c r="U292" s="16"/>
      <c r="V292" s="16"/>
      <c r="W292" s="16"/>
      <c r="X292" s="16"/>
      <c r="Y292" s="16"/>
      <c r="Z292" s="16"/>
      <c r="AA292" s="16"/>
    </row>
    <row r="293">
      <c r="A293" s="16" t="s">
        <v>356</v>
      </c>
      <c r="B293" s="16" t="s">
        <v>356</v>
      </c>
      <c r="C293" s="17">
        <v>4.7915113709706E13</v>
      </c>
      <c r="D293" s="16" t="s">
        <v>373</v>
      </c>
      <c r="E293" s="16" t="str">
        <f t="shared" si="1"/>
        <v>Z-505Full</v>
      </c>
      <c r="F293" s="18" t="s">
        <v>1197</v>
      </c>
      <c r="G293" s="16"/>
      <c r="H293" s="16"/>
      <c r="I293" s="16"/>
      <c r="J293" s="16"/>
      <c r="K293" s="16"/>
      <c r="L293" s="16"/>
      <c r="M293" s="16"/>
      <c r="N293" s="16"/>
      <c r="O293" s="16"/>
      <c r="P293" s="16"/>
      <c r="Q293" s="16"/>
      <c r="R293" s="16"/>
      <c r="S293" s="16"/>
      <c r="T293" s="16"/>
      <c r="U293" s="16"/>
      <c r="V293" s="16"/>
      <c r="W293" s="16"/>
      <c r="X293" s="16"/>
      <c r="Y293" s="16"/>
      <c r="Z293" s="16"/>
      <c r="AA293" s="16"/>
    </row>
    <row r="294">
      <c r="A294" s="16" t="s">
        <v>1012</v>
      </c>
      <c r="B294" s="16" t="s">
        <v>360</v>
      </c>
      <c r="C294" s="17">
        <v>4.791511397185E13</v>
      </c>
      <c r="D294" s="16" t="s">
        <v>242</v>
      </c>
      <c r="E294" s="16" t="str">
        <f t="shared" si="1"/>
        <v>HELIX-KIDSTwin</v>
      </c>
      <c r="F294" s="18" t="s">
        <v>1143</v>
      </c>
      <c r="G294" s="16"/>
      <c r="H294" s="16"/>
      <c r="I294" s="16"/>
      <c r="J294" s="16"/>
      <c r="K294" s="16"/>
      <c r="L294" s="16"/>
      <c r="M294" s="16"/>
      <c r="N294" s="16"/>
      <c r="O294" s="16"/>
      <c r="P294" s="16"/>
      <c r="Q294" s="16"/>
      <c r="R294" s="16"/>
      <c r="S294" s="16"/>
      <c r="T294" s="16"/>
      <c r="U294" s="16"/>
      <c r="V294" s="16"/>
      <c r="W294" s="16"/>
      <c r="X294" s="16"/>
      <c r="Y294" s="16"/>
      <c r="Z294" s="16"/>
      <c r="AA294" s="16"/>
    </row>
    <row r="295">
      <c r="A295" s="16" t="s">
        <v>1012</v>
      </c>
      <c r="B295" s="16" t="s">
        <v>360</v>
      </c>
      <c r="C295" s="17">
        <v>4.7915114004618E13</v>
      </c>
      <c r="D295" s="16" t="s">
        <v>373</v>
      </c>
      <c r="E295" s="16" t="str">
        <f t="shared" si="1"/>
        <v>HELIX-KIDSFull</v>
      </c>
      <c r="F295" s="18" t="s">
        <v>1198</v>
      </c>
      <c r="G295" s="16"/>
      <c r="H295" s="16"/>
      <c r="I295" s="16"/>
      <c r="J295" s="16"/>
      <c r="K295" s="16"/>
      <c r="L295" s="16"/>
      <c r="M295" s="16"/>
      <c r="N295" s="16"/>
      <c r="O295" s="16"/>
      <c r="P295" s="16"/>
      <c r="Q295" s="16"/>
      <c r="R295" s="16"/>
      <c r="S295" s="16"/>
      <c r="T295" s="16"/>
      <c r="U295" s="16"/>
      <c r="V295" s="16"/>
      <c r="W295" s="16"/>
      <c r="X295" s="16"/>
      <c r="Y295" s="16"/>
      <c r="Z295" s="16"/>
      <c r="AA295" s="16"/>
    </row>
    <row r="296">
      <c r="A296" s="16" t="s">
        <v>1013</v>
      </c>
      <c r="B296" s="16" t="s">
        <v>368</v>
      </c>
      <c r="C296" s="17">
        <v>4.7915114070154E13</v>
      </c>
      <c r="D296" s="16" t="s">
        <v>242</v>
      </c>
      <c r="E296" s="16" t="str">
        <f t="shared" si="1"/>
        <v>EASE-4-0Twin</v>
      </c>
      <c r="F296" s="18" t="s">
        <v>1146</v>
      </c>
      <c r="G296" s="16"/>
      <c r="H296" s="16"/>
      <c r="I296" s="16"/>
      <c r="J296" s="16"/>
      <c r="K296" s="16"/>
      <c r="L296" s="16"/>
      <c r="M296" s="16"/>
      <c r="N296" s="16"/>
      <c r="O296" s="16"/>
      <c r="P296" s="16"/>
      <c r="Q296" s="16"/>
      <c r="R296" s="16"/>
      <c r="S296" s="16"/>
      <c r="T296" s="16"/>
      <c r="U296" s="16"/>
      <c r="V296" s="16"/>
      <c r="W296" s="16"/>
      <c r="X296" s="16"/>
      <c r="Y296" s="16"/>
      <c r="Z296" s="16"/>
      <c r="AA296" s="16"/>
    </row>
    <row r="297">
      <c r="A297" s="16" t="s">
        <v>1013</v>
      </c>
      <c r="B297" s="16" t="s">
        <v>368</v>
      </c>
      <c r="C297" s="17">
        <v>4.7915114102922E13</v>
      </c>
      <c r="D297" s="16" t="s">
        <v>373</v>
      </c>
      <c r="E297" s="16" t="str">
        <f t="shared" si="1"/>
        <v>EASE-4-0Full</v>
      </c>
      <c r="F297" s="18" t="s">
        <v>1205</v>
      </c>
      <c r="G297" s="16"/>
      <c r="H297" s="16"/>
      <c r="I297" s="16"/>
      <c r="J297" s="16"/>
      <c r="K297" s="16"/>
      <c r="L297" s="16"/>
      <c r="M297" s="16"/>
      <c r="N297" s="16"/>
      <c r="O297" s="16"/>
      <c r="P297" s="16"/>
      <c r="Q297" s="16"/>
      <c r="R297" s="16"/>
      <c r="S297" s="16"/>
      <c r="T297" s="16"/>
      <c r="U297" s="16"/>
      <c r="V297" s="16"/>
      <c r="W297" s="16"/>
      <c r="X297" s="16"/>
      <c r="Y297" s="16"/>
      <c r="Z297" s="16"/>
      <c r="AA297" s="16"/>
    </row>
    <row r="298">
      <c r="A298" s="16" t="s">
        <v>1013</v>
      </c>
      <c r="B298" s="16" t="s">
        <v>368</v>
      </c>
      <c r="C298" s="17">
        <v>4.791511413569E13</v>
      </c>
      <c r="D298" s="16" t="s">
        <v>470</v>
      </c>
      <c r="E298" s="16" t="str">
        <f t="shared" si="1"/>
        <v>EASE-4-0Queen</v>
      </c>
      <c r="F298" s="18" t="s">
        <v>1263</v>
      </c>
      <c r="G298" s="16"/>
      <c r="H298" s="16"/>
      <c r="I298" s="16"/>
      <c r="J298" s="16"/>
      <c r="K298" s="16"/>
      <c r="L298" s="16"/>
      <c r="M298" s="16"/>
      <c r="N298" s="16"/>
      <c r="O298" s="16"/>
      <c r="P298" s="16"/>
      <c r="Q298" s="16"/>
      <c r="R298" s="16"/>
      <c r="S298" s="16"/>
      <c r="T298" s="16"/>
      <c r="U298" s="16"/>
      <c r="V298" s="16"/>
      <c r="W298" s="16"/>
      <c r="X298" s="16"/>
      <c r="Y298" s="16"/>
      <c r="Z298" s="16"/>
      <c r="AA298" s="16"/>
    </row>
    <row r="299">
      <c r="A299" s="16" t="s">
        <v>1013</v>
      </c>
      <c r="B299" s="16" t="s">
        <v>368</v>
      </c>
      <c r="C299" s="17">
        <v>4.7915114168458E13</v>
      </c>
      <c r="D299" s="16" t="s">
        <v>32</v>
      </c>
      <c r="E299" s="16" t="str">
        <f t="shared" si="1"/>
        <v>EASE-4-0Twin XL</v>
      </c>
      <c r="F299" s="18" t="s">
        <v>1318</v>
      </c>
      <c r="G299" s="16"/>
      <c r="H299" s="16"/>
      <c r="I299" s="16"/>
      <c r="J299" s="16"/>
      <c r="K299" s="16"/>
      <c r="L299" s="16"/>
      <c r="M299" s="16"/>
      <c r="N299" s="16"/>
      <c r="O299" s="16"/>
      <c r="P299" s="16"/>
      <c r="Q299" s="16"/>
      <c r="R299" s="16"/>
      <c r="S299" s="16"/>
      <c r="T299" s="16"/>
      <c r="U299" s="16"/>
      <c r="V299" s="16"/>
      <c r="W299" s="16"/>
      <c r="X299" s="16"/>
      <c r="Y299" s="16"/>
      <c r="Z299" s="16"/>
      <c r="AA299" s="16"/>
    </row>
    <row r="300">
      <c r="A300" s="16" t="s">
        <v>1013</v>
      </c>
      <c r="B300" s="16" t="s">
        <v>368</v>
      </c>
      <c r="C300" s="17">
        <v>4.7915114201226E13</v>
      </c>
      <c r="D300" s="16" t="s">
        <v>568</v>
      </c>
      <c r="E300" s="16" t="str">
        <f t="shared" si="1"/>
        <v>EASE-4-0King</v>
      </c>
      <c r="F300" s="18" t="s">
        <v>1343</v>
      </c>
      <c r="G300" s="16"/>
      <c r="H300" s="16"/>
      <c r="I300" s="16"/>
      <c r="J300" s="16"/>
      <c r="K300" s="16"/>
      <c r="L300" s="16"/>
      <c r="M300" s="16"/>
      <c r="N300" s="16"/>
      <c r="O300" s="16"/>
      <c r="P300" s="16"/>
      <c r="Q300" s="16"/>
      <c r="R300" s="16"/>
      <c r="S300" s="16"/>
      <c r="T300" s="16"/>
      <c r="U300" s="16"/>
      <c r="V300" s="16"/>
      <c r="W300" s="16"/>
      <c r="X300" s="16"/>
      <c r="Y300" s="16"/>
      <c r="Z300" s="16"/>
      <c r="AA300" s="16"/>
    </row>
    <row r="301">
      <c r="A301" s="16" t="s">
        <v>1013</v>
      </c>
      <c r="B301" s="16" t="s">
        <v>368</v>
      </c>
      <c r="C301" s="17">
        <v>4.7915114233994E13</v>
      </c>
      <c r="D301" s="16" t="s">
        <v>710</v>
      </c>
      <c r="E301" s="16" t="str">
        <f t="shared" si="1"/>
        <v>EASE-4-0Split California King</v>
      </c>
      <c r="F301" s="18" t="s">
        <v>1397</v>
      </c>
      <c r="G301" s="16"/>
      <c r="H301" s="16"/>
      <c r="I301" s="16"/>
      <c r="J301" s="16"/>
      <c r="K301" s="16"/>
      <c r="L301" s="16"/>
      <c r="M301" s="16"/>
      <c r="N301" s="16"/>
      <c r="O301" s="16"/>
      <c r="P301" s="16"/>
      <c r="Q301" s="16"/>
      <c r="R301" s="16"/>
      <c r="S301" s="16"/>
      <c r="T301" s="16"/>
      <c r="U301" s="16"/>
      <c r="V301" s="16"/>
      <c r="W301" s="16"/>
      <c r="X301" s="16"/>
      <c r="Y301" s="16"/>
      <c r="Z301" s="16"/>
      <c r="AA301" s="16"/>
    </row>
    <row r="302">
      <c r="A302" s="16" t="s">
        <v>1013</v>
      </c>
      <c r="B302" s="16" t="s">
        <v>368</v>
      </c>
      <c r="C302" s="17">
        <v>4.7915114266762E13</v>
      </c>
      <c r="D302" s="16" t="s">
        <v>670</v>
      </c>
      <c r="E302" s="16" t="str">
        <f t="shared" si="1"/>
        <v>EASE-4-0California King</v>
      </c>
      <c r="F302" s="18" t="s">
        <v>1404</v>
      </c>
      <c r="G302" s="16"/>
      <c r="H302" s="16"/>
      <c r="I302" s="16"/>
      <c r="J302" s="16"/>
      <c r="K302" s="16"/>
      <c r="L302" s="16"/>
      <c r="M302" s="16"/>
      <c r="N302" s="16"/>
      <c r="O302" s="16"/>
      <c r="P302" s="16"/>
      <c r="Q302" s="16"/>
      <c r="R302" s="16"/>
      <c r="S302" s="16"/>
      <c r="T302" s="16"/>
      <c r="U302" s="16"/>
      <c r="V302" s="16"/>
      <c r="W302" s="16"/>
      <c r="X302" s="16"/>
      <c r="Y302" s="16"/>
      <c r="Z302" s="16"/>
      <c r="AA302" s="16"/>
    </row>
    <row r="303">
      <c r="A303" s="16" t="s">
        <v>1014</v>
      </c>
      <c r="B303" s="16" t="s">
        <v>446</v>
      </c>
      <c r="C303" s="17">
        <v>4.7915114332298E13</v>
      </c>
      <c r="D303" s="16" t="s">
        <v>373</v>
      </c>
      <c r="E303" s="16" t="str">
        <f t="shared" si="1"/>
        <v>BASELOGIC-SILVERFull</v>
      </c>
      <c r="F303" s="18" t="s">
        <v>1201</v>
      </c>
      <c r="G303" s="16"/>
      <c r="H303" s="16"/>
      <c r="I303" s="16"/>
      <c r="J303" s="16"/>
      <c r="K303" s="16"/>
      <c r="L303" s="16"/>
      <c r="M303" s="16"/>
      <c r="N303" s="16"/>
      <c r="O303" s="16"/>
      <c r="P303" s="16"/>
      <c r="Q303" s="16"/>
      <c r="R303" s="16"/>
      <c r="S303" s="16"/>
      <c r="T303" s="16"/>
      <c r="U303" s="16"/>
      <c r="V303" s="16"/>
      <c r="W303" s="16"/>
      <c r="X303" s="16"/>
      <c r="Y303" s="16"/>
      <c r="Z303" s="16"/>
      <c r="AA303" s="16"/>
    </row>
    <row r="304">
      <c r="A304" s="16" t="s">
        <v>1014</v>
      </c>
      <c r="B304" s="16" t="s">
        <v>446</v>
      </c>
      <c r="C304" s="17">
        <v>4.7915114365066E13</v>
      </c>
      <c r="D304" s="16" t="s">
        <v>470</v>
      </c>
      <c r="E304" s="16" t="str">
        <f t="shared" si="1"/>
        <v>BASELOGIC-SILVERQueen</v>
      </c>
      <c r="F304" s="18" t="s">
        <v>1255</v>
      </c>
      <c r="G304" s="16"/>
      <c r="H304" s="16"/>
      <c r="I304" s="16"/>
      <c r="J304" s="16"/>
      <c r="K304" s="16"/>
      <c r="L304" s="16"/>
      <c r="M304" s="16"/>
      <c r="N304" s="16"/>
      <c r="O304" s="16"/>
      <c r="P304" s="16"/>
      <c r="Q304" s="16"/>
      <c r="R304" s="16"/>
      <c r="S304" s="16"/>
      <c r="T304" s="16"/>
      <c r="U304" s="16"/>
      <c r="V304" s="16"/>
      <c r="W304" s="16"/>
      <c r="X304" s="16"/>
      <c r="Y304" s="16"/>
      <c r="Z304" s="16"/>
      <c r="AA304" s="16"/>
    </row>
    <row r="305">
      <c r="A305" s="16" t="s">
        <v>1014</v>
      </c>
      <c r="B305" s="16" t="s">
        <v>446</v>
      </c>
      <c r="C305" s="17">
        <v>4.7915114397834E13</v>
      </c>
      <c r="D305" s="16" t="s">
        <v>32</v>
      </c>
      <c r="E305" s="16" t="str">
        <f t="shared" si="1"/>
        <v>BASELOGIC-SILVERTwin XL</v>
      </c>
      <c r="F305" s="18" t="s">
        <v>1310</v>
      </c>
      <c r="G305" s="16"/>
      <c r="H305" s="16"/>
      <c r="I305" s="16"/>
      <c r="J305" s="16"/>
      <c r="K305" s="16"/>
      <c r="L305" s="16"/>
      <c r="M305" s="16"/>
      <c r="N305" s="16"/>
      <c r="O305" s="16"/>
      <c r="P305" s="16"/>
      <c r="Q305" s="16"/>
      <c r="R305" s="16"/>
      <c r="S305" s="16"/>
      <c r="T305" s="16"/>
      <c r="U305" s="16"/>
      <c r="V305" s="16"/>
      <c r="W305" s="16"/>
      <c r="X305" s="16"/>
      <c r="Y305" s="16"/>
      <c r="Z305" s="16"/>
      <c r="AA305" s="16"/>
    </row>
    <row r="306">
      <c r="A306" s="16" t="s">
        <v>1014</v>
      </c>
      <c r="B306" s="16" t="s">
        <v>446</v>
      </c>
      <c r="C306" s="17">
        <v>4.7915114430602E13</v>
      </c>
      <c r="D306" s="16" t="s">
        <v>568</v>
      </c>
      <c r="E306" s="16" t="str">
        <f t="shared" si="1"/>
        <v>BASELOGIC-SILVERKing</v>
      </c>
      <c r="F306" s="18" t="s">
        <v>1319</v>
      </c>
      <c r="G306" s="16"/>
      <c r="H306" s="16"/>
      <c r="I306" s="16"/>
      <c r="J306" s="16"/>
      <c r="K306" s="16"/>
      <c r="L306" s="16"/>
      <c r="M306" s="16"/>
      <c r="N306" s="16"/>
      <c r="O306" s="16"/>
      <c r="P306" s="16"/>
      <c r="Q306" s="16"/>
      <c r="R306" s="16"/>
      <c r="S306" s="16"/>
      <c r="T306" s="16"/>
      <c r="U306" s="16"/>
      <c r="V306" s="16"/>
      <c r="W306" s="16"/>
      <c r="X306" s="16"/>
      <c r="Y306" s="16"/>
      <c r="Z306" s="16"/>
      <c r="AA306" s="16"/>
    </row>
    <row r="307">
      <c r="A307" s="16" t="s">
        <v>1014</v>
      </c>
      <c r="B307" s="16" t="s">
        <v>446</v>
      </c>
      <c r="C307" s="17">
        <v>4.791511446337E13</v>
      </c>
      <c r="D307" s="16" t="s">
        <v>710</v>
      </c>
      <c r="E307" s="16" t="str">
        <f t="shared" si="1"/>
        <v>BASELOGIC-SILVERSplit California King</v>
      </c>
      <c r="F307" s="18" t="s">
        <v>1383</v>
      </c>
      <c r="G307" s="16"/>
      <c r="H307" s="16"/>
      <c r="I307" s="16"/>
      <c r="J307" s="16"/>
      <c r="K307" s="16"/>
      <c r="L307" s="16"/>
      <c r="M307" s="16"/>
      <c r="N307" s="16"/>
      <c r="O307" s="16"/>
      <c r="P307" s="16"/>
      <c r="Q307" s="16"/>
      <c r="R307" s="16"/>
      <c r="S307" s="16"/>
      <c r="T307" s="16"/>
      <c r="U307" s="16"/>
      <c r="V307" s="16"/>
      <c r="W307" s="16"/>
      <c r="X307" s="16"/>
      <c r="Y307" s="16"/>
      <c r="Z307" s="16"/>
      <c r="AA307" s="16"/>
    </row>
    <row r="308">
      <c r="A308" s="16" t="s">
        <v>1015</v>
      </c>
      <c r="B308" s="16" t="s">
        <v>452</v>
      </c>
      <c r="C308" s="17">
        <v>4.7915114528906E13</v>
      </c>
      <c r="D308" s="16" t="s">
        <v>373</v>
      </c>
      <c r="E308" s="16" t="str">
        <f t="shared" si="1"/>
        <v>BASELOGIC-PLATINUMFull</v>
      </c>
      <c r="F308" s="18" t="s">
        <v>1202</v>
      </c>
      <c r="G308" s="16"/>
      <c r="H308" s="16"/>
      <c r="I308" s="16"/>
      <c r="J308" s="16"/>
      <c r="K308" s="16"/>
      <c r="L308" s="16"/>
      <c r="M308" s="16"/>
      <c r="N308" s="16"/>
      <c r="O308" s="16"/>
      <c r="P308" s="16"/>
      <c r="Q308" s="16"/>
      <c r="R308" s="16"/>
      <c r="S308" s="16"/>
      <c r="T308" s="16"/>
      <c r="U308" s="16"/>
      <c r="V308" s="16"/>
      <c r="W308" s="16"/>
      <c r="X308" s="16"/>
      <c r="Y308" s="16"/>
      <c r="Z308" s="16"/>
      <c r="AA308" s="16"/>
    </row>
    <row r="309">
      <c r="A309" s="16" t="s">
        <v>1015</v>
      </c>
      <c r="B309" s="16" t="s">
        <v>452</v>
      </c>
      <c r="C309" s="17">
        <v>4.7915114561674E13</v>
      </c>
      <c r="D309" s="16" t="s">
        <v>470</v>
      </c>
      <c r="E309" s="16" t="str">
        <f t="shared" si="1"/>
        <v>BASELOGIC-PLATINUMQueen</v>
      </c>
      <c r="F309" s="18" t="s">
        <v>1256</v>
      </c>
      <c r="G309" s="16"/>
      <c r="H309" s="16"/>
      <c r="I309" s="16"/>
      <c r="J309" s="16"/>
      <c r="K309" s="16"/>
      <c r="L309" s="16"/>
      <c r="M309" s="16"/>
      <c r="N309" s="16"/>
      <c r="O309" s="16"/>
      <c r="P309" s="16"/>
      <c r="Q309" s="16"/>
      <c r="R309" s="16"/>
      <c r="S309" s="16"/>
      <c r="T309" s="16"/>
      <c r="U309" s="16"/>
      <c r="V309" s="16"/>
      <c r="W309" s="16"/>
      <c r="X309" s="16"/>
      <c r="Y309" s="16"/>
      <c r="Z309" s="16"/>
      <c r="AA309" s="16"/>
    </row>
    <row r="310">
      <c r="A310" s="16" t="s">
        <v>1015</v>
      </c>
      <c r="B310" s="16" t="s">
        <v>452</v>
      </c>
      <c r="C310" s="17">
        <v>4.7915114594442E13</v>
      </c>
      <c r="D310" s="16" t="s">
        <v>32</v>
      </c>
      <c r="E310" s="16" t="str">
        <f t="shared" si="1"/>
        <v>BASELOGIC-PLATINUMTwin XL</v>
      </c>
      <c r="F310" s="18" t="s">
        <v>1311</v>
      </c>
      <c r="G310" s="16"/>
      <c r="H310" s="16"/>
      <c r="I310" s="16"/>
      <c r="J310" s="16"/>
      <c r="K310" s="16"/>
      <c r="L310" s="16"/>
      <c r="M310" s="16"/>
      <c r="N310" s="16"/>
      <c r="O310" s="16"/>
      <c r="P310" s="16"/>
      <c r="Q310" s="16"/>
      <c r="R310" s="16"/>
      <c r="S310" s="16"/>
      <c r="T310" s="16"/>
      <c r="U310" s="16"/>
      <c r="V310" s="16"/>
      <c r="W310" s="16"/>
      <c r="X310" s="16"/>
      <c r="Y310" s="16"/>
      <c r="Z310" s="16"/>
      <c r="AA310" s="16"/>
    </row>
    <row r="311">
      <c r="A311" s="16" t="s">
        <v>1015</v>
      </c>
      <c r="B311" s="16" t="s">
        <v>452</v>
      </c>
      <c r="C311" s="17">
        <v>4.791511462721E13</v>
      </c>
      <c r="D311" s="16" t="s">
        <v>568</v>
      </c>
      <c r="E311" s="16" t="str">
        <f t="shared" si="1"/>
        <v>BASELOGIC-PLATINUMKing</v>
      </c>
      <c r="F311" s="18" t="s">
        <v>1320</v>
      </c>
      <c r="G311" s="16"/>
      <c r="H311" s="16"/>
      <c r="I311" s="16"/>
      <c r="J311" s="16"/>
      <c r="K311" s="16"/>
      <c r="L311" s="16"/>
      <c r="M311" s="16"/>
      <c r="N311" s="16"/>
      <c r="O311" s="16"/>
      <c r="P311" s="16"/>
      <c r="Q311" s="16"/>
      <c r="R311" s="16"/>
      <c r="S311" s="16"/>
      <c r="T311" s="16"/>
      <c r="U311" s="16"/>
      <c r="V311" s="16"/>
      <c r="W311" s="16"/>
      <c r="X311" s="16"/>
      <c r="Y311" s="16"/>
      <c r="Z311" s="16"/>
      <c r="AA311" s="16"/>
    </row>
    <row r="312">
      <c r="A312" s="16" t="s">
        <v>1015</v>
      </c>
      <c r="B312" s="16" t="s">
        <v>452</v>
      </c>
      <c r="C312" s="17">
        <v>4.7915114659978E13</v>
      </c>
      <c r="D312" s="16" t="s">
        <v>710</v>
      </c>
      <c r="E312" s="16" t="str">
        <f t="shared" si="1"/>
        <v>BASELOGIC-PLATINUMSplit California King</v>
      </c>
      <c r="F312" s="18" t="s">
        <v>1384</v>
      </c>
      <c r="G312" s="16"/>
      <c r="H312" s="16"/>
      <c r="I312" s="16"/>
      <c r="J312" s="16"/>
      <c r="K312" s="16"/>
      <c r="L312" s="16"/>
      <c r="M312" s="16"/>
      <c r="N312" s="16"/>
      <c r="O312" s="16"/>
      <c r="P312" s="16"/>
      <c r="Q312" s="16"/>
      <c r="R312" s="16"/>
      <c r="S312" s="16"/>
      <c r="T312" s="16"/>
      <c r="U312" s="16"/>
      <c r="V312" s="16"/>
      <c r="W312" s="16"/>
      <c r="X312" s="16"/>
      <c r="Y312" s="16"/>
      <c r="Z312" s="16"/>
      <c r="AA312" s="16"/>
    </row>
    <row r="313">
      <c r="A313" s="16" t="s">
        <v>1016</v>
      </c>
      <c r="B313" s="16" t="s">
        <v>1432</v>
      </c>
      <c r="C313" s="17">
        <v>4.7915114758282E13</v>
      </c>
      <c r="D313" s="16" t="s">
        <v>373</v>
      </c>
      <c r="E313" s="16" t="str">
        <f t="shared" si="1"/>
        <v>TEMPUR-ERGO-3-0Full</v>
      </c>
      <c r="F313" s="18" t="s">
        <v>1203</v>
      </c>
      <c r="G313" s="16"/>
      <c r="H313" s="16"/>
      <c r="I313" s="16"/>
      <c r="J313" s="16"/>
      <c r="K313" s="16"/>
      <c r="L313" s="16"/>
      <c r="M313" s="16"/>
      <c r="N313" s="16"/>
      <c r="O313" s="16"/>
      <c r="P313" s="16"/>
      <c r="Q313" s="16"/>
      <c r="R313" s="16"/>
      <c r="S313" s="16"/>
      <c r="T313" s="16"/>
      <c r="U313" s="16"/>
      <c r="V313" s="16"/>
      <c r="W313" s="16"/>
      <c r="X313" s="16"/>
      <c r="Y313" s="16"/>
      <c r="Z313" s="16"/>
      <c r="AA313" s="16"/>
    </row>
    <row r="314">
      <c r="A314" s="16" t="s">
        <v>1016</v>
      </c>
      <c r="B314" s="16" t="s">
        <v>1432</v>
      </c>
      <c r="C314" s="17">
        <v>4.791511479105E13</v>
      </c>
      <c r="D314" s="16" t="s">
        <v>470</v>
      </c>
      <c r="E314" s="16" t="str">
        <f t="shared" si="1"/>
        <v>TEMPUR-ERGO-3-0Queen</v>
      </c>
      <c r="F314" s="18" t="s">
        <v>1257</v>
      </c>
      <c r="G314" s="16"/>
      <c r="H314" s="16"/>
      <c r="I314" s="16"/>
      <c r="J314" s="16"/>
      <c r="K314" s="16"/>
      <c r="L314" s="16"/>
      <c r="M314" s="16"/>
      <c r="N314" s="16"/>
      <c r="O314" s="16"/>
      <c r="P314" s="16"/>
      <c r="Q314" s="16"/>
      <c r="R314" s="16"/>
      <c r="S314" s="16"/>
      <c r="T314" s="16"/>
      <c r="U314" s="16"/>
      <c r="V314" s="16"/>
      <c r="W314" s="16"/>
      <c r="X314" s="16"/>
      <c r="Y314" s="16"/>
      <c r="Z314" s="16"/>
      <c r="AA314" s="16"/>
    </row>
    <row r="315">
      <c r="A315" s="16" t="s">
        <v>1016</v>
      </c>
      <c r="B315" s="16" t="s">
        <v>1432</v>
      </c>
      <c r="C315" s="17">
        <v>4.7915114823818E13</v>
      </c>
      <c r="D315" s="16" t="s">
        <v>32</v>
      </c>
      <c r="E315" s="16" t="str">
        <f t="shared" si="1"/>
        <v>TEMPUR-ERGO-3-0Twin XL</v>
      </c>
      <c r="F315" s="18" t="s">
        <v>1312</v>
      </c>
      <c r="G315" s="16"/>
      <c r="H315" s="16"/>
      <c r="I315" s="16"/>
      <c r="J315" s="16"/>
      <c r="K315" s="16"/>
      <c r="L315" s="16"/>
      <c r="M315" s="16"/>
      <c r="N315" s="16"/>
      <c r="O315" s="16"/>
      <c r="P315" s="16"/>
      <c r="Q315" s="16"/>
      <c r="R315" s="16"/>
      <c r="S315" s="16"/>
      <c r="T315" s="16"/>
      <c r="U315" s="16"/>
      <c r="V315" s="16"/>
      <c r="W315" s="16"/>
      <c r="X315" s="16"/>
      <c r="Y315" s="16"/>
      <c r="Z315" s="16"/>
      <c r="AA315" s="16"/>
    </row>
    <row r="316">
      <c r="A316" s="16" t="s">
        <v>1016</v>
      </c>
      <c r="B316" s="16" t="s">
        <v>1432</v>
      </c>
      <c r="C316" s="17">
        <v>4.7915114856586E13</v>
      </c>
      <c r="D316" s="16" t="s">
        <v>568</v>
      </c>
      <c r="E316" s="16" t="str">
        <f t="shared" si="1"/>
        <v>TEMPUR-ERGO-3-0King</v>
      </c>
      <c r="F316" s="18" t="s">
        <v>1321</v>
      </c>
      <c r="G316" s="16"/>
      <c r="H316" s="16"/>
      <c r="I316" s="16"/>
      <c r="J316" s="16"/>
      <c r="K316" s="16"/>
      <c r="L316" s="16"/>
      <c r="M316" s="16"/>
      <c r="N316" s="16"/>
      <c r="O316" s="16"/>
      <c r="P316" s="16"/>
      <c r="Q316" s="16"/>
      <c r="R316" s="16"/>
      <c r="S316" s="16"/>
      <c r="T316" s="16"/>
      <c r="U316" s="16"/>
      <c r="V316" s="16"/>
      <c r="W316" s="16"/>
      <c r="X316" s="16"/>
      <c r="Y316" s="16"/>
      <c r="Z316" s="16"/>
      <c r="AA316" s="16"/>
    </row>
    <row r="317">
      <c r="A317" s="16" t="s">
        <v>1016</v>
      </c>
      <c r="B317" s="16" t="s">
        <v>1432</v>
      </c>
      <c r="C317" s="17">
        <v>4.7915114889354E13</v>
      </c>
      <c r="D317" s="16" t="s">
        <v>710</v>
      </c>
      <c r="E317" s="16" t="str">
        <f t="shared" si="1"/>
        <v>TEMPUR-ERGO-3-0Split California King</v>
      </c>
      <c r="F317" s="18" t="s">
        <v>1394</v>
      </c>
      <c r="G317" s="16"/>
      <c r="H317" s="16"/>
      <c r="I317" s="16"/>
      <c r="J317" s="16"/>
      <c r="K317" s="16"/>
      <c r="L317" s="16"/>
      <c r="M317" s="16"/>
      <c r="N317" s="16"/>
      <c r="O317" s="16"/>
      <c r="P317" s="16"/>
      <c r="Q317" s="16"/>
      <c r="R317" s="16"/>
      <c r="S317" s="16"/>
      <c r="T317" s="16"/>
      <c r="U317" s="16"/>
      <c r="V317" s="16"/>
      <c r="W317" s="16"/>
      <c r="X317" s="16"/>
      <c r="Y317" s="16"/>
      <c r="Z317" s="16"/>
      <c r="AA317" s="16"/>
    </row>
    <row r="318">
      <c r="A318" s="16" t="s">
        <v>1016</v>
      </c>
      <c r="B318" s="16" t="s">
        <v>1432</v>
      </c>
      <c r="C318" s="17">
        <v>4.7915114922122E13</v>
      </c>
      <c r="D318" s="16" t="s">
        <v>670</v>
      </c>
      <c r="E318" s="16" t="str">
        <f t="shared" si="1"/>
        <v>TEMPUR-ERGO-3-0California King</v>
      </c>
      <c r="F318" s="18" t="s">
        <v>1401</v>
      </c>
      <c r="G318" s="16"/>
      <c r="H318" s="16"/>
      <c r="I318" s="16"/>
      <c r="J318" s="16"/>
      <c r="K318" s="16"/>
      <c r="L318" s="16"/>
      <c r="M318" s="16"/>
      <c r="N318" s="16"/>
      <c r="O318" s="16"/>
      <c r="P318" s="16"/>
      <c r="Q318" s="16"/>
      <c r="R318" s="16"/>
      <c r="S318" s="16"/>
      <c r="T318" s="16"/>
      <c r="U318" s="16"/>
      <c r="V318" s="16"/>
      <c r="W318" s="16"/>
      <c r="X318" s="16"/>
      <c r="Y318" s="16"/>
      <c r="Z318" s="16"/>
      <c r="AA318" s="16"/>
    </row>
    <row r="319">
      <c r="A319" s="16" t="s">
        <v>1017</v>
      </c>
      <c r="B319" s="16" t="s">
        <v>1433</v>
      </c>
      <c r="C319" s="17">
        <v>4.7915114987658E13</v>
      </c>
      <c r="D319" s="16" t="s">
        <v>373</v>
      </c>
      <c r="E319" s="16" t="str">
        <f t="shared" si="1"/>
        <v>TEMPUR-ERGO-3-0-SMARTFull</v>
      </c>
      <c r="F319" s="18" t="s">
        <v>1204</v>
      </c>
      <c r="G319" s="16"/>
      <c r="H319" s="16"/>
      <c r="I319" s="16"/>
      <c r="J319" s="16"/>
      <c r="K319" s="16"/>
      <c r="L319" s="16"/>
      <c r="M319" s="16"/>
      <c r="N319" s="16"/>
      <c r="O319" s="16"/>
      <c r="P319" s="16"/>
      <c r="Q319" s="16"/>
      <c r="R319" s="16"/>
      <c r="S319" s="16"/>
      <c r="T319" s="16"/>
      <c r="U319" s="16"/>
      <c r="V319" s="16"/>
      <c r="W319" s="16"/>
      <c r="X319" s="16"/>
      <c r="Y319" s="16"/>
      <c r="Z319" s="16"/>
      <c r="AA319" s="16"/>
    </row>
    <row r="320">
      <c r="A320" s="16" t="s">
        <v>1017</v>
      </c>
      <c r="B320" s="16" t="s">
        <v>1433</v>
      </c>
      <c r="C320" s="17">
        <v>4.7915115020426E13</v>
      </c>
      <c r="D320" s="16" t="s">
        <v>470</v>
      </c>
      <c r="E320" s="16" t="str">
        <f t="shared" si="1"/>
        <v>TEMPUR-ERGO-3-0-SMARTQueen</v>
      </c>
      <c r="F320" s="18" t="s">
        <v>1258</v>
      </c>
      <c r="G320" s="16"/>
      <c r="H320" s="16"/>
      <c r="I320" s="16"/>
      <c r="J320" s="16"/>
      <c r="K320" s="16"/>
      <c r="L320" s="16"/>
      <c r="M320" s="16"/>
      <c r="N320" s="16"/>
      <c r="O320" s="16"/>
      <c r="P320" s="16"/>
      <c r="Q320" s="16"/>
      <c r="R320" s="16"/>
      <c r="S320" s="16"/>
      <c r="T320" s="16"/>
      <c r="U320" s="16"/>
      <c r="V320" s="16"/>
      <c r="W320" s="16"/>
      <c r="X320" s="16"/>
      <c r="Y320" s="16"/>
      <c r="Z320" s="16"/>
      <c r="AA320" s="16"/>
    </row>
    <row r="321">
      <c r="A321" s="16" t="s">
        <v>1017</v>
      </c>
      <c r="B321" s="16" t="s">
        <v>1433</v>
      </c>
      <c r="C321" s="17">
        <v>4.7915115053194E13</v>
      </c>
      <c r="D321" s="16" t="s">
        <v>32</v>
      </c>
      <c r="E321" s="16" t="str">
        <f t="shared" si="1"/>
        <v>TEMPUR-ERGO-3-0-SMARTTwin XL</v>
      </c>
      <c r="F321" s="18" t="s">
        <v>1313</v>
      </c>
      <c r="G321" s="16"/>
      <c r="H321" s="16"/>
      <c r="I321" s="16"/>
      <c r="J321" s="16"/>
      <c r="K321" s="16"/>
      <c r="L321" s="16"/>
      <c r="M321" s="16"/>
      <c r="N321" s="16"/>
      <c r="O321" s="16"/>
      <c r="P321" s="16"/>
      <c r="Q321" s="16"/>
      <c r="R321" s="16"/>
      <c r="S321" s="16"/>
      <c r="T321" s="16"/>
      <c r="U321" s="16"/>
      <c r="V321" s="16"/>
      <c r="W321" s="16"/>
      <c r="X321" s="16"/>
      <c r="Y321" s="16"/>
      <c r="Z321" s="16"/>
      <c r="AA321" s="16"/>
    </row>
    <row r="322">
      <c r="A322" s="16" t="s">
        <v>1017</v>
      </c>
      <c r="B322" s="16" t="s">
        <v>1433</v>
      </c>
      <c r="C322" s="17">
        <v>4.7915115085962E13</v>
      </c>
      <c r="D322" s="16" t="s">
        <v>568</v>
      </c>
      <c r="E322" s="16" t="str">
        <f t="shared" si="1"/>
        <v>TEMPUR-ERGO-3-0-SMARTKing</v>
      </c>
      <c r="F322" s="18" t="s">
        <v>1322</v>
      </c>
      <c r="G322" s="16"/>
      <c r="H322" s="16"/>
      <c r="I322" s="16"/>
      <c r="J322" s="16"/>
      <c r="K322" s="16"/>
      <c r="L322" s="16"/>
      <c r="M322" s="16"/>
      <c r="N322" s="16"/>
      <c r="O322" s="16"/>
      <c r="P322" s="16"/>
      <c r="Q322" s="16"/>
      <c r="R322" s="16"/>
      <c r="S322" s="16"/>
      <c r="T322" s="16"/>
      <c r="U322" s="16"/>
      <c r="V322" s="16"/>
      <c r="W322" s="16"/>
      <c r="X322" s="16"/>
      <c r="Y322" s="16"/>
      <c r="Z322" s="16"/>
      <c r="AA322" s="16"/>
    </row>
    <row r="323">
      <c r="A323" s="16" t="s">
        <v>1017</v>
      </c>
      <c r="B323" s="16" t="s">
        <v>1433</v>
      </c>
      <c r="C323" s="17">
        <v>4.791511511873E13</v>
      </c>
      <c r="D323" s="16" t="s">
        <v>710</v>
      </c>
      <c r="E323" s="16" t="str">
        <f t="shared" si="1"/>
        <v>TEMPUR-ERGO-3-0-SMARTSplit California King</v>
      </c>
      <c r="F323" s="18" t="s">
        <v>1395</v>
      </c>
      <c r="G323" s="16"/>
      <c r="H323" s="16"/>
      <c r="I323" s="16"/>
      <c r="J323" s="16"/>
      <c r="K323" s="16"/>
      <c r="L323" s="16"/>
      <c r="M323" s="16"/>
      <c r="N323" s="16"/>
      <c r="O323" s="16"/>
      <c r="P323" s="16"/>
      <c r="Q323" s="16"/>
      <c r="R323" s="16"/>
      <c r="S323" s="16"/>
      <c r="T323" s="16"/>
      <c r="U323" s="16"/>
      <c r="V323" s="16"/>
      <c r="W323" s="16"/>
      <c r="X323" s="16"/>
      <c r="Y323" s="16"/>
      <c r="Z323" s="16"/>
      <c r="AA323" s="16"/>
    </row>
    <row r="324">
      <c r="A324" s="16" t="s">
        <v>1017</v>
      </c>
      <c r="B324" s="16" t="s">
        <v>1433</v>
      </c>
      <c r="C324" s="17">
        <v>4.7915115151498E13</v>
      </c>
      <c r="D324" s="16" t="s">
        <v>670</v>
      </c>
      <c r="E324" s="16" t="str">
        <f t="shared" si="1"/>
        <v>TEMPUR-ERGO-3-0-SMARTCalifornia King</v>
      </c>
      <c r="F324" s="18" t="s">
        <v>1402</v>
      </c>
      <c r="G324" s="16"/>
      <c r="H324" s="16"/>
      <c r="I324" s="16"/>
      <c r="J324" s="16"/>
      <c r="K324" s="16"/>
      <c r="L324" s="16"/>
      <c r="M324" s="16"/>
      <c r="N324" s="16"/>
      <c r="O324" s="16"/>
      <c r="P324" s="16"/>
      <c r="Q324" s="16"/>
      <c r="R324" s="16"/>
      <c r="S324" s="16"/>
      <c r="T324" s="16"/>
      <c r="U324" s="16"/>
      <c r="V324" s="16"/>
      <c r="W324" s="16"/>
      <c r="X324" s="16"/>
      <c r="Y324" s="16"/>
      <c r="Z324" s="16"/>
      <c r="AA324" s="16"/>
    </row>
    <row r="325">
      <c r="A325" s="16" t="s">
        <v>1018</v>
      </c>
      <c r="B325" s="16" t="s">
        <v>1434</v>
      </c>
      <c r="C325" s="17">
        <v>4.7915115217034E13</v>
      </c>
      <c r="D325" s="16" t="s">
        <v>470</v>
      </c>
      <c r="E325" s="16" t="str">
        <f t="shared" si="1"/>
        <v>TEMPUR-ERGO-PROSMARTQueen</v>
      </c>
      <c r="F325" s="18" t="s">
        <v>1259</v>
      </c>
      <c r="G325" s="16"/>
      <c r="H325" s="16"/>
      <c r="I325" s="16"/>
      <c r="J325" s="16"/>
      <c r="K325" s="16"/>
      <c r="L325" s="16"/>
      <c r="M325" s="16"/>
      <c r="N325" s="16"/>
      <c r="O325" s="16"/>
      <c r="P325" s="16"/>
      <c r="Q325" s="16"/>
      <c r="R325" s="16"/>
      <c r="S325" s="16"/>
      <c r="T325" s="16"/>
      <c r="U325" s="16"/>
      <c r="V325" s="16"/>
      <c r="W325" s="16"/>
      <c r="X325" s="16"/>
      <c r="Y325" s="16"/>
      <c r="Z325" s="16"/>
      <c r="AA325" s="16"/>
    </row>
    <row r="326">
      <c r="A326" s="16" t="s">
        <v>1018</v>
      </c>
      <c r="B326" s="16" t="s">
        <v>1434</v>
      </c>
      <c r="C326" s="17">
        <v>4.7915115249802E13</v>
      </c>
      <c r="D326" s="16" t="s">
        <v>32</v>
      </c>
      <c r="E326" s="16" t="str">
        <f t="shared" si="1"/>
        <v>TEMPUR-ERGO-PROSMARTTwin XL</v>
      </c>
      <c r="F326" s="18" t="s">
        <v>1314</v>
      </c>
      <c r="G326" s="16"/>
      <c r="H326" s="16"/>
      <c r="I326" s="16"/>
      <c r="J326" s="16"/>
      <c r="K326" s="16"/>
      <c r="L326" s="16"/>
      <c r="M326" s="16"/>
      <c r="N326" s="16"/>
      <c r="O326" s="16"/>
      <c r="P326" s="16"/>
      <c r="Q326" s="16"/>
      <c r="R326" s="16"/>
      <c r="S326" s="16"/>
      <c r="T326" s="16"/>
      <c r="U326" s="16"/>
      <c r="V326" s="16"/>
      <c r="W326" s="16"/>
      <c r="X326" s="16"/>
      <c r="Y326" s="16"/>
      <c r="Z326" s="16"/>
      <c r="AA326" s="16"/>
    </row>
    <row r="327">
      <c r="A327" s="16" t="s">
        <v>1018</v>
      </c>
      <c r="B327" s="16" t="s">
        <v>1434</v>
      </c>
      <c r="C327" s="17">
        <v>4.791511528257E13</v>
      </c>
      <c r="D327" s="16" t="s">
        <v>568</v>
      </c>
      <c r="E327" s="16" t="str">
        <f t="shared" si="1"/>
        <v>TEMPUR-ERGO-PROSMARTKing</v>
      </c>
      <c r="F327" s="18" t="s">
        <v>1323</v>
      </c>
      <c r="G327" s="16"/>
      <c r="H327" s="16"/>
      <c r="I327" s="16"/>
      <c r="J327" s="16"/>
      <c r="K327" s="16"/>
      <c r="L327" s="16"/>
      <c r="M327" s="16"/>
      <c r="N327" s="16"/>
      <c r="O327" s="16"/>
      <c r="P327" s="16"/>
      <c r="Q327" s="16"/>
      <c r="R327" s="16"/>
      <c r="S327" s="16"/>
      <c r="T327" s="16"/>
      <c r="U327" s="16"/>
      <c r="V327" s="16"/>
      <c r="W327" s="16"/>
      <c r="X327" s="16"/>
      <c r="Y327" s="16"/>
      <c r="Z327" s="16"/>
      <c r="AA327" s="16"/>
    </row>
    <row r="328">
      <c r="A328" s="16" t="s">
        <v>1018</v>
      </c>
      <c r="B328" s="16" t="s">
        <v>1434</v>
      </c>
      <c r="C328" s="17">
        <v>4.7915115315338E13</v>
      </c>
      <c r="D328" s="16" t="s">
        <v>710</v>
      </c>
      <c r="E328" s="16" t="str">
        <f t="shared" si="1"/>
        <v>TEMPUR-ERGO-PROSMARTSplit California King</v>
      </c>
      <c r="F328" s="18" t="s">
        <v>1396</v>
      </c>
      <c r="G328" s="16"/>
      <c r="H328" s="16"/>
      <c r="I328" s="16"/>
      <c r="J328" s="16"/>
      <c r="K328" s="16"/>
      <c r="L328" s="16"/>
      <c r="M328" s="16"/>
      <c r="N328" s="16"/>
      <c r="O328" s="16"/>
      <c r="P328" s="16"/>
      <c r="Q328" s="16"/>
      <c r="R328" s="16"/>
      <c r="S328" s="16"/>
      <c r="T328" s="16"/>
      <c r="U328" s="16"/>
      <c r="V328" s="16"/>
      <c r="W328" s="16"/>
      <c r="X328" s="16"/>
      <c r="Y328" s="16"/>
      <c r="Z328" s="16"/>
      <c r="AA328" s="16"/>
    </row>
    <row r="329">
      <c r="A329" s="16" t="s">
        <v>1018</v>
      </c>
      <c r="B329" s="16" t="s">
        <v>1434</v>
      </c>
      <c r="C329" s="17">
        <v>4.7915115348106E13</v>
      </c>
      <c r="D329" s="16" t="s">
        <v>670</v>
      </c>
      <c r="E329" s="16" t="str">
        <f t="shared" si="1"/>
        <v>TEMPUR-ERGO-PROSMARTCalifornia King</v>
      </c>
      <c r="F329" s="18" t="s">
        <v>1403</v>
      </c>
      <c r="G329" s="16"/>
      <c r="H329" s="16"/>
      <c r="I329" s="16"/>
      <c r="J329" s="16"/>
      <c r="K329" s="16"/>
      <c r="L329" s="16"/>
      <c r="M329" s="16"/>
      <c r="N329" s="16"/>
      <c r="O329" s="16"/>
      <c r="P329" s="16"/>
      <c r="Q329" s="16"/>
      <c r="R329" s="16"/>
      <c r="S329" s="16"/>
      <c r="T329" s="16"/>
      <c r="U329" s="16"/>
      <c r="V329" s="16"/>
      <c r="W329" s="16"/>
      <c r="X329" s="16"/>
      <c r="Y329" s="16"/>
      <c r="Z329" s="16"/>
      <c r="AA329" s="16"/>
    </row>
    <row r="330">
      <c r="A330" s="16" t="s">
        <v>1019</v>
      </c>
      <c r="B330" s="16" t="s">
        <v>1435</v>
      </c>
      <c r="C330" s="17">
        <v>4.7915115413642E13</v>
      </c>
      <c r="D330" s="16" t="s">
        <v>470</v>
      </c>
      <c r="E330" s="16" t="str">
        <f t="shared" si="1"/>
        <v>RTG-SLEEP-2900Queen</v>
      </c>
      <c r="F330" s="18" t="s">
        <v>1260</v>
      </c>
      <c r="G330" s="16"/>
      <c r="H330" s="16"/>
      <c r="I330" s="16"/>
      <c r="J330" s="16"/>
      <c r="K330" s="16"/>
      <c r="L330" s="16"/>
      <c r="M330" s="16"/>
      <c r="N330" s="16"/>
      <c r="O330" s="16"/>
      <c r="P330" s="16"/>
      <c r="Q330" s="16"/>
      <c r="R330" s="16"/>
      <c r="S330" s="16"/>
      <c r="T330" s="16"/>
      <c r="U330" s="16"/>
      <c r="V330" s="16"/>
      <c r="W330" s="16"/>
      <c r="X330" s="16"/>
      <c r="Y330" s="16"/>
      <c r="Z330" s="16"/>
      <c r="AA330" s="16"/>
    </row>
    <row r="331">
      <c r="A331" s="16" t="s">
        <v>1019</v>
      </c>
      <c r="B331" s="16" t="s">
        <v>1435</v>
      </c>
      <c r="C331" s="17">
        <v>4.791511544641E13</v>
      </c>
      <c r="D331" s="16" t="s">
        <v>32</v>
      </c>
      <c r="E331" s="16" t="str">
        <f t="shared" si="1"/>
        <v>RTG-SLEEP-2900Twin XL</v>
      </c>
      <c r="F331" s="18" t="s">
        <v>1315</v>
      </c>
      <c r="G331" s="16"/>
      <c r="H331" s="16"/>
      <c r="I331" s="16"/>
      <c r="J331" s="16"/>
      <c r="K331" s="16"/>
      <c r="L331" s="16"/>
      <c r="M331" s="16"/>
      <c r="N331" s="16"/>
      <c r="O331" s="16"/>
      <c r="P331" s="16"/>
      <c r="Q331" s="16"/>
      <c r="R331" s="16"/>
      <c r="S331" s="16"/>
      <c r="T331" s="16"/>
      <c r="U331" s="16"/>
      <c r="V331" s="16"/>
      <c r="W331" s="16"/>
      <c r="X331" s="16"/>
      <c r="Y331" s="16"/>
      <c r="Z331" s="16"/>
      <c r="AA331" s="16"/>
    </row>
    <row r="332">
      <c r="A332" s="16" t="s">
        <v>1019</v>
      </c>
      <c r="B332" s="16" t="s">
        <v>1435</v>
      </c>
      <c r="C332" s="17">
        <v>4.7915115479178E13</v>
      </c>
      <c r="D332" s="16" t="s">
        <v>568</v>
      </c>
      <c r="E332" s="16" t="str">
        <f t="shared" si="1"/>
        <v>RTG-SLEEP-2900King</v>
      </c>
      <c r="F332" s="18" t="s">
        <v>1324</v>
      </c>
      <c r="G332" s="16"/>
      <c r="H332" s="16"/>
      <c r="I332" s="16"/>
      <c r="J332" s="16"/>
      <c r="K332" s="16"/>
      <c r="L332" s="16"/>
      <c r="M332" s="16"/>
      <c r="N332" s="16"/>
      <c r="O332" s="16"/>
      <c r="P332" s="16"/>
      <c r="Q332" s="16"/>
      <c r="R332" s="16"/>
      <c r="S332" s="16"/>
      <c r="T332" s="16"/>
      <c r="U332" s="16"/>
      <c r="V332" s="16"/>
      <c r="W332" s="16"/>
      <c r="X332" s="16"/>
      <c r="Y332" s="16"/>
      <c r="Z332" s="16"/>
      <c r="AA332" s="16"/>
    </row>
    <row r="333">
      <c r="A333" s="16" t="s">
        <v>1020</v>
      </c>
      <c r="B333" s="16" t="s">
        <v>1436</v>
      </c>
      <c r="C333" s="17">
        <v>4.791511561025E13</v>
      </c>
      <c r="D333" s="16" t="s">
        <v>470</v>
      </c>
      <c r="E333" s="16" t="str">
        <f t="shared" si="1"/>
        <v>RTG-SLEEP-3900Queen</v>
      </c>
      <c r="F333" s="18" t="s">
        <v>1261</v>
      </c>
      <c r="G333" s="16"/>
      <c r="H333" s="16"/>
      <c r="I333" s="16"/>
      <c r="J333" s="16"/>
      <c r="K333" s="16"/>
      <c r="L333" s="16"/>
      <c r="M333" s="16"/>
      <c r="N333" s="16"/>
      <c r="O333" s="16"/>
      <c r="P333" s="16"/>
      <c r="Q333" s="16"/>
      <c r="R333" s="16"/>
      <c r="S333" s="16"/>
      <c r="T333" s="16"/>
      <c r="U333" s="16"/>
      <c r="V333" s="16"/>
      <c r="W333" s="16"/>
      <c r="X333" s="16"/>
      <c r="Y333" s="16"/>
      <c r="Z333" s="16"/>
      <c r="AA333" s="16"/>
    </row>
    <row r="334">
      <c r="A334" s="16" t="s">
        <v>1020</v>
      </c>
      <c r="B334" s="16" t="s">
        <v>1436</v>
      </c>
      <c r="C334" s="17">
        <v>4.7915115643018E13</v>
      </c>
      <c r="D334" s="16" t="s">
        <v>32</v>
      </c>
      <c r="E334" s="16" t="str">
        <f t="shared" si="1"/>
        <v>RTG-SLEEP-3900Twin XL</v>
      </c>
      <c r="F334" s="18" t="s">
        <v>1316</v>
      </c>
      <c r="G334" s="16"/>
      <c r="H334" s="16"/>
      <c r="I334" s="16"/>
      <c r="J334" s="16"/>
      <c r="K334" s="16"/>
      <c r="L334" s="16"/>
      <c r="M334" s="16"/>
      <c r="N334" s="16"/>
      <c r="O334" s="16"/>
      <c r="P334" s="16"/>
      <c r="Q334" s="16"/>
      <c r="R334" s="16"/>
      <c r="S334" s="16"/>
      <c r="T334" s="16"/>
      <c r="U334" s="16"/>
      <c r="V334" s="16"/>
      <c r="W334" s="16"/>
      <c r="X334" s="16"/>
      <c r="Y334" s="16"/>
      <c r="Z334" s="16"/>
      <c r="AA334" s="16"/>
    </row>
    <row r="335">
      <c r="A335" s="16" t="s">
        <v>1020</v>
      </c>
      <c r="B335" s="16" t="s">
        <v>1436</v>
      </c>
      <c r="C335" s="17">
        <v>4.7915115675786E13</v>
      </c>
      <c r="D335" s="16" t="s">
        <v>568</v>
      </c>
      <c r="E335" s="16" t="str">
        <f t="shared" si="1"/>
        <v>RTG-SLEEP-3900King</v>
      </c>
      <c r="F335" s="18" t="s">
        <v>1325</v>
      </c>
      <c r="G335" s="16"/>
      <c r="H335" s="16"/>
      <c r="I335" s="16"/>
      <c r="J335" s="16"/>
      <c r="K335" s="16"/>
      <c r="L335" s="16"/>
      <c r="M335" s="16"/>
      <c r="N335" s="16"/>
      <c r="O335" s="16"/>
      <c r="P335" s="16"/>
      <c r="Q335" s="16"/>
      <c r="R335" s="16"/>
      <c r="S335" s="16"/>
      <c r="T335" s="16"/>
      <c r="U335" s="16"/>
      <c r="V335" s="16"/>
      <c r="W335" s="16"/>
      <c r="X335" s="16"/>
      <c r="Y335" s="16"/>
      <c r="Z335" s="16"/>
      <c r="AA335" s="16"/>
    </row>
    <row r="336">
      <c r="A336" s="16" t="s">
        <v>1021</v>
      </c>
      <c r="B336" s="16" t="s">
        <v>1437</v>
      </c>
      <c r="C336" s="17">
        <v>4.7915115708554E13</v>
      </c>
      <c r="D336" s="16" t="s">
        <v>470</v>
      </c>
      <c r="E336" s="16" t="str">
        <f t="shared" si="1"/>
        <v>RTG-SLEEP-5900Queen</v>
      </c>
      <c r="F336" s="18" t="s">
        <v>1262</v>
      </c>
      <c r="G336" s="16"/>
      <c r="H336" s="16"/>
      <c r="I336" s="16"/>
      <c r="J336" s="16"/>
      <c r="K336" s="16"/>
      <c r="L336" s="16"/>
      <c r="M336" s="16"/>
      <c r="N336" s="16"/>
      <c r="O336" s="16"/>
      <c r="P336" s="16"/>
      <c r="Q336" s="16"/>
      <c r="R336" s="16"/>
      <c r="S336" s="16"/>
      <c r="T336" s="16"/>
      <c r="U336" s="16"/>
      <c r="V336" s="16"/>
      <c r="W336" s="16"/>
      <c r="X336" s="16"/>
      <c r="Y336" s="16"/>
      <c r="Z336" s="16"/>
      <c r="AA336" s="16"/>
    </row>
    <row r="337">
      <c r="A337" s="16" t="s">
        <v>1021</v>
      </c>
      <c r="B337" s="16" t="s">
        <v>1437</v>
      </c>
      <c r="C337" s="17">
        <v>4.7915115741322E13</v>
      </c>
      <c r="D337" s="16" t="s">
        <v>32</v>
      </c>
      <c r="E337" s="16" t="str">
        <f t="shared" si="1"/>
        <v>RTG-SLEEP-5900Twin XL</v>
      </c>
      <c r="F337" s="18" t="s">
        <v>1317</v>
      </c>
      <c r="G337" s="16"/>
      <c r="H337" s="16"/>
      <c r="I337" s="16"/>
      <c r="J337" s="16"/>
      <c r="K337" s="16"/>
      <c r="L337" s="16"/>
      <c r="M337" s="16"/>
      <c r="N337" s="16"/>
      <c r="O337" s="16"/>
      <c r="P337" s="16"/>
      <c r="Q337" s="16"/>
      <c r="R337" s="16"/>
      <c r="S337" s="16"/>
      <c r="T337" s="16"/>
      <c r="U337" s="16"/>
      <c r="V337" s="16"/>
      <c r="W337" s="16"/>
      <c r="X337" s="16"/>
      <c r="Y337" s="16"/>
      <c r="Z337" s="16"/>
      <c r="AA337" s="16"/>
    </row>
    <row r="338">
      <c r="A338" s="16" t="s">
        <v>1021</v>
      </c>
      <c r="B338" s="16" t="s">
        <v>1437</v>
      </c>
      <c r="C338" s="17">
        <v>4.791511577409E13</v>
      </c>
      <c r="D338" s="16" t="s">
        <v>568</v>
      </c>
      <c r="E338" s="16" t="str">
        <f t="shared" si="1"/>
        <v>RTG-SLEEP-5900King</v>
      </c>
      <c r="F338" s="18" t="s">
        <v>1326</v>
      </c>
      <c r="G338" s="16"/>
      <c r="H338" s="16"/>
      <c r="I338" s="16"/>
      <c r="J338" s="16"/>
      <c r="K338" s="16"/>
      <c r="L338" s="16"/>
      <c r="M338" s="16"/>
      <c r="N338" s="16"/>
      <c r="O338" s="16"/>
      <c r="P338" s="16"/>
      <c r="Q338" s="16"/>
      <c r="R338" s="16"/>
      <c r="S338" s="16"/>
      <c r="T338" s="16"/>
      <c r="U338" s="16"/>
      <c r="V338" s="16"/>
      <c r="W338" s="16"/>
      <c r="X338" s="16"/>
      <c r="Y338" s="16"/>
      <c r="Z338" s="16"/>
      <c r="AA338" s="16"/>
    </row>
    <row r="339">
      <c r="A339" s="16" t="s">
        <v>1022</v>
      </c>
      <c r="B339" s="16" t="s">
        <v>660</v>
      </c>
      <c r="C339" s="17">
        <v>4.7915115839626E13</v>
      </c>
      <c r="D339" s="16" t="s">
        <v>32</v>
      </c>
      <c r="E339" s="16" t="str">
        <f t="shared" si="1"/>
        <v>IPROTECT-PROTECTORTwin XL</v>
      </c>
      <c r="F339" s="18" t="s">
        <v>1327</v>
      </c>
      <c r="G339" s="16"/>
      <c r="H339" s="16"/>
      <c r="I339" s="16"/>
      <c r="J339" s="16"/>
      <c r="K339" s="16"/>
      <c r="L339" s="16"/>
      <c r="M339" s="16"/>
      <c r="N339" s="16"/>
      <c r="O339" s="16"/>
      <c r="P339" s="16"/>
      <c r="Q339" s="16"/>
      <c r="R339" s="16"/>
      <c r="S339" s="16"/>
      <c r="T339" s="16"/>
      <c r="U339" s="16"/>
      <c r="V339" s="16"/>
      <c r="W339" s="16"/>
      <c r="X339" s="16"/>
      <c r="Y339" s="16"/>
      <c r="Z339" s="16"/>
      <c r="AA339" s="16"/>
    </row>
    <row r="340">
      <c r="A340" s="16" t="s">
        <v>1022</v>
      </c>
      <c r="B340" s="16" t="s">
        <v>660</v>
      </c>
      <c r="C340" s="17">
        <v>4.7915115872394E13</v>
      </c>
      <c r="D340" s="16" t="s">
        <v>242</v>
      </c>
      <c r="E340" s="16" t="str">
        <f t="shared" si="1"/>
        <v>IPROTECT-PROTECTORTwin</v>
      </c>
      <c r="F340" s="18" t="s">
        <v>1328</v>
      </c>
      <c r="G340" s="16"/>
      <c r="H340" s="16"/>
      <c r="I340" s="16"/>
      <c r="J340" s="16"/>
      <c r="K340" s="16"/>
      <c r="L340" s="16"/>
      <c r="M340" s="16"/>
      <c r="N340" s="16"/>
      <c r="O340" s="16"/>
      <c r="P340" s="16"/>
      <c r="Q340" s="16"/>
      <c r="R340" s="16"/>
      <c r="S340" s="16"/>
      <c r="T340" s="16"/>
      <c r="U340" s="16"/>
      <c r="V340" s="16"/>
      <c r="W340" s="16"/>
      <c r="X340" s="16"/>
      <c r="Y340" s="16"/>
      <c r="Z340" s="16"/>
      <c r="AA340" s="16"/>
    </row>
    <row r="341">
      <c r="A341" s="16" t="s">
        <v>1022</v>
      </c>
      <c r="B341" s="16" t="s">
        <v>660</v>
      </c>
      <c r="C341" s="17">
        <v>4.7915115905162E13</v>
      </c>
      <c r="D341" s="16" t="s">
        <v>373</v>
      </c>
      <c r="E341" s="16" t="str">
        <f t="shared" si="1"/>
        <v>IPROTECT-PROTECTORFull</v>
      </c>
      <c r="F341" s="18" t="s">
        <v>1329</v>
      </c>
      <c r="G341" s="16"/>
      <c r="H341" s="16"/>
      <c r="I341" s="16"/>
      <c r="J341" s="16"/>
      <c r="K341" s="16"/>
      <c r="L341" s="16"/>
      <c r="M341" s="16"/>
      <c r="N341" s="16"/>
      <c r="O341" s="16"/>
      <c r="P341" s="16"/>
      <c r="Q341" s="16"/>
      <c r="R341" s="16"/>
      <c r="S341" s="16"/>
      <c r="T341" s="16"/>
      <c r="U341" s="16"/>
      <c r="V341" s="16"/>
      <c r="W341" s="16"/>
      <c r="X341" s="16"/>
      <c r="Y341" s="16"/>
      <c r="Z341" s="16"/>
      <c r="AA341" s="16"/>
    </row>
    <row r="342">
      <c r="A342" s="16" t="s">
        <v>1022</v>
      </c>
      <c r="B342" s="16" t="s">
        <v>660</v>
      </c>
      <c r="C342" s="17">
        <v>4.791511593793E13</v>
      </c>
      <c r="D342" s="16" t="s">
        <v>470</v>
      </c>
      <c r="E342" s="16" t="str">
        <f t="shared" si="1"/>
        <v>IPROTECT-PROTECTORQueen</v>
      </c>
      <c r="F342" s="18" t="s">
        <v>1330</v>
      </c>
      <c r="G342" s="16"/>
      <c r="H342" s="16"/>
      <c r="I342" s="16"/>
      <c r="J342" s="16"/>
      <c r="K342" s="16"/>
      <c r="L342" s="16"/>
      <c r="M342" s="16"/>
      <c r="N342" s="16"/>
      <c r="O342" s="16"/>
      <c r="P342" s="16"/>
      <c r="Q342" s="16"/>
      <c r="R342" s="16"/>
      <c r="S342" s="16"/>
      <c r="T342" s="16"/>
      <c r="U342" s="16"/>
      <c r="V342" s="16"/>
      <c r="W342" s="16"/>
      <c r="X342" s="16"/>
      <c r="Y342" s="16"/>
      <c r="Z342" s="16"/>
      <c r="AA342" s="16"/>
    </row>
    <row r="343">
      <c r="A343" s="16" t="s">
        <v>1022</v>
      </c>
      <c r="B343" s="16" t="s">
        <v>660</v>
      </c>
      <c r="C343" s="17">
        <v>4.7915115970698E13</v>
      </c>
      <c r="D343" s="16" t="s">
        <v>568</v>
      </c>
      <c r="E343" s="16" t="str">
        <f t="shared" si="1"/>
        <v>IPROTECT-PROTECTORKing</v>
      </c>
      <c r="F343" s="18" t="s">
        <v>1331</v>
      </c>
      <c r="G343" s="16"/>
      <c r="H343" s="16"/>
      <c r="I343" s="16"/>
      <c r="J343" s="16"/>
      <c r="K343" s="16"/>
      <c r="L343" s="16"/>
      <c r="M343" s="16"/>
      <c r="N343" s="16"/>
      <c r="O343" s="16"/>
      <c r="P343" s="16"/>
      <c r="Q343" s="16"/>
      <c r="R343" s="16"/>
      <c r="S343" s="16"/>
      <c r="T343" s="16"/>
      <c r="U343" s="16"/>
      <c r="V343" s="16"/>
      <c r="W343" s="16"/>
      <c r="X343" s="16"/>
      <c r="Y343" s="16"/>
      <c r="Z343" s="16"/>
      <c r="AA343" s="16"/>
    </row>
    <row r="344">
      <c r="A344" s="16" t="s">
        <v>1022</v>
      </c>
      <c r="B344" s="16" t="s">
        <v>660</v>
      </c>
      <c r="C344" s="17">
        <v>4.7915116003466E13</v>
      </c>
      <c r="D344" s="16" t="s">
        <v>670</v>
      </c>
      <c r="E344" s="16" t="str">
        <f t="shared" si="1"/>
        <v>IPROTECT-PROTECTORCalifornia King</v>
      </c>
      <c r="F344" s="18" t="s">
        <v>1332</v>
      </c>
      <c r="G344" s="16"/>
      <c r="H344" s="16"/>
      <c r="I344" s="16"/>
      <c r="J344" s="16"/>
      <c r="K344" s="16"/>
      <c r="L344" s="16"/>
      <c r="M344" s="16"/>
      <c r="N344" s="16"/>
      <c r="O344" s="16"/>
      <c r="P344" s="16"/>
      <c r="Q344" s="16"/>
      <c r="R344" s="16"/>
      <c r="S344" s="16"/>
      <c r="T344" s="16"/>
      <c r="U344" s="16"/>
      <c r="V344" s="16"/>
      <c r="W344" s="16"/>
      <c r="X344" s="16"/>
      <c r="Y344" s="16"/>
      <c r="Z344" s="16"/>
      <c r="AA344" s="16"/>
    </row>
    <row r="345">
      <c r="A345" s="16" t="s">
        <v>1023</v>
      </c>
      <c r="B345" s="16" t="s">
        <v>1438</v>
      </c>
      <c r="C345" s="17">
        <v>4.7915116069002E13</v>
      </c>
      <c r="D345" s="16" t="s">
        <v>1439</v>
      </c>
      <c r="E345" s="16" t="str">
        <f t="shared" si="1"/>
        <v>IPROTECT-CRIB-PROTECTORDefault Title</v>
      </c>
      <c r="F345" s="18" t="s">
        <v>1440</v>
      </c>
      <c r="G345" s="16"/>
      <c r="H345" s="16"/>
      <c r="I345" s="16"/>
      <c r="J345" s="16"/>
      <c r="K345" s="16"/>
      <c r="L345" s="16"/>
      <c r="M345" s="16"/>
      <c r="N345" s="16"/>
      <c r="O345" s="16"/>
      <c r="P345" s="16"/>
      <c r="Q345" s="16"/>
      <c r="R345" s="16"/>
      <c r="S345" s="16"/>
      <c r="T345" s="16"/>
      <c r="U345" s="16"/>
      <c r="V345" s="16"/>
      <c r="W345" s="16"/>
      <c r="X345" s="16"/>
      <c r="Y345" s="16"/>
      <c r="Z345" s="16"/>
      <c r="AA345" s="16"/>
    </row>
    <row r="346">
      <c r="A346" s="16" t="s">
        <v>1024</v>
      </c>
      <c r="B346" s="16" t="s">
        <v>1441</v>
      </c>
      <c r="C346" s="17">
        <v>4.7915116167306E13</v>
      </c>
      <c r="D346" s="16" t="s">
        <v>675</v>
      </c>
      <c r="E346" s="16" t="str">
        <f t="shared" si="1"/>
        <v>DRI-TEC-CRIB-PROTECTORCrib</v>
      </c>
      <c r="F346" s="18" t="s">
        <v>1333</v>
      </c>
      <c r="G346" s="16"/>
      <c r="H346" s="16"/>
      <c r="I346" s="16"/>
      <c r="J346" s="16"/>
      <c r="K346" s="16"/>
      <c r="L346" s="16"/>
      <c r="M346" s="16"/>
      <c r="N346" s="16"/>
      <c r="O346" s="16"/>
      <c r="P346" s="16"/>
      <c r="Q346" s="16"/>
      <c r="R346" s="16"/>
      <c r="S346" s="16"/>
      <c r="T346" s="16"/>
      <c r="U346" s="16"/>
      <c r="V346" s="16"/>
      <c r="W346" s="16"/>
      <c r="X346" s="16"/>
      <c r="Y346" s="16"/>
      <c r="Z346" s="16"/>
      <c r="AA346" s="16"/>
    </row>
    <row r="347">
      <c r="A347" s="16" t="s">
        <v>1025</v>
      </c>
      <c r="B347" s="16" t="s">
        <v>1442</v>
      </c>
      <c r="C347" s="17">
        <v>4.7915116232842E13</v>
      </c>
      <c r="D347" s="16" t="s">
        <v>675</v>
      </c>
      <c r="E347" s="16" t="str">
        <f t="shared" si="1"/>
        <v>VER-TEX-CRIB-PROTECTORCrib</v>
      </c>
      <c r="F347" s="18" t="s">
        <v>1334</v>
      </c>
      <c r="G347" s="16"/>
      <c r="H347" s="16"/>
      <c r="I347" s="16"/>
      <c r="J347" s="16"/>
      <c r="K347" s="16"/>
      <c r="L347" s="16"/>
      <c r="M347" s="16"/>
      <c r="N347" s="16"/>
      <c r="O347" s="16"/>
      <c r="P347" s="16"/>
      <c r="Q347" s="16"/>
      <c r="R347" s="16"/>
      <c r="S347" s="16"/>
      <c r="T347" s="16"/>
      <c r="U347" s="16"/>
      <c r="V347" s="16"/>
      <c r="W347" s="16"/>
      <c r="X347" s="16"/>
      <c r="Y347" s="16"/>
      <c r="Z347" s="16"/>
      <c r="AA347" s="16"/>
    </row>
    <row r="348">
      <c r="A348" s="16" t="s">
        <v>1027</v>
      </c>
      <c r="B348" s="16" t="s">
        <v>1443</v>
      </c>
      <c r="C348" s="17">
        <v>4.7915116462218E13</v>
      </c>
      <c r="D348" s="16" t="s">
        <v>242</v>
      </c>
      <c r="E348" s="16" t="str">
        <f t="shared" si="1"/>
        <v>VER-TEX-PROTECTORTwin</v>
      </c>
      <c r="F348" s="18" t="s">
        <v>1335</v>
      </c>
      <c r="G348" s="16"/>
      <c r="H348" s="16"/>
      <c r="I348" s="16"/>
      <c r="J348" s="16"/>
      <c r="K348" s="16"/>
      <c r="L348" s="16"/>
      <c r="M348" s="16"/>
      <c r="N348" s="16"/>
      <c r="O348" s="16"/>
      <c r="P348" s="16"/>
      <c r="Q348" s="16"/>
      <c r="R348" s="16"/>
      <c r="S348" s="16"/>
      <c r="T348" s="16"/>
      <c r="U348" s="16"/>
      <c r="V348" s="16"/>
      <c r="W348" s="16"/>
      <c r="X348" s="16"/>
      <c r="Y348" s="16"/>
      <c r="Z348" s="16"/>
      <c r="AA348" s="16"/>
    </row>
    <row r="349">
      <c r="A349" s="16" t="s">
        <v>1027</v>
      </c>
      <c r="B349" s="16" t="s">
        <v>1443</v>
      </c>
      <c r="C349" s="17">
        <v>4.7915116494986E13</v>
      </c>
      <c r="D349" s="16" t="s">
        <v>32</v>
      </c>
      <c r="E349" s="16" t="str">
        <f t="shared" si="1"/>
        <v>VER-TEX-PROTECTORTwin XL</v>
      </c>
      <c r="F349" s="18" t="s">
        <v>1336</v>
      </c>
      <c r="G349" s="16"/>
      <c r="H349" s="16"/>
      <c r="I349" s="16"/>
      <c r="J349" s="16"/>
      <c r="K349" s="16"/>
      <c r="L349" s="16"/>
      <c r="M349" s="16"/>
      <c r="N349" s="16"/>
      <c r="O349" s="16"/>
      <c r="P349" s="16"/>
      <c r="Q349" s="16"/>
      <c r="R349" s="16"/>
      <c r="S349" s="16"/>
      <c r="T349" s="16"/>
      <c r="U349" s="16"/>
      <c r="V349" s="16"/>
      <c r="W349" s="16"/>
      <c r="X349" s="16"/>
      <c r="Y349" s="16"/>
      <c r="Z349" s="16"/>
      <c r="AA349" s="16"/>
    </row>
    <row r="350">
      <c r="A350" s="16" t="s">
        <v>1027</v>
      </c>
      <c r="B350" s="16" t="s">
        <v>1443</v>
      </c>
      <c r="C350" s="17">
        <v>4.7915116527754E13</v>
      </c>
      <c r="D350" s="16" t="s">
        <v>373</v>
      </c>
      <c r="E350" s="16" t="str">
        <f t="shared" si="1"/>
        <v>VER-TEX-PROTECTORFull</v>
      </c>
      <c r="F350" s="18" t="s">
        <v>1337</v>
      </c>
      <c r="G350" s="16"/>
      <c r="H350" s="16"/>
      <c r="I350" s="16"/>
      <c r="J350" s="16"/>
      <c r="K350" s="16"/>
      <c r="L350" s="16"/>
      <c r="M350" s="16"/>
      <c r="N350" s="16"/>
      <c r="O350" s="16"/>
      <c r="P350" s="16"/>
      <c r="Q350" s="16"/>
      <c r="R350" s="16"/>
      <c r="S350" s="16"/>
      <c r="T350" s="16"/>
      <c r="U350" s="16"/>
      <c r="V350" s="16"/>
      <c r="W350" s="16"/>
      <c r="X350" s="16"/>
      <c r="Y350" s="16"/>
      <c r="Z350" s="16"/>
      <c r="AA350" s="16"/>
    </row>
    <row r="351">
      <c r="A351" s="16" t="s">
        <v>1027</v>
      </c>
      <c r="B351" s="16" t="s">
        <v>1443</v>
      </c>
      <c r="C351" s="17">
        <v>4.7915116560522E13</v>
      </c>
      <c r="D351" s="16" t="s">
        <v>470</v>
      </c>
      <c r="E351" s="16" t="str">
        <f t="shared" si="1"/>
        <v>VER-TEX-PROTECTORQueen</v>
      </c>
      <c r="F351" s="18" t="s">
        <v>1338</v>
      </c>
      <c r="G351" s="16"/>
      <c r="H351" s="16"/>
      <c r="I351" s="16"/>
      <c r="J351" s="16"/>
      <c r="K351" s="16"/>
      <c r="L351" s="16"/>
      <c r="M351" s="16"/>
      <c r="N351" s="16"/>
      <c r="O351" s="16"/>
      <c r="P351" s="16"/>
      <c r="Q351" s="16"/>
      <c r="R351" s="16"/>
      <c r="S351" s="16"/>
      <c r="T351" s="16"/>
      <c r="U351" s="16"/>
      <c r="V351" s="16"/>
      <c r="W351" s="16"/>
      <c r="X351" s="16"/>
      <c r="Y351" s="16"/>
      <c r="Z351" s="16"/>
      <c r="AA351" s="16"/>
    </row>
    <row r="352">
      <c r="A352" s="16" t="s">
        <v>1027</v>
      </c>
      <c r="B352" s="16" t="s">
        <v>1443</v>
      </c>
      <c r="C352" s="17">
        <v>4.791511659329E13</v>
      </c>
      <c r="D352" s="16" t="s">
        <v>568</v>
      </c>
      <c r="E352" s="16" t="str">
        <f t="shared" si="1"/>
        <v>VER-TEX-PROTECTORKing</v>
      </c>
      <c r="F352" s="18" t="s">
        <v>1339</v>
      </c>
      <c r="G352" s="16"/>
      <c r="H352" s="16"/>
      <c r="I352" s="16"/>
      <c r="J352" s="16"/>
      <c r="K352" s="16"/>
      <c r="L352" s="16"/>
      <c r="M352" s="16"/>
      <c r="N352" s="16"/>
      <c r="O352" s="16"/>
      <c r="P352" s="16"/>
      <c r="Q352" s="16"/>
      <c r="R352" s="16"/>
      <c r="S352" s="16"/>
      <c r="T352" s="16"/>
      <c r="U352" s="16"/>
      <c r="V352" s="16"/>
      <c r="W352" s="16"/>
      <c r="X352" s="16"/>
      <c r="Y352" s="16"/>
      <c r="Z352" s="16"/>
      <c r="AA352" s="16"/>
    </row>
    <row r="353">
      <c r="A353" s="16" t="s">
        <v>1027</v>
      </c>
      <c r="B353" s="16" t="s">
        <v>1443</v>
      </c>
      <c r="C353" s="17">
        <v>4.7915116626058E13</v>
      </c>
      <c r="D353" s="16" t="s">
        <v>670</v>
      </c>
      <c r="E353" s="16" t="str">
        <f t="shared" si="1"/>
        <v>VER-TEX-PROTECTORCalifornia King</v>
      </c>
      <c r="F353" s="18" t="s">
        <v>1340</v>
      </c>
      <c r="G353" s="16"/>
      <c r="H353" s="16"/>
      <c r="I353" s="16"/>
      <c r="J353" s="16"/>
      <c r="K353" s="16"/>
      <c r="L353" s="16"/>
      <c r="M353" s="16"/>
      <c r="N353" s="16"/>
      <c r="O353" s="16"/>
      <c r="P353" s="16"/>
      <c r="Q353" s="16"/>
      <c r="R353" s="16"/>
      <c r="S353" s="16"/>
      <c r="T353" s="16"/>
      <c r="U353" s="16"/>
      <c r="V353" s="16"/>
      <c r="W353" s="16"/>
      <c r="X353" s="16"/>
      <c r="Y353" s="16"/>
      <c r="Z353" s="16"/>
      <c r="AA353" s="16"/>
    </row>
    <row r="354">
      <c r="A354" s="16" t="s">
        <v>1027</v>
      </c>
      <c r="B354" s="16" t="s">
        <v>1443</v>
      </c>
      <c r="C354" s="17">
        <v>4.7915116658826E13</v>
      </c>
      <c r="D354" s="16" t="s">
        <v>710</v>
      </c>
      <c r="E354" s="16" t="str">
        <f t="shared" si="1"/>
        <v>VER-TEX-PROTECTORSplit California King</v>
      </c>
      <c r="F354" s="18" t="s">
        <v>1341</v>
      </c>
      <c r="G354" s="16"/>
      <c r="H354" s="16"/>
      <c r="I354" s="16"/>
      <c r="J354" s="16"/>
      <c r="K354" s="16"/>
      <c r="L354" s="16"/>
      <c r="M354" s="16"/>
      <c r="N354" s="16"/>
      <c r="O354" s="16"/>
      <c r="P354" s="16"/>
      <c r="Q354" s="16"/>
      <c r="R354" s="16"/>
      <c r="S354" s="16"/>
      <c r="T354" s="16"/>
      <c r="U354" s="16"/>
      <c r="V354" s="16"/>
      <c r="W354" s="16"/>
      <c r="X354" s="16"/>
      <c r="Y354" s="16"/>
      <c r="Z354" s="16"/>
      <c r="AA354" s="16"/>
    </row>
    <row r="355">
      <c r="A355" s="16" t="s">
        <v>1027</v>
      </c>
      <c r="B355" s="16" t="s">
        <v>1443</v>
      </c>
      <c r="C355" s="17">
        <v>4.7915116691594E13</v>
      </c>
      <c r="D355" s="16" t="s">
        <v>692</v>
      </c>
      <c r="E355" s="16" t="str">
        <f t="shared" si="1"/>
        <v>VER-TEX-PROTECTORSplit King</v>
      </c>
      <c r="F355" s="18" t="s">
        <v>1342</v>
      </c>
      <c r="G355" s="16"/>
      <c r="H355" s="16"/>
      <c r="I355" s="16"/>
      <c r="J355" s="16"/>
      <c r="K355" s="16"/>
      <c r="L355" s="16"/>
      <c r="M355" s="16"/>
      <c r="N355" s="16"/>
      <c r="O355" s="16"/>
      <c r="P355" s="16"/>
      <c r="Q355" s="16"/>
      <c r="R355" s="16"/>
      <c r="S355" s="16"/>
      <c r="T355" s="16"/>
      <c r="U355" s="16"/>
      <c r="V355" s="16"/>
      <c r="W355" s="16"/>
      <c r="X355" s="16"/>
      <c r="Y355" s="16"/>
      <c r="Z355" s="16"/>
      <c r="AA355" s="16"/>
    </row>
    <row r="356">
      <c r="A356" s="16" t="s">
        <v>1029</v>
      </c>
      <c r="B356" s="16" t="s">
        <v>1444</v>
      </c>
      <c r="C356" s="17">
        <v>4.7915116789898E13</v>
      </c>
      <c r="D356" s="16" t="s">
        <v>470</v>
      </c>
      <c r="E356" s="16" t="str">
        <f t="shared" si="1"/>
        <v>IPROTECT-PILLOW-PROTECTORQueen</v>
      </c>
      <c r="F356" s="18" t="s">
        <v>1344</v>
      </c>
      <c r="G356" s="16"/>
      <c r="H356" s="16"/>
      <c r="I356" s="16"/>
      <c r="J356" s="16"/>
      <c r="K356" s="16"/>
      <c r="L356" s="16"/>
      <c r="M356" s="16"/>
      <c r="N356" s="16"/>
      <c r="O356" s="16"/>
      <c r="P356" s="16"/>
      <c r="Q356" s="16"/>
      <c r="R356" s="16"/>
      <c r="S356" s="16"/>
      <c r="T356" s="16"/>
      <c r="U356" s="16"/>
      <c r="V356" s="16"/>
      <c r="W356" s="16"/>
      <c r="X356" s="16"/>
      <c r="Y356" s="16"/>
      <c r="Z356" s="16"/>
      <c r="AA356" s="16"/>
    </row>
    <row r="357">
      <c r="A357" s="16" t="s">
        <v>1029</v>
      </c>
      <c r="B357" s="16" t="s">
        <v>1444</v>
      </c>
      <c r="C357" s="17">
        <v>4.7915116822666E13</v>
      </c>
      <c r="D357" s="16" t="s">
        <v>568</v>
      </c>
      <c r="E357" s="16" t="str">
        <f t="shared" si="1"/>
        <v>IPROTECT-PILLOW-PROTECTORKing</v>
      </c>
      <c r="F357" s="18" t="s">
        <v>1345</v>
      </c>
      <c r="G357" s="16"/>
      <c r="H357" s="16"/>
      <c r="I357" s="16"/>
      <c r="J357" s="16"/>
      <c r="K357" s="16"/>
      <c r="L357" s="16"/>
      <c r="M357" s="16"/>
      <c r="N357" s="16"/>
      <c r="O357" s="16"/>
      <c r="P357" s="16"/>
      <c r="Q357" s="16"/>
      <c r="R357" s="16"/>
      <c r="S357" s="16"/>
      <c r="T357" s="16"/>
      <c r="U357" s="16"/>
      <c r="V357" s="16"/>
      <c r="W357" s="16"/>
      <c r="X357" s="16"/>
      <c r="Y357" s="16"/>
      <c r="Z357" s="16"/>
      <c r="AA357" s="16"/>
    </row>
    <row r="358">
      <c r="A358" s="16" t="s">
        <v>1039</v>
      </c>
      <c r="B358" s="16" t="s">
        <v>1445</v>
      </c>
      <c r="C358" s="17">
        <v>4.7915117117578E13</v>
      </c>
      <c r="D358" s="16" t="s">
        <v>470</v>
      </c>
      <c r="E358" s="16" t="str">
        <f t="shared" si="1"/>
        <v>CASPER-SNOW-PILLOWQueen</v>
      </c>
      <c r="F358" s="18" t="s">
        <v>1406</v>
      </c>
      <c r="G358" s="16"/>
      <c r="H358" s="16"/>
      <c r="I358" s="16"/>
      <c r="J358" s="16"/>
      <c r="K358" s="16"/>
      <c r="L358" s="16"/>
      <c r="M358" s="16"/>
      <c r="N358" s="16"/>
      <c r="O358" s="16"/>
      <c r="P358" s="16"/>
      <c r="Q358" s="16"/>
      <c r="R358" s="16"/>
      <c r="S358" s="16"/>
      <c r="T358" s="16"/>
      <c r="U358" s="16"/>
      <c r="V358" s="16"/>
      <c r="W358" s="16"/>
      <c r="X358" s="16"/>
      <c r="Y358" s="16"/>
      <c r="Z358" s="16"/>
      <c r="AA358" s="16"/>
    </row>
    <row r="359">
      <c r="A359" s="16" t="s">
        <v>1039</v>
      </c>
      <c r="B359" s="16" t="s">
        <v>1445</v>
      </c>
      <c r="C359" s="17">
        <v>4.7915117150346E13</v>
      </c>
      <c r="D359" s="16" t="s">
        <v>568</v>
      </c>
      <c r="E359" s="16" t="str">
        <f t="shared" si="1"/>
        <v>CASPER-SNOW-PILLOWKing</v>
      </c>
      <c r="F359" s="18" t="s">
        <v>1407</v>
      </c>
      <c r="G359" s="16"/>
      <c r="H359" s="16"/>
      <c r="I359" s="16"/>
      <c r="J359" s="16"/>
      <c r="K359" s="16"/>
      <c r="L359" s="16"/>
      <c r="M359" s="16"/>
      <c r="N359" s="16"/>
      <c r="O359" s="16"/>
      <c r="P359" s="16"/>
      <c r="Q359" s="16"/>
      <c r="R359" s="16"/>
      <c r="S359" s="16"/>
      <c r="T359" s="16"/>
      <c r="U359" s="16"/>
      <c r="V359" s="16"/>
      <c r="W359" s="16"/>
      <c r="X359" s="16"/>
      <c r="Y359" s="16"/>
      <c r="Z359" s="16"/>
      <c r="AA359" s="16"/>
    </row>
    <row r="360">
      <c r="A360" s="16" t="s">
        <v>918</v>
      </c>
      <c r="B360" s="16" t="s">
        <v>925</v>
      </c>
      <c r="C360" s="17">
        <v>4.7915117215882E13</v>
      </c>
      <c r="D360" s="16" t="s">
        <v>923</v>
      </c>
      <c r="E360" s="16" t="str">
        <f t="shared" si="1"/>
        <v>FRAMESFull,Twin</v>
      </c>
      <c r="F360" s="18" t="s">
        <v>1408</v>
      </c>
      <c r="G360" s="16"/>
      <c r="H360" s="16"/>
      <c r="I360" s="16"/>
      <c r="J360" s="16"/>
      <c r="K360" s="16"/>
      <c r="L360" s="16"/>
      <c r="M360" s="16"/>
      <c r="N360" s="16"/>
      <c r="O360" s="16"/>
      <c r="P360" s="16"/>
      <c r="Q360" s="16"/>
      <c r="R360" s="16"/>
      <c r="S360" s="16"/>
      <c r="T360" s="16"/>
      <c r="U360" s="16"/>
      <c r="V360" s="16"/>
      <c r="W360" s="16"/>
      <c r="X360" s="16"/>
      <c r="Y360" s="16"/>
      <c r="Z360" s="16"/>
      <c r="AA360" s="16"/>
    </row>
    <row r="361">
      <c r="A361" s="16" t="s">
        <v>918</v>
      </c>
      <c r="B361" s="16" t="s">
        <v>925</v>
      </c>
      <c r="C361" s="17">
        <v>4.791511724865E13</v>
      </c>
      <c r="D361" s="16" t="s">
        <v>928</v>
      </c>
      <c r="E361" s="16" t="str">
        <f t="shared" si="1"/>
        <v>FRAMESCalifornia King,King,Queen</v>
      </c>
      <c r="F361" s="18" t="s">
        <v>1409</v>
      </c>
      <c r="G361" s="16"/>
      <c r="H361" s="16"/>
      <c r="I361" s="16"/>
      <c r="J361" s="16"/>
      <c r="K361" s="16"/>
      <c r="L361" s="16"/>
      <c r="M361" s="16"/>
      <c r="N361" s="16"/>
      <c r="O361" s="16"/>
      <c r="P361" s="16"/>
      <c r="Q361" s="16"/>
      <c r="R361" s="16"/>
      <c r="S361" s="16"/>
      <c r="T361" s="16"/>
      <c r="U361" s="16"/>
      <c r="V361" s="16"/>
      <c r="W361" s="16"/>
      <c r="X361" s="16"/>
      <c r="Y361" s="16"/>
      <c r="Z361" s="16"/>
      <c r="AA361" s="16"/>
    </row>
    <row r="362">
      <c r="A362" s="16" t="s">
        <v>1040</v>
      </c>
      <c r="B362" s="16" t="s">
        <v>1446</v>
      </c>
      <c r="C362" s="17">
        <v>4.7915117314186E13</v>
      </c>
      <c r="D362" s="16" t="s">
        <v>470</v>
      </c>
      <c r="E362" s="16" t="str">
        <f t="shared" si="1"/>
        <v>STEARNS-AND-FOSTER-LATEXQueen</v>
      </c>
      <c r="F362" s="18" t="s">
        <v>1410</v>
      </c>
      <c r="G362" s="16"/>
      <c r="H362" s="16"/>
      <c r="I362" s="16"/>
      <c r="J362" s="16"/>
      <c r="K362" s="16"/>
      <c r="L362" s="16"/>
      <c r="M362" s="16"/>
      <c r="N362" s="16"/>
      <c r="O362" s="16"/>
      <c r="P362" s="16"/>
      <c r="Q362" s="16"/>
      <c r="R362" s="16"/>
      <c r="S362" s="16"/>
      <c r="T362" s="16"/>
      <c r="U362" s="16"/>
      <c r="V362" s="16"/>
      <c r="W362" s="16"/>
      <c r="X362" s="16"/>
      <c r="Y362" s="16"/>
      <c r="Z362" s="16"/>
      <c r="AA362" s="16"/>
    </row>
    <row r="363">
      <c r="A363" s="16" t="s">
        <v>1041</v>
      </c>
      <c r="B363" s="16" t="s">
        <v>935</v>
      </c>
      <c r="C363" s="17">
        <v>4.7915117379722E13</v>
      </c>
      <c r="D363" s="16" t="s">
        <v>470</v>
      </c>
      <c r="E363" s="16" t="str">
        <f t="shared" si="1"/>
        <v>ADAPT-PROADJUSTQueen</v>
      </c>
      <c r="F363" s="18" t="s">
        <v>1411</v>
      </c>
      <c r="G363" s="16"/>
      <c r="H363" s="16"/>
      <c r="I363" s="16"/>
      <c r="J363" s="16"/>
      <c r="K363" s="16"/>
      <c r="L363" s="16"/>
      <c r="M363" s="16"/>
      <c r="N363" s="16"/>
      <c r="O363" s="16"/>
      <c r="P363" s="16"/>
      <c r="Q363" s="16"/>
      <c r="R363" s="16"/>
      <c r="S363" s="16"/>
      <c r="T363" s="16"/>
      <c r="U363" s="16"/>
      <c r="V363" s="16"/>
      <c r="W363" s="16"/>
      <c r="X363" s="16"/>
      <c r="Y363" s="16"/>
      <c r="Z363" s="16"/>
      <c r="AA363" s="16"/>
    </row>
    <row r="364">
      <c r="A364" s="16" t="s">
        <v>1041</v>
      </c>
      <c r="B364" s="16" t="s">
        <v>935</v>
      </c>
      <c r="C364" s="17">
        <v>4.791511741249E13</v>
      </c>
      <c r="D364" s="16" t="s">
        <v>568</v>
      </c>
      <c r="E364" s="16" t="str">
        <f t="shared" si="1"/>
        <v>ADAPT-PROADJUSTKing</v>
      </c>
      <c r="F364" s="18" t="s">
        <v>1412</v>
      </c>
      <c r="G364" s="16"/>
      <c r="H364" s="16"/>
      <c r="I364" s="16"/>
      <c r="J364" s="16"/>
      <c r="K364" s="16"/>
      <c r="L364" s="16"/>
      <c r="M364" s="16"/>
      <c r="N364" s="16"/>
      <c r="O364" s="16"/>
      <c r="P364" s="16"/>
      <c r="Q364" s="16"/>
      <c r="R364" s="16"/>
      <c r="S364" s="16"/>
      <c r="T364" s="16"/>
      <c r="U364" s="16"/>
      <c r="V364" s="16"/>
      <c r="W364" s="16"/>
      <c r="X364" s="16"/>
      <c r="Y364" s="16"/>
      <c r="Z364" s="16"/>
      <c r="AA364" s="16"/>
    </row>
    <row r="365">
      <c r="A365" s="16" t="s">
        <v>1042</v>
      </c>
      <c r="B365" s="16" t="s">
        <v>1447</v>
      </c>
      <c r="C365" s="17">
        <v>4.7915117478026E13</v>
      </c>
      <c r="D365" s="16" t="s">
        <v>470</v>
      </c>
      <c r="E365" s="16" t="str">
        <f t="shared" si="1"/>
        <v>ADAPT-PRO-LO-2-0Queen</v>
      </c>
      <c r="F365" s="18" t="s">
        <v>1413</v>
      </c>
      <c r="G365" s="16"/>
      <c r="H365" s="16"/>
      <c r="I365" s="16"/>
      <c r="J365" s="16"/>
      <c r="K365" s="16"/>
      <c r="L365" s="16"/>
      <c r="M365" s="16"/>
      <c r="N365" s="16"/>
      <c r="O365" s="16"/>
      <c r="P365" s="16"/>
      <c r="Q365" s="16"/>
      <c r="R365" s="16"/>
      <c r="S365" s="16"/>
      <c r="T365" s="16"/>
      <c r="U365" s="16"/>
      <c r="V365" s="16"/>
      <c r="W365" s="16"/>
      <c r="X365" s="16"/>
      <c r="Y365" s="16"/>
      <c r="Z365" s="16"/>
      <c r="AA365" s="16"/>
    </row>
    <row r="366">
      <c r="A366" s="16" t="s">
        <v>1042</v>
      </c>
      <c r="B366" s="16" t="s">
        <v>1447</v>
      </c>
      <c r="C366" s="17">
        <v>4.7915117510794E13</v>
      </c>
      <c r="D366" s="16" t="s">
        <v>568</v>
      </c>
      <c r="E366" s="16" t="str">
        <f t="shared" si="1"/>
        <v>ADAPT-PRO-LO-2-0King</v>
      </c>
      <c r="F366" s="18" t="s">
        <v>1414</v>
      </c>
      <c r="G366" s="16"/>
      <c r="H366" s="16"/>
      <c r="I366" s="16"/>
      <c r="J366" s="16"/>
      <c r="K366" s="16"/>
      <c r="L366" s="16"/>
      <c r="M366" s="16"/>
      <c r="N366" s="16"/>
      <c r="O366" s="16"/>
      <c r="P366" s="16"/>
      <c r="Q366" s="16"/>
      <c r="R366" s="16"/>
      <c r="S366" s="16"/>
      <c r="T366" s="16"/>
      <c r="U366" s="16"/>
      <c r="V366" s="16"/>
      <c r="W366" s="16"/>
      <c r="X366" s="16"/>
      <c r="Y366" s="16"/>
      <c r="Z366" s="16"/>
      <c r="AA366" s="16"/>
    </row>
    <row r="367">
      <c r="A367" s="16" t="s">
        <v>1043</v>
      </c>
      <c r="B367" s="16" t="s">
        <v>1448</v>
      </c>
      <c r="C367" s="17">
        <v>4.791511757633E13</v>
      </c>
      <c r="D367" s="16" t="s">
        <v>470</v>
      </c>
      <c r="E367" s="16" t="str">
        <f t="shared" si="1"/>
        <v>ADAPT-PRO-HI-2-0Queen</v>
      </c>
      <c r="F367" s="18" t="s">
        <v>1415</v>
      </c>
      <c r="G367" s="16"/>
      <c r="H367" s="16"/>
      <c r="I367" s="16"/>
      <c r="J367" s="16"/>
      <c r="K367" s="16"/>
      <c r="L367" s="16"/>
      <c r="M367" s="16"/>
      <c r="N367" s="16"/>
      <c r="O367" s="16"/>
      <c r="P367" s="16"/>
      <c r="Q367" s="16"/>
      <c r="R367" s="16"/>
      <c r="S367" s="16"/>
      <c r="T367" s="16"/>
      <c r="U367" s="16"/>
      <c r="V367" s="16"/>
      <c r="W367" s="16"/>
      <c r="X367" s="16"/>
      <c r="Y367" s="16"/>
      <c r="Z367" s="16"/>
      <c r="AA367" s="16"/>
    </row>
    <row r="368">
      <c r="A368" s="16" t="s">
        <v>1043</v>
      </c>
      <c r="B368" s="16" t="s">
        <v>1448</v>
      </c>
      <c r="C368" s="17">
        <v>4.7915117609098E13</v>
      </c>
      <c r="D368" s="16" t="s">
        <v>568</v>
      </c>
      <c r="E368" s="16" t="str">
        <f t="shared" si="1"/>
        <v>ADAPT-PRO-HI-2-0King</v>
      </c>
      <c r="F368" s="18" t="s">
        <v>1416</v>
      </c>
      <c r="G368" s="16"/>
      <c r="H368" s="16"/>
      <c r="I368" s="16"/>
      <c r="J368" s="16"/>
      <c r="K368" s="16"/>
      <c r="L368" s="16"/>
      <c r="M368" s="16"/>
      <c r="N368" s="16"/>
      <c r="O368" s="16"/>
      <c r="P368" s="16"/>
      <c r="Q368" s="16"/>
      <c r="R368" s="16"/>
      <c r="S368" s="16"/>
      <c r="T368" s="16"/>
      <c r="U368" s="16"/>
      <c r="V368" s="16"/>
      <c r="W368" s="16"/>
      <c r="X368" s="16"/>
      <c r="Y368" s="16"/>
      <c r="Z368" s="16"/>
      <c r="AA368" s="16"/>
    </row>
    <row r="369">
      <c r="A369" s="16" t="s">
        <v>1044</v>
      </c>
      <c r="B369" s="16" t="s">
        <v>1449</v>
      </c>
      <c r="C369" s="17">
        <v>4.7915117772938E13</v>
      </c>
      <c r="D369" s="16" t="s">
        <v>470</v>
      </c>
      <c r="E369" s="16" t="str">
        <f t="shared" si="1"/>
        <v>BREEZE-PRO-LO-2-0Queen</v>
      </c>
      <c r="F369" s="18" t="s">
        <v>1417</v>
      </c>
      <c r="G369" s="16"/>
      <c r="H369" s="16"/>
      <c r="I369" s="16"/>
      <c r="J369" s="16"/>
      <c r="K369" s="16"/>
      <c r="L369" s="16"/>
      <c r="M369" s="16"/>
      <c r="N369" s="16"/>
      <c r="O369" s="16"/>
      <c r="P369" s="16"/>
      <c r="Q369" s="16"/>
      <c r="R369" s="16"/>
      <c r="S369" s="16"/>
      <c r="T369" s="16"/>
      <c r="U369" s="16"/>
      <c r="V369" s="16"/>
      <c r="W369" s="16"/>
      <c r="X369" s="16"/>
      <c r="Y369" s="16"/>
      <c r="Z369" s="16"/>
      <c r="AA369" s="16"/>
    </row>
    <row r="370">
      <c r="A370" s="16" t="s">
        <v>1045</v>
      </c>
      <c r="B370" s="16" t="s">
        <v>1450</v>
      </c>
      <c r="C370" s="17">
        <v>4.7915117838474E13</v>
      </c>
      <c r="D370" s="16" t="s">
        <v>568</v>
      </c>
      <c r="E370" s="16" t="str">
        <f t="shared" si="1"/>
        <v>BREEZE-PRO-LO-2-0-KGKing</v>
      </c>
      <c r="F370" s="18" t="s">
        <v>1418</v>
      </c>
      <c r="G370" s="16"/>
      <c r="H370" s="16"/>
      <c r="I370" s="16"/>
      <c r="J370" s="16"/>
      <c r="K370" s="16"/>
      <c r="L370" s="16"/>
      <c r="M370" s="16"/>
      <c r="N370" s="16"/>
      <c r="O370" s="16"/>
      <c r="P370" s="16"/>
      <c r="Q370" s="16"/>
      <c r="R370" s="16"/>
      <c r="S370" s="16"/>
      <c r="T370" s="16"/>
      <c r="U370" s="16"/>
      <c r="V370" s="16"/>
      <c r="W370" s="16"/>
      <c r="X370" s="16"/>
      <c r="Y370" s="16"/>
      <c r="Z370" s="16"/>
      <c r="AA370" s="16"/>
    </row>
    <row r="371">
      <c r="A371" s="16" t="s">
        <v>1046</v>
      </c>
      <c r="B371" s="16" t="s">
        <v>1451</v>
      </c>
      <c r="C371" s="17">
        <v>4.791511790401E13</v>
      </c>
      <c r="D371" s="16" t="s">
        <v>470</v>
      </c>
      <c r="E371" s="16" t="str">
        <f t="shared" si="1"/>
        <v>BREEZE-PRO-HI-2-0Queen</v>
      </c>
      <c r="F371" s="18" t="s">
        <v>1419</v>
      </c>
      <c r="G371" s="16"/>
      <c r="H371" s="16"/>
      <c r="I371" s="16"/>
      <c r="J371" s="16"/>
      <c r="K371" s="16"/>
      <c r="L371" s="16"/>
      <c r="M371" s="16"/>
      <c r="N371" s="16"/>
      <c r="O371" s="16"/>
      <c r="P371" s="16"/>
      <c r="Q371" s="16"/>
      <c r="R371" s="16"/>
      <c r="S371" s="16"/>
      <c r="T371" s="16"/>
      <c r="U371" s="16"/>
      <c r="V371" s="16"/>
      <c r="W371" s="16"/>
      <c r="X371" s="16"/>
      <c r="Y371" s="16"/>
      <c r="Z371" s="16"/>
      <c r="AA371" s="16"/>
    </row>
    <row r="372">
      <c r="A372" s="16" t="s">
        <v>1047</v>
      </c>
      <c r="B372" s="16" t="s">
        <v>1452</v>
      </c>
      <c r="C372" s="17">
        <v>4.7915117969546E13</v>
      </c>
      <c r="D372" s="16" t="s">
        <v>568</v>
      </c>
      <c r="E372" s="16" t="str">
        <f t="shared" si="1"/>
        <v>BREEZE-PRO-HI-2-0-KGKing</v>
      </c>
      <c r="F372" s="18" t="s">
        <v>1420</v>
      </c>
      <c r="G372" s="16"/>
      <c r="H372" s="16"/>
      <c r="I372" s="16"/>
      <c r="J372" s="16"/>
      <c r="K372" s="16"/>
      <c r="L372" s="16"/>
      <c r="M372" s="16"/>
      <c r="N372" s="16"/>
      <c r="O372" s="16"/>
      <c r="P372" s="16"/>
      <c r="Q372" s="16"/>
      <c r="R372" s="16"/>
      <c r="S372" s="16"/>
      <c r="T372" s="16"/>
      <c r="U372" s="16"/>
      <c r="V372" s="16"/>
      <c r="W372" s="16"/>
      <c r="X372" s="16"/>
      <c r="Y372" s="16"/>
      <c r="Z372" s="16"/>
      <c r="AA372" s="16"/>
    </row>
    <row r="373">
      <c r="A373" s="16" t="s">
        <v>1030</v>
      </c>
      <c r="B373" s="16" t="s">
        <v>1453</v>
      </c>
      <c r="C373" s="17">
        <v>4.791511692097E13</v>
      </c>
      <c r="D373" s="16" t="s">
        <v>670</v>
      </c>
      <c r="E373" s="16" t="str">
        <f t="shared" si="1"/>
        <v>LUX-ESTATE-FIRM-PTCalifornia King</v>
      </c>
      <c r="F373" s="18" t="s">
        <v>1379</v>
      </c>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s>
  <drawing r:id="rId37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9.5"/>
  </cols>
  <sheetData>
    <row r="1">
      <c r="A1" s="3" t="s">
        <v>9</v>
      </c>
      <c r="B1" s="3" t="s">
        <v>13</v>
      </c>
      <c r="C1" s="3" t="s">
        <v>14</v>
      </c>
      <c r="D1" s="3" t="s">
        <v>15</v>
      </c>
      <c r="E1" s="3" t="s">
        <v>16</v>
      </c>
      <c r="F1" s="3" t="s">
        <v>18</v>
      </c>
      <c r="G1" s="3" t="s">
        <v>19</v>
      </c>
      <c r="H1" s="3" t="s">
        <v>20</v>
      </c>
      <c r="I1" s="3" t="s">
        <v>21</v>
      </c>
      <c r="J1" s="3" t="s">
        <v>22</v>
      </c>
      <c r="K1" s="3" t="s">
        <v>23</v>
      </c>
      <c r="L1" s="3" t="s">
        <v>24</v>
      </c>
      <c r="M1" s="3" t="s">
        <v>25</v>
      </c>
    </row>
    <row r="2">
      <c r="A2" s="3" t="s">
        <v>28</v>
      </c>
      <c r="B2" s="3" t="s">
        <v>30</v>
      </c>
      <c r="E2" s="3" t="s">
        <v>31</v>
      </c>
      <c r="F2" s="3" t="s">
        <v>33</v>
      </c>
      <c r="G2" s="3" t="s">
        <v>34</v>
      </c>
      <c r="H2" s="3" t="s">
        <v>35</v>
      </c>
      <c r="I2" s="3" t="s">
        <v>34</v>
      </c>
      <c r="J2" s="3" t="s">
        <v>36</v>
      </c>
      <c r="K2" s="3" t="s">
        <v>37</v>
      </c>
      <c r="L2" s="11" t="s">
        <v>1454</v>
      </c>
      <c r="M2" s="11" t="s">
        <v>1455</v>
      </c>
    </row>
    <row r="3">
      <c r="A3" s="3" t="s">
        <v>38</v>
      </c>
      <c r="B3" s="3" t="s">
        <v>30</v>
      </c>
      <c r="D3" s="3" t="s">
        <v>40</v>
      </c>
      <c r="E3" s="3" t="s">
        <v>31</v>
      </c>
      <c r="F3" s="3" t="s">
        <v>41</v>
      </c>
      <c r="G3" s="3" t="s">
        <v>34</v>
      </c>
      <c r="H3" s="3" t="s">
        <v>35</v>
      </c>
      <c r="I3" s="3" t="s">
        <v>34</v>
      </c>
      <c r="J3" s="3" t="s">
        <v>42</v>
      </c>
      <c r="K3" s="3" t="s">
        <v>37</v>
      </c>
      <c r="L3" s="11" t="s">
        <v>1456</v>
      </c>
      <c r="M3" s="11" t="s">
        <v>1457</v>
      </c>
    </row>
    <row r="4">
      <c r="A4" s="3" t="s">
        <v>46</v>
      </c>
      <c r="B4" s="3" t="s">
        <v>30</v>
      </c>
      <c r="D4" s="3" t="s">
        <v>48</v>
      </c>
      <c r="E4" s="3" t="s">
        <v>31</v>
      </c>
      <c r="F4" s="3" t="s">
        <v>41</v>
      </c>
      <c r="G4" s="3" t="s">
        <v>42</v>
      </c>
      <c r="H4" s="3" t="s">
        <v>49</v>
      </c>
      <c r="I4" s="3" t="s">
        <v>34</v>
      </c>
      <c r="J4" s="3" t="s">
        <v>50</v>
      </c>
      <c r="K4" s="3" t="s">
        <v>51</v>
      </c>
      <c r="L4" s="11" t="s">
        <v>1458</v>
      </c>
      <c r="M4" s="11" t="s">
        <v>1459</v>
      </c>
    </row>
    <row r="5">
      <c r="A5" s="3" t="s">
        <v>52</v>
      </c>
      <c r="B5" s="3" t="s">
        <v>30</v>
      </c>
      <c r="C5" s="3" t="s">
        <v>54</v>
      </c>
      <c r="D5" s="3" t="s">
        <v>55</v>
      </c>
      <c r="E5" s="3" t="s">
        <v>31</v>
      </c>
      <c r="F5" s="3" t="s">
        <v>33</v>
      </c>
      <c r="G5" s="3" t="s">
        <v>36</v>
      </c>
      <c r="H5" s="3" t="s">
        <v>35</v>
      </c>
      <c r="I5" s="3" t="s">
        <v>36</v>
      </c>
      <c r="J5" s="3" t="s">
        <v>36</v>
      </c>
      <c r="K5" s="3" t="s">
        <v>37</v>
      </c>
      <c r="L5" s="11" t="s">
        <v>1460</v>
      </c>
      <c r="M5" s="11" t="s">
        <v>1461</v>
      </c>
    </row>
    <row r="6">
      <c r="A6" s="3" t="s">
        <v>56</v>
      </c>
      <c r="B6" s="3" t="s">
        <v>58</v>
      </c>
      <c r="F6" s="3" t="s">
        <v>59</v>
      </c>
      <c r="G6" s="3" t="s">
        <v>42</v>
      </c>
      <c r="H6" s="3" t="s">
        <v>35</v>
      </c>
      <c r="I6" s="3" t="s">
        <v>42</v>
      </c>
      <c r="J6" s="3" t="s">
        <v>34</v>
      </c>
      <c r="K6" s="3" t="s">
        <v>37</v>
      </c>
      <c r="L6" s="11" t="s">
        <v>1462</v>
      </c>
      <c r="M6" s="11" t="s">
        <v>1463</v>
      </c>
    </row>
    <row r="7">
      <c r="A7" s="3" t="s">
        <v>62</v>
      </c>
      <c r="B7" s="3" t="s">
        <v>64</v>
      </c>
      <c r="D7" s="3" t="s">
        <v>65</v>
      </c>
      <c r="E7" s="3" t="s">
        <v>31</v>
      </c>
      <c r="F7" s="3" t="s">
        <v>33</v>
      </c>
      <c r="G7" s="3" t="s">
        <v>42</v>
      </c>
      <c r="H7" s="3" t="s">
        <v>35</v>
      </c>
      <c r="I7" s="3" t="s">
        <v>42</v>
      </c>
      <c r="J7" s="3" t="s">
        <v>42</v>
      </c>
      <c r="K7" s="3" t="s">
        <v>37</v>
      </c>
      <c r="L7" s="11" t="s">
        <v>1464</v>
      </c>
      <c r="M7" s="11" t="s">
        <v>1465</v>
      </c>
    </row>
    <row r="8">
      <c r="A8" s="3" t="s">
        <v>68</v>
      </c>
      <c r="B8" s="3" t="s">
        <v>64</v>
      </c>
      <c r="D8" s="3" t="s">
        <v>70</v>
      </c>
      <c r="E8" s="3" t="s">
        <v>31</v>
      </c>
      <c r="F8" s="3" t="s">
        <v>41</v>
      </c>
      <c r="G8" s="3" t="s">
        <v>42</v>
      </c>
      <c r="H8" s="3" t="s">
        <v>35</v>
      </c>
      <c r="I8" s="3" t="s">
        <v>42</v>
      </c>
      <c r="J8" s="3" t="s">
        <v>42</v>
      </c>
      <c r="K8" s="3" t="s">
        <v>37</v>
      </c>
      <c r="L8" s="11" t="s">
        <v>1466</v>
      </c>
      <c r="M8" s="11" t="s">
        <v>1467</v>
      </c>
    </row>
    <row r="9">
      <c r="A9" s="3" t="s">
        <v>73</v>
      </c>
      <c r="B9" s="3" t="s">
        <v>64</v>
      </c>
      <c r="D9" s="3" t="s">
        <v>75</v>
      </c>
      <c r="E9" s="3" t="s">
        <v>31</v>
      </c>
      <c r="F9" s="3" t="s">
        <v>33</v>
      </c>
      <c r="G9" s="3" t="s">
        <v>42</v>
      </c>
      <c r="H9" s="3" t="s">
        <v>76</v>
      </c>
      <c r="I9" s="3" t="s">
        <v>50</v>
      </c>
      <c r="J9" s="3" t="s">
        <v>42</v>
      </c>
      <c r="K9" s="3" t="s">
        <v>77</v>
      </c>
      <c r="L9" s="11" t="s">
        <v>1468</v>
      </c>
      <c r="M9" s="11" t="s">
        <v>1469</v>
      </c>
    </row>
    <row r="10">
      <c r="A10" s="3" t="s">
        <v>80</v>
      </c>
      <c r="B10" s="3" t="s">
        <v>64</v>
      </c>
      <c r="D10" s="3" t="s">
        <v>82</v>
      </c>
      <c r="E10" s="3" t="s">
        <v>31</v>
      </c>
      <c r="F10" s="3" t="s">
        <v>41</v>
      </c>
      <c r="G10" s="3" t="s">
        <v>42</v>
      </c>
      <c r="H10" s="3" t="s">
        <v>35</v>
      </c>
      <c r="I10" s="3" t="s">
        <v>50</v>
      </c>
      <c r="J10" s="3" t="s">
        <v>50</v>
      </c>
      <c r="K10" s="3" t="s">
        <v>37</v>
      </c>
      <c r="L10" s="11" t="s">
        <v>1470</v>
      </c>
      <c r="M10" s="11" t="s">
        <v>1470</v>
      </c>
    </row>
    <row r="11">
      <c r="A11" s="3" t="s">
        <v>85</v>
      </c>
      <c r="B11" s="3" t="s">
        <v>64</v>
      </c>
      <c r="D11" s="3" t="s">
        <v>75</v>
      </c>
      <c r="E11" s="3" t="s">
        <v>31</v>
      </c>
      <c r="F11" s="3" t="s">
        <v>33</v>
      </c>
      <c r="G11" s="3" t="s">
        <v>42</v>
      </c>
      <c r="H11" s="3" t="s">
        <v>35</v>
      </c>
      <c r="I11" s="3" t="s">
        <v>50</v>
      </c>
      <c r="J11" s="3" t="s">
        <v>42</v>
      </c>
      <c r="K11" s="3" t="s">
        <v>37</v>
      </c>
      <c r="L11" s="11" t="s">
        <v>1471</v>
      </c>
      <c r="M11" s="11" t="s">
        <v>1472</v>
      </c>
    </row>
    <row r="12">
      <c r="A12" s="3" t="s">
        <v>89</v>
      </c>
      <c r="B12" s="3" t="s">
        <v>64</v>
      </c>
      <c r="D12" s="3" t="s">
        <v>91</v>
      </c>
      <c r="E12" s="3" t="s">
        <v>31</v>
      </c>
      <c r="F12" s="3" t="s">
        <v>33</v>
      </c>
      <c r="G12" s="3" t="s">
        <v>50</v>
      </c>
      <c r="H12" s="3" t="s">
        <v>49</v>
      </c>
      <c r="I12" s="3" t="s">
        <v>50</v>
      </c>
      <c r="J12" s="3" t="s">
        <v>42</v>
      </c>
      <c r="K12" s="3" t="s">
        <v>51</v>
      </c>
      <c r="L12" s="11" t="s">
        <v>1473</v>
      </c>
      <c r="M12" s="11" t="s">
        <v>1474</v>
      </c>
    </row>
    <row r="13">
      <c r="A13" s="3" t="s">
        <v>94</v>
      </c>
      <c r="B13" s="3" t="s">
        <v>64</v>
      </c>
      <c r="D13" s="3" t="s">
        <v>96</v>
      </c>
      <c r="E13" s="3" t="s">
        <v>31</v>
      </c>
      <c r="F13" s="3" t="s">
        <v>41</v>
      </c>
      <c r="G13" s="3" t="s">
        <v>42</v>
      </c>
      <c r="H13" s="3" t="s">
        <v>35</v>
      </c>
      <c r="I13" s="3" t="s">
        <v>50</v>
      </c>
      <c r="J13" s="3" t="s">
        <v>42</v>
      </c>
      <c r="K13" s="3" t="s">
        <v>37</v>
      </c>
      <c r="L13" s="11" t="s">
        <v>1475</v>
      </c>
      <c r="M13" s="11" t="s">
        <v>1476</v>
      </c>
    </row>
    <row r="14">
      <c r="A14" s="3" t="s">
        <v>99</v>
      </c>
      <c r="B14" s="3" t="s">
        <v>64</v>
      </c>
      <c r="D14" s="3" t="s">
        <v>101</v>
      </c>
      <c r="E14" s="3" t="s">
        <v>31</v>
      </c>
      <c r="F14" s="3" t="s">
        <v>33</v>
      </c>
      <c r="G14" s="3" t="s">
        <v>50</v>
      </c>
      <c r="H14" s="3" t="s">
        <v>49</v>
      </c>
      <c r="I14" s="3" t="s">
        <v>50</v>
      </c>
      <c r="J14" s="3" t="s">
        <v>42</v>
      </c>
      <c r="K14" s="3" t="s">
        <v>51</v>
      </c>
      <c r="L14" s="11" t="s">
        <v>1477</v>
      </c>
      <c r="M14" s="11" t="s">
        <v>1478</v>
      </c>
    </row>
    <row r="15">
      <c r="A15" s="3" t="s">
        <v>104</v>
      </c>
      <c r="B15" s="3" t="s">
        <v>64</v>
      </c>
      <c r="D15" s="3" t="s">
        <v>106</v>
      </c>
      <c r="E15" s="3" t="s">
        <v>31</v>
      </c>
      <c r="F15" s="3" t="s">
        <v>41</v>
      </c>
      <c r="G15" s="3" t="s">
        <v>50</v>
      </c>
      <c r="H15" s="3" t="s">
        <v>35</v>
      </c>
      <c r="I15" s="3" t="s">
        <v>50</v>
      </c>
      <c r="J15" s="3" t="s">
        <v>42</v>
      </c>
      <c r="K15" s="3" t="s">
        <v>37</v>
      </c>
      <c r="L15" s="11" t="s">
        <v>1479</v>
      </c>
      <c r="M15" s="11" t="s">
        <v>1480</v>
      </c>
    </row>
    <row r="16">
      <c r="A16" s="3" t="s">
        <v>109</v>
      </c>
      <c r="B16" s="3" t="s">
        <v>64</v>
      </c>
      <c r="D16" s="3" t="s">
        <v>111</v>
      </c>
      <c r="E16" s="3" t="s">
        <v>31</v>
      </c>
      <c r="F16" s="3" t="s">
        <v>33</v>
      </c>
      <c r="G16" s="3" t="s">
        <v>50</v>
      </c>
      <c r="H16" s="3" t="s">
        <v>76</v>
      </c>
      <c r="I16" s="3" t="s">
        <v>50</v>
      </c>
      <c r="J16" s="3" t="s">
        <v>50</v>
      </c>
      <c r="K16" s="3" t="s">
        <v>77</v>
      </c>
      <c r="L16" s="11" t="s">
        <v>1481</v>
      </c>
      <c r="M16" s="11" t="s">
        <v>1481</v>
      </c>
    </row>
    <row r="17">
      <c r="A17" s="3" t="s">
        <v>112</v>
      </c>
      <c r="B17" s="3" t="s">
        <v>114</v>
      </c>
      <c r="C17" s="3" t="s">
        <v>54</v>
      </c>
      <c r="E17" s="3" t="s">
        <v>31</v>
      </c>
      <c r="F17" s="3" t="s">
        <v>41</v>
      </c>
      <c r="G17" s="3" t="s">
        <v>34</v>
      </c>
      <c r="H17" s="3" t="s">
        <v>35</v>
      </c>
      <c r="I17" s="3" t="s">
        <v>34</v>
      </c>
      <c r="J17" s="3" t="s">
        <v>34</v>
      </c>
      <c r="K17" s="3" t="s">
        <v>37</v>
      </c>
      <c r="L17" s="11" t="s">
        <v>1482</v>
      </c>
      <c r="M17" s="11" t="s">
        <v>1483</v>
      </c>
    </row>
    <row r="18">
      <c r="A18" s="3" t="s">
        <v>115</v>
      </c>
      <c r="B18" s="3" t="s">
        <v>114</v>
      </c>
      <c r="C18" s="3" t="s">
        <v>54</v>
      </c>
      <c r="E18" s="3" t="s">
        <v>31</v>
      </c>
      <c r="F18" s="3" t="s">
        <v>41</v>
      </c>
      <c r="G18" s="3" t="s">
        <v>42</v>
      </c>
      <c r="H18" s="3" t="s">
        <v>76</v>
      </c>
      <c r="I18" s="3" t="s">
        <v>42</v>
      </c>
      <c r="J18" s="3" t="s">
        <v>42</v>
      </c>
      <c r="K18" s="3" t="s">
        <v>77</v>
      </c>
      <c r="L18" s="11" t="s">
        <v>1484</v>
      </c>
      <c r="M18" s="11" t="s">
        <v>1485</v>
      </c>
    </row>
    <row r="19">
      <c r="A19" s="3" t="s">
        <v>117</v>
      </c>
      <c r="B19" s="3" t="s">
        <v>114</v>
      </c>
      <c r="C19" s="3" t="s">
        <v>54</v>
      </c>
      <c r="E19" s="3" t="s">
        <v>31</v>
      </c>
      <c r="F19" s="3" t="s">
        <v>41</v>
      </c>
      <c r="G19" s="3" t="s">
        <v>50</v>
      </c>
      <c r="H19" s="3" t="s">
        <v>49</v>
      </c>
      <c r="I19" s="3" t="s">
        <v>42</v>
      </c>
      <c r="J19" s="3" t="s">
        <v>42</v>
      </c>
      <c r="K19" s="3" t="s">
        <v>51</v>
      </c>
      <c r="L19" s="11" t="s">
        <v>1486</v>
      </c>
      <c r="M19" s="11" t="s">
        <v>1487</v>
      </c>
    </row>
    <row r="20">
      <c r="A20" s="3" t="s">
        <v>119</v>
      </c>
      <c r="B20" s="3" t="s">
        <v>114</v>
      </c>
      <c r="C20" s="3" t="s">
        <v>54</v>
      </c>
      <c r="D20" s="3" t="s">
        <v>121</v>
      </c>
      <c r="E20" s="3" t="s">
        <v>31</v>
      </c>
      <c r="F20" s="3" t="s">
        <v>33</v>
      </c>
      <c r="G20" s="3" t="s">
        <v>36</v>
      </c>
      <c r="H20" s="3" t="s">
        <v>76</v>
      </c>
      <c r="I20" s="3" t="s">
        <v>36</v>
      </c>
      <c r="J20" s="3" t="s">
        <v>36</v>
      </c>
      <c r="K20" s="3" t="s">
        <v>77</v>
      </c>
      <c r="L20" s="11" t="s">
        <v>1488</v>
      </c>
      <c r="M20" s="11" t="s">
        <v>1489</v>
      </c>
    </row>
    <row r="21">
      <c r="A21" s="3" t="s">
        <v>122</v>
      </c>
      <c r="B21" s="3" t="s">
        <v>124</v>
      </c>
      <c r="F21" s="3" t="s">
        <v>33</v>
      </c>
      <c r="G21" s="3" t="s">
        <v>34</v>
      </c>
      <c r="H21" s="3" t="s">
        <v>35</v>
      </c>
      <c r="I21" s="3" t="s">
        <v>34</v>
      </c>
      <c r="J21" s="3" t="s">
        <v>34</v>
      </c>
      <c r="K21" s="3" t="s">
        <v>37</v>
      </c>
      <c r="L21" s="11" t="s">
        <v>1490</v>
      </c>
      <c r="M21" s="11" t="s">
        <v>1491</v>
      </c>
    </row>
    <row r="22">
      <c r="A22" s="3" t="s">
        <v>127</v>
      </c>
      <c r="B22" s="3" t="s">
        <v>129</v>
      </c>
      <c r="C22" s="3" t="s">
        <v>54</v>
      </c>
      <c r="D22" s="3" t="s">
        <v>130</v>
      </c>
      <c r="E22" s="3" t="s">
        <v>31</v>
      </c>
      <c r="F22" s="3" t="s">
        <v>41</v>
      </c>
      <c r="G22" s="3" t="s">
        <v>34</v>
      </c>
      <c r="H22" s="3" t="s">
        <v>35</v>
      </c>
      <c r="I22" s="3" t="s">
        <v>34</v>
      </c>
      <c r="J22" s="3" t="s">
        <v>34</v>
      </c>
      <c r="K22" s="3" t="s">
        <v>37</v>
      </c>
      <c r="L22" s="11" t="s">
        <v>1492</v>
      </c>
      <c r="M22" s="11" t="s">
        <v>1493</v>
      </c>
    </row>
    <row r="23">
      <c r="A23" s="3" t="s">
        <v>131</v>
      </c>
      <c r="B23" s="3" t="s">
        <v>133</v>
      </c>
      <c r="C23" s="3" t="s">
        <v>54</v>
      </c>
      <c r="E23" s="3" t="s">
        <v>134</v>
      </c>
      <c r="F23" s="3" t="s">
        <v>59</v>
      </c>
      <c r="G23" s="3" t="s">
        <v>36</v>
      </c>
      <c r="H23" s="3" t="s">
        <v>49</v>
      </c>
      <c r="I23" s="3" t="s">
        <v>42</v>
      </c>
      <c r="J23" s="3" t="s">
        <v>36</v>
      </c>
      <c r="K23" s="3" t="s">
        <v>51</v>
      </c>
      <c r="L23" s="11" t="s">
        <v>1494</v>
      </c>
      <c r="M23" s="11" t="s">
        <v>1495</v>
      </c>
    </row>
    <row r="24">
      <c r="A24" s="3" t="s">
        <v>135</v>
      </c>
      <c r="B24" s="3" t="s">
        <v>133</v>
      </c>
      <c r="C24" s="3" t="s">
        <v>54</v>
      </c>
      <c r="E24" s="3" t="s">
        <v>134</v>
      </c>
      <c r="F24" s="3" t="s">
        <v>41</v>
      </c>
      <c r="G24" s="3" t="s">
        <v>36</v>
      </c>
      <c r="H24" s="3" t="s">
        <v>76</v>
      </c>
      <c r="I24" s="3" t="s">
        <v>42</v>
      </c>
      <c r="J24" s="3" t="s">
        <v>36</v>
      </c>
      <c r="K24" s="3" t="s">
        <v>77</v>
      </c>
      <c r="L24" s="11" t="s">
        <v>1496</v>
      </c>
      <c r="M24" s="11" t="s">
        <v>1497</v>
      </c>
    </row>
    <row r="25">
      <c r="A25" s="3" t="s">
        <v>137</v>
      </c>
      <c r="B25" s="3" t="s">
        <v>133</v>
      </c>
      <c r="C25" s="3" t="s">
        <v>54</v>
      </c>
      <c r="E25" s="3" t="s">
        <v>134</v>
      </c>
      <c r="F25" s="3" t="s">
        <v>59</v>
      </c>
      <c r="G25" s="3" t="s">
        <v>36</v>
      </c>
      <c r="H25" s="3" t="s">
        <v>35</v>
      </c>
      <c r="I25" s="3" t="s">
        <v>42</v>
      </c>
      <c r="J25" s="3" t="s">
        <v>36</v>
      </c>
      <c r="K25" s="3" t="s">
        <v>37</v>
      </c>
      <c r="L25" s="11" t="s">
        <v>1498</v>
      </c>
      <c r="M25" s="11" t="s">
        <v>1499</v>
      </c>
    </row>
    <row r="26">
      <c r="A26" s="3" t="s">
        <v>141</v>
      </c>
      <c r="B26" s="3" t="s">
        <v>143</v>
      </c>
      <c r="C26" s="3" t="s">
        <v>54</v>
      </c>
      <c r="E26" s="3" t="s">
        <v>31</v>
      </c>
      <c r="F26" s="3" t="s">
        <v>59</v>
      </c>
      <c r="G26" s="3" t="s">
        <v>36</v>
      </c>
      <c r="H26" s="3" t="s">
        <v>76</v>
      </c>
      <c r="I26" s="3" t="s">
        <v>34</v>
      </c>
      <c r="J26" s="3" t="s">
        <v>36</v>
      </c>
      <c r="K26" s="3" t="s">
        <v>144</v>
      </c>
      <c r="L26" s="11" t="s">
        <v>1500</v>
      </c>
      <c r="M26" s="11" t="s">
        <v>1501</v>
      </c>
    </row>
    <row r="27">
      <c r="A27" s="3" t="s">
        <v>145</v>
      </c>
      <c r="B27" s="3" t="s">
        <v>143</v>
      </c>
      <c r="C27" s="3" t="s">
        <v>54</v>
      </c>
      <c r="E27" s="3" t="s">
        <v>31</v>
      </c>
      <c r="F27" s="3" t="s">
        <v>59</v>
      </c>
      <c r="G27" s="3" t="s">
        <v>36</v>
      </c>
      <c r="H27" s="3" t="s">
        <v>35</v>
      </c>
      <c r="I27" s="3" t="s">
        <v>36</v>
      </c>
      <c r="J27" s="3" t="s">
        <v>34</v>
      </c>
      <c r="K27" s="3" t="s">
        <v>37</v>
      </c>
      <c r="L27" s="11" t="s">
        <v>1502</v>
      </c>
      <c r="M27" s="11" t="s">
        <v>1503</v>
      </c>
    </row>
    <row r="28">
      <c r="A28" s="3" t="s">
        <v>147</v>
      </c>
      <c r="B28" s="3" t="s">
        <v>149</v>
      </c>
      <c r="C28" s="3" t="s">
        <v>54</v>
      </c>
      <c r="F28" s="3" t="s">
        <v>41</v>
      </c>
      <c r="G28" s="3" t="s">
        <v>36</v>
      </c>
      <c r="H28" s="3" t="s">
        <v>49</v>
      </c>
      <c r="I28" s="3" t="s">
        <v>34</v>
      </c>
      <c r="J28" s="3" t="s">
        <v>34</v>
      </c>
      <c r="K28" s="3" t="s">
        <v>51</v>
      </c>
      <c r="L28" s="11" t="s">
        <v>1504</v>
      </c>
      <c r="M28" s="11" t="s">
        <v>1505</v>
      </c>
    </row>
    <row r="29">
      <c r="A29" s="3" t="s">
        <v>150</v>
      </c>
      <c r="B29" s="3" t="s">
        <v>149</v>
      </c>
      <c r="C29" s="3" t="s">
        <v>54</v>
      </c>
      <c r="E29" s="3" t="s">
        <v>31</v>
      </c>
      <c r="F29" s="3" t="s">
        <v>41</v>
      </c>
      <c r="G29" s="3" t="s">
        <v>34</v>
      </c>
      <c r="H29" s="3" t="s">
        <v>76</v>
      </c>
      <c r="I29" s="3" t="s">
        <v>42</v>
      </c>
      <c r="J29" s="3" t="s">
        <v>34</v>
      </c>
      <c r="K29" s="3" t="s">
        <v>77</v>
      </c>
      <c r="L29" s="11" t="s">
        <v>1506</v>
      </c>
      <c r="M29" s="11" t="s">
        <v>1507</v>
      </c>
    </row>
    <row r="30">
      <c r="A30" s="3" t="s">
        <v>154</v>
      </c>
      <c r="B30" s="3" t="s">
        <v>149</v>
      </c>
      <c r="C30" s="3" t="s">
        <v>54</v>
      </c>
      <c r="E30" s="3" t="s">
        <v>31</v>
      </c>
      <c r="F30" s="3" t="s">
        <v>41</v>
      </c>
      <c r="G30" s="3" t="s">
        <v>42</v>
      </c>
      <c r="H30" s="3" t="s">
        <v>35</v>
      </c>
      <c r="I30" s="3" t="s">
        <v>42</v>
      </c>
      <c r="J30" s="3" t="s">
        <v>34</v>
      </c>
      <c r="K30" s="3" t="s">
        <v>37</v>
      </c>
      <c r="L30" s="11" t="s">
        <v>1508</v>
      </c>
      <c r="M30" s="11" t="s">
        <v>1509</v>
      </c>
    </row>
    <row r="31">
      <c r="A31" s="3" t="s">
        <v>156</v>
      </c>
      <c r="B31" s="3" t="s">
        <v>158</v>
      </c>
      <c r="C31" s="3" t="s">
        <v>54</v>
      </c>
      <c r="E31" s="3" t="s">
        <v>31</v>
      </c>
      <c r="F31" s="3" t="s">
        <v>59</v>
      </c>
      <c r="G31" s="3" t="s">
        <v>34</v>
      </c>
      <c r="H31" s="3" t="s">
        <v>35</v>
      </c>
      <c r="I31" s="3" t="s">
        <v>34</v>
      </c>
      <c r="J31" s="3" t="s">
        <v>34</v>
      </c>
      <c r="K31" s="3" t="s">
        <v>37</v>
      </c>
      <c r="L31" s="11" t="s">
        <v>1510</v>
      </c>
      <c r="M31" s="11" t="s">
        <v>1511</v>
      </c>
    </row>
    <row r="32">
      <c r="A32" s="3" t="s">
        <v>159</v>
      </c>
      <c r="B32" s="3" t="s">
        <v>158</v>
      </c>
      <c r="C32" s="3" t="s">
        <v>54</v>
      </c>
      <c r="E32" s="3" t="s">
        <v>31</v>
      </c>
      <c r="F32" s="3" t="s">
        <v>59</v>
      </c>
      <c r="G32" s="3" t="s">
        <v>42</v>
      </c>
      <c r="H32" s="3" t="s">
        <v>49</v>
      </c>
      <c r="I32" s="3" t="s">
        <v>34</v>
      </c>
      <c r="J32" s="3" t="s">
        <v>34</v>
      </c>
      <c r="K32" s="3" t="s">
        <v>51</v>
      </c>
      <c r="L32" s="11" t="s">
        <v>1512</v>
      </c>
      <c r="M32" s="11" t="s">
        <v>1513</v>
      </c>
    </row>
    <row r="33">
      <c r="A33" s="3" t="s">
        <v>163</v>
      </c>
      <c r="B33" s="3" t="s">
        <v>165</v>
      </c>
      <c r="C33" s="3" t="s">
        <v>54</v>
      </c>
      <c r="D33" s="3" t="s">
        <v>166</v>
      </c>
      <c r="E33" s="3" t="s">
        <v>31</v>
      </c>
      <c r="F33" s="3" t="s">
        <v>41</v>
      </c>
      <c r="G33" s="3" t="s">
        <v>36</v>
      </c>
      <c r="H33" s="3" t="s">
        <v>35</v>
      </c>
      <c r="I33" s="3" t="s">
        <v>34</v>
      </c>
      <c r="J33" s="3" t="s">
        <v>36</v>
      </c>
      <c r="K33" s="3" t="s">
        <v>37</v>
      </c>
      <c r="L33" s="11" t="s">
        <v>1514</v>
      </c>
      <c r="M33" s="11" t="s">
        <v>1515</v>
      </c>
    </row>
    <row r="34">
      <c r="A34" s="3" t="s">
        <v>169</v>
      </c>
      <c r="B34" s="3" t="s">
        <v>171</v>
      </c>
      <c r="D34" s="3" t="s">
        <v>172</v>
      </c>
      <c r="E34" s="3" t="s">
        <v>31</v>
      </c>
      <c r="F34" s="3" t="s">
        <v>59</v>
      </c>
      <c r="G34" s="3" t="s">
        <v>42</v>
      </c>
      <c r="H34" s="3" t="s">
        <v>49</v>
      </c>
      <c r="I34" s="3" t="s">
        <v>42</v>
      </c>
      <c r="J34" s="3" t="s">
        <v>42</v>
      </c>
      <c r="K34" s="3" t="s">
        <v>51</v>
      </c>
      <c r="L34" s="11" t="s">
        <v>1516</v>
      </c>
      <c r="M34" s="11" t="s">
        <v>1517</v>
      </c>
    </row>
    <row r="35">
      <c r="A35" s="3" t="s">
        <v>173</v>
      </c>
      <c r="B35" s="3" t="s">
        <v>171</v>
      </c>
      <c r="D35" s="3" t="s">
        <v>175</v>
      </c>
      <c r="E35" s="3" t="s">
        <v>31</v>
      </c>
      <c r="F35" s="3" t="s">
        <v>59</v>
      </c>
      <c r="G35" s="3" t="s">
        <v>42</v>
      </c>
      <c r="H35" s="3" t="s">
        <v>35</v>
      </c>
      <c r="I35" s="3" t="s">
        <v>42</v>
      </c>
      <c r="J35" s="3" t="s">
        <v>42</v>
      </c>
      <c r="K35" s="3" t="s">
        <v>37</v>
      </c>
      <c r="L35" s="11" t="s">
        <v>1518</v>
      </c>
      <c r="M35" s="11" t="s">
        <v>1519</v>
      </c>
    </row>
    <row r="36">
      <c r="A36" s="3" t="s">
        <v>176</v>
      </c>
      <c r="B36" s="3" t="s">
        <v>171</v>
      </c>
      <c r="D36" s="3" t="s">
        <v>178</v>
      </c>
      <c r="E36" s="3" t="s">
        <v>31</v>
      </c>
      <c r="F36" s="3" t="s">
        <v>59</v>
      </c>
      <c r="G36" s="3" t="s">
        <v>50</v>
      </c>
      <c r="H36" s="3" t="s">
        <v>49</v>
      </c>
      <c r="I36" s="3" t="s">
        <v>42</v>
      </c>
      <c r="J36" s="3" t="s">
        <v>42</v>
      </c>
      <c r="K36" s="3" t="s">
        <v>51</v>
      </c>
      <c r="L36" s="11" t="s">
        <v>1520</v>
      </c>
      <c r="M36" s="11" t="s">
        <v>1521</v>
      </c>
    </row>
    <row r="37">
      <c r="A37" s="3" t="s">
        <v>179</v>
      </c>
      <c r="B37" s="3" t="s">
        <v>181</v>
      </c>
      <c r="C37" s="3" t="s">
        <v>54</v>
      </c>
      <c r="E37" s="3" t="s">
        <v>31</v>
      </c>
      <c r="F37" s="3" t="s">
        <v>59</v>
      </c>
      <c r="G37" s="3" t="s">
        <v>42</v>
      </c>
      <c r="H37" s="3" t="s">
        <v>49</v>
      </c>
      <c r="I37" s="3" t="s">
        <v>34</v>
      </c>
      <c r="J37" s="3" t="s">
        <v>34</v>
      </c>
      <c r="K37" s="3" t="s">
        <v>182</v>
      </c>
      <c r="L37" s="11" t="s">
        <v>1522</v>
      </c>
      <c r="M37" s="11" t="s">
        <v>1523</v>
      </c>
    </row>
    <row r="38">
      <c r="A38" s="3" t="s">
        <v>185</v>
      </c>
      <c r="B38" s="3" t="s">
        <v>181</v>
      </c>
      <c r="C38" s="3" t="s">
        <v>54</v>
      </c>
      <c r="E38" s="3" t="s">
        <v>31</v>
      </c>
      <c r="F38" s="3" t="s">
        <v>33</v>
      </c>
      <c r="G38" s="3" t="s">
        <v>34</v>
      </c>
      <c r="H38" s="3" t="s">
        <v>35</v>
      </c>
      <c r="I38" s="3" t="s">
        <v>34</v>
      </c>
      <c r="J38" s="3" t="s">
        <v>36</v>
      </c>
      <c r="K38" s="3" t="s">
        <v>37</v>
      </c>
      <c r="L38" s="11" t="s">
        <v>1524</v>
      </c>
      <c r="M38" s="11" t="s">
        <v>1525</v>
      </c>
    </row>
    <row r="39">
      <c r="A39" s="3" t="s">
        <v>187</v>
      </c>
      <c r="B39" s="3" t="s">
        <v>181</v>
      </c>
      <c r="C39" s="3" t="s">
        <v>54</v>
      </c>
      <c r="F39" s="3" t="s">
        <v>33</v>
      </c>
      <c r="G39" s="3" t="s">
        <v>42</v>
      </c>
      <c r="H39" s="3" t="s">
        <v>35</v>
      </c>
      <c r="I39" s="3" t="s">
        <v>34</v>
      </c>
      <c r="J39" s="3" t="s">
        <v>34</v>
      </c>
      <c r="K39" s="3" t="s">
        <v>37</v>
      </c>
      <c r="L39" s="11" t="s">
        <v>1526</v>
      </c>
      <c r="M39" s="11" t="s">
        <v>1527</v>
      </c>
    </row>
    <row r="40">
      <c r="A40" s="3" t="s">
        <v>189</v>
      </c>
      <c r="B40" s="3" t="s">
        <v>191</v>
      </c>
      <c r="C40" s="3" t="s">
        <v>54</v>
      </c>
      <c r="D40" s="3" t="s">
        <v>192</v>
      </c>
      <c r="E40" s="3" t="s">
        <v>31</v>
      </c>
      <c r="F40" s="3" t="s">
        <v>59</v>
      </c>
      <c r="G40" s="3" t="s">
        <v>36</v>
      </c>
      <c r="H40" s="3" t="s">
        <v>35</v>
      </c>
      <c r="I40" s="3" t="s">
        <v>36</v>
      </c>
      <c r="J40" s="3" t="s">
        <v>36</v>
      </c>
      <c r="K40" s="3" t="s">
        <v>37</v>
      </c>
      <c r="L40" s="11" t="s">
        <v>1528</v>
      </c>
      <c r="M40" s="11" t="s">
        <v>1529</v>
      </c>
    </row>
    <row r="41">
      <c r="A41" s="3" t="s">
        <v>193</v>
      </c>
      <c r="B41" s="3" t="s">
        <v>195</v>
      </c>
      <c r="C41" s="3" t="s">
        <v>54</v>
      </c>
      <c r="D41" s="3" t="s">
        <v>196</v>
      </c>
      <c r="E41" s="3" t="s">
        <v>31</v>
      </c>
      <c r="F41" s="3" t="s">
        <v>59</v>
      </c>
      <c r="G41" s="3" t="s">
        <v>34</v>
      </c>
      <c r="H41" s="3" t="s">
        <v>35</v>
      </c>
      <c r="I41" s="3" t="s">
        <v>34</v>
      </c>
      <c r="J41" s="3" t="s">
        <v>36</v>
      </c>
      <c r="K41" s="3" t="s">
        <v>37</v>
      </c>
      <c r="L41" s="11" t="s">
        <v>1530</v>
      </c>
      <c r="M41" s="11" t="s">
        <v>1531</v>
      </c>
    </row>
    <row r="42">
      <c r="A42" s="3" t="s">
        <v>197</v>
      </c>
      <c r="B42" s="3" t="s">
        <v>199</v>
      </c>
      <c r="D42" s="3" t="s">
        <v>200</v>
      </c>
      <c r="E42" s="3" t="s">
        <v>31</v>
      </c>
      <c r="F42" s="3" t="s">
        <v>59</v>
      </c>
      <c r="G42" s="3" t="s">
        <v>34</v>
      </c>
      <c r="H42" s="3" t="s">
        <v>35</v>
      </c>
      <c r="I42" s="3" t="s">
        <v>42</v>
      </c>
      <c r="J42" s="3" t="s">
        <v>34</v>
      </c>
      <c r="K42" s="3" t="s">
        <v>37</v>
      </c>
      <c r="L42" s="11" t="s">
        <v>1532</v>
      </c>
      <c r="M42" s="11" t="s">
        <v>1533</v>
      </c>
    </row>
    <row r="43">
      <c r="A43" s="3" t="s">
        <v>203</v>
      </c>
      <c r="B43" s="3" t="s">
        <v>205</v>
      </c>
      <c r="D43" s="3" t="s">
        <v>206</v>
      </c>
      <c r="E43" s="3" t="s">
        <v>31</v>
      </c>
      <c r="F43" s="3" t="s">
        <v>59</v>
      </c>
      <c r="G43" s="3" t="s">
        <v>34</v>
      </c>
      <c r="H43" s="3" t="s">
        <v>76</v>
      </c>
      <c r="I43" s="3" t="s">
        <v>50</v>
      </c>
      <c r="J43" s="3" t="s">
        <v>42</v>
      </c>
      <c r="K43" s="3" t="s">
        <v>144</v>
      </c>
      <c r="L43" s="11" t="s">
        <v>1534</v>
      </c>
      <c r="M43" s="11" t="s">
        <v>1535</v>
      </c>
    </row>
    <row r="44">
      <c r="A44" s="3" t="s">
        <v>209</v>
      </c>
      <c r="B44" s="3" t="s">
        <v>205</v>
      </c>
      <c r="D44" s="3" t="s">
        <v>211</v>
      </c>
      <c r="E44" s="3" t="s">
        <v>31</v>
      </c>
      <c r="F44" s="3" t="s">
        <v>59</v>
      </c>
      <c r="G44" s="3" t="s">
        <v>42</v>
      </c>
      <c r="H44" s="3" t="s">
        <v>35</v>
      </c>
      <c r="I44" s="3" t="s">
        <v>50</v>
      </c>
      <c r="J44" s="3" t="s">
        <v>42</v>
      </c>
      <c r="K44" s="3" t="s">
        <v>37</v>
      </c>
      <c r="L44" s="11" t="s">
        <v>1536</v>
      </c>
      <c r="M44" s="11" t="s">
        <v>1537</v>
      </c>
    </row>
    <row r="45">
      <c r="A45" s="3" t="s">
        <v>214</v>
      </c>
      <c r="B45" s="3" t="s">
        <v>205</v>
      </c>
      <c r="D45" s="3" t="s">
        <v>216</v>
      </c>
      <c r="E45" s="3" t="s">
        <v>31</v>
      </c>
      <c r="F45" s="3" t="s">
        <v>59</v>
      </c>
      <c r="G45" s="3" t="s">
        <v>50</v>
      </c>
      <c r="H45" s="3" t="s">
        <v>49</v>
      </c>
      <c r="I45" s="3" t="s">
        <v>50</v>
      </c>
      <c r="J45" s="3" t="s">
        <v>42</v>
      </c>
      <c r="K45" s="3" t="s">
        <v>51</v>
      </c>
      <c r="L45" s="11" t="s">
        <v>1538</v>
      </c>
      <c r="M45" s="11" t="s">
        <v>1539</v>
      </c>
    </row>
    <row r="46">
      <c r="A46" s="3" t="s">
        <v>219</v>
      </c>
      <c r="B46" s="3" t="s">
        <v>221</v>
      </c>
      <c r="D46" s="3" t="s">
        <v>222</v>
      </c>
      <c r="E46" s="3" t="s">
        <v>31</v>
      </c>
      <c r="F46" s="3" t="s">
        <v>59</v>
      </c>
      <c r="G46" s="3" t="s">
        <v>34</v>
      </c>
      <c r="H46" s="3" t="s">
        <v>76</v>
      </c>
      <c r="I46" s="3" t="s">
        <v>42</v>
      </c>
      <c r="J46" s="3" t="s">
        <v>34</v>
      </c>
      <c r="K46" s="3" t="s">
        <v>77</v>
      </c>
      <c r="L46" s="11" t="s">
        <v>1540</v>
      </c>
      <c r="M46" s="11" t="s">
        <v>1541</v>
      </c>
    </row>
    <row r="47">
      <c r="A47" s="3" t="s">
        <v>223</v>
      </c>
      <c r="B47" s="3" t="s">
        <v>221</v>
      </c>
      <c r="D47" s="3" t="s">
        <v>222</v>
      </c>
      <c r="E47" s="3" t="s">
        <v>31</v>
      </c>
      <c r="F47" s="3" t="s">
        <v>59</v>
      </c>
      <c r="G47" s="3" t="s">
        <v>34</v>
      </c>
      <c r="H47" s="3" t="s">
        <v>76</v>
      </c>
      <c r="I47" s="3" t="s">
        <v>42</v>
      </c>
      <c r="J47" s="3" t="s">
        <v>34</v>
      </c>
      <c r="K47" s="3" t="s">
        <v>77</v>
      </c>
      <c r="L47" s="11" t="s">
        <v>1542</v>
      </c>
      <c r="M47" s="11" t="s">
        <v>1543</v>
      </c>
    </row>
    <row r="48">
      <c r="A48" s="3" t="s">
        <v>227</v>
      </c>
      <c r="B48" s="3" t="s">
        <v>221</v>
      </c>
      <c r="D48" s="3" t="s">
        <v>229</v>
      </c>
      <c r="E48" s="3" t="s">
        <v>31</v>
      </c>
      <c r="F48" s="3" t="s">
        <v>59</v>
      </c>
      <c r="G48" s="3" t="s">
        <v>42</v>
      </c>
      <c r="H48" s="3" t="s">
        <v>35</v>
      </c>
      <c r="I48" s="3" t="s">
        <v>50</v>
      </c>
      <c r="J48" s="3" t="s">
        <v>42</v>
      </c>
      <c r="K48" s="3" t="s">
        <v>37</v>
      </c>
      <c r="L48" s="11" t="s">
        <v>1544</v>
      </c>
      <c r="M48" s="11" t="s">
        <v>1545</v>
      </c>
    </row>
    <row r="49">
      <c r="A49" s="3" t="s">
        <v>232</v>
      </c>
      <c r="B49" s="3" t="s">
        <v>234</v>
      </c>
      <c r="E49" s="3" t="s">
        <v>31</v>
      </c>
      <c r="F49" s="3" t="s">
        <v>59</v>
      </c>
      <c r="G49" s="3" t="s">
        <v>42</v>
      </c>
      <c r="H49" s="3" t="s">
        <v>35</v>
      </c>
      <c r="I49" s="3" t="s">
        <v>42</v>
      </c>
      <c r="J49" s="3" t="s">
        <v>34</v>
      </c>
      <c r="K49" s="3" t="s">
        <v>37</v>
      </c>
      <c r="L49" s="11" t="s">
        <v>1546</v>
      </c>
      <c r="M49" s="11" t="s">
        <v>1547</v>
      </c>
    </row>
    <row r="50">
      <c r="A50" s="3" t="s">
        <v>237</v>
      </c>
      <c r="B50" s="3" t="s">
        <v>234</v>
      </c>
      <c r="E50" s="3" t="s">
        <v>31</v>
      </c>
      <c r="F50" s="3" t="s">
        <v>59</v>
      </c>
      <c r="G50" s="3" t="s">
        <v>50</v>
      </c>
      <c r="H50" s="3" t="s">
        <v>35</v>
      </c>
      <c r="I50" s="3" t="s">
        <v>42</v>
      </c>
      <c r="J50" s="3" t="s">
        <v>42</v>
      </c>
      <c r="K50" s="3" t="s">
        <v>37</v>
      </c>
      <c r="L50" s="11" t="s">
        <v>1548</v>
      </c>
      <c r="M50" s="11" t="s">
        <v>1549</v>
      </c>
    </row>
    <row r="51">
      <c r="A51" s="3" t="s">
        <v>52</v>
      </c>
      <c r="B51" s="3" t="s">
        <v>30</v>
      </c>
      <c r="C51" s="3" t="s">
        <v>54</v>
      </c>
      <c r="D51" s="3" t="s">
        <v>244</v>
      </c>
      <c r="E51" s="3" t="s">
        <v>31</v>
      </c>
      <c r="F51" s="3" t="s">
        <v>33</v>
      </c>
      <c r="G51" s="3" t="s">
        <v>36</v>
      </c>
      <c r="H51" s="3" t="s">
        <v>35</v>
      </c>
      <c r="I51" s="3" t="s">
        <v>36</v>
      </c>
      <c r="J51" s="3" t="s">
        <v>36</v>
      </c>
      <c r="K51" s="3" t="s">
        <v>37</v>
      </c>
      <c r="L51" s="11" t="s">
        <v>1460</v>
      </c>
      <c r="M51" s="11" t="s">
        <v>1461</v>
      </c>
    </row>
    <row r="52">
      <c r="A52" s="3" t="s">
        <v>248</v>
      </c>
      <c r="B52" s="3" t="s">
        <v>58</v>
      </c>
      <c r="C52" s="3" t="s">
        <v>54</v>
      </c>
      <c r="D52" s="3" t="s">
        <v>250</v>
      </c>
      <c r="E52" s="3" t="s">
        <v>134</v>
      </c>
      <c r="F52" s="3" t="s">
        <v>59</v>
      </c>
      <c r="G52" s="3" t="s">
        <v>36</v>
      </c>
      <c r="H52" s="3" t="s">
        <v>35</v>
      </c>
      <c r="I52" s="3" t="s">
        <v>251</v>
      </c>
      <c r="J52" s="3" t="s">
        <v>36</v>
      </c>
      <c r="K52" s="3" t="s">
        <v>37</v>
      </c>
      <c r="L52" s="11" t="s">
        <v>1550</v>
      </c>
      <c r="M52" s="11" t="s">
        <v>1551</v>
      </c>
    </row>
    <row r="53">
      <c r="A53" s="3" t="s">
        <v>254</v>
      </c>
      <c r="B53" s="3" t="s">
        <v>58</v>
      </c>
      <c r="C53" s="3" t="s">
        <v>54</v>
      </c>
      <c r="D53" s="3" t="s">
        <v>256</v>
      </c>
      <c r="E53" s="3" t="s">
        <v>134</v>
      </c>
      <c r="F53" s="3" t="s">
        <v>59</v>
      </c>
      <c r="G53" s="3" t="s">
        <v>34</v>
      </c>
      <c r="H53" s="3" t="s">
        <v>35</v>
      </c>
      <c r="I53" s="3" t="s">
        <v>42</v>
      </c>
      <c r="J53" s="3" t="s">
        <v>36</v>
      </c>
      <c r="K53" s="3" t="s">
        <v>37</v>
      </c>
      <c r="L53" s="11" t="s">
        <v>1552</v>
      </c>
      <c r="M53" s="11" t="s">
        <v>1553</v>
      </c>
    </row>
    <row r="54">
      <c r="A54" s="3" t="s">
        <v>259</v>
      </c>
      <c r="B54" s="3" t="s">
        <v>58</v>
      </c>
      <c r="C54" s="3" t="s">
        <v>54</v>
      </c>
      <c r="D54" s="3" t="s">
        <v>261</v>
      </c>
      <c r="E54" s="3" t="s">
        <v>134</v>
      </c>
      <c r="F54" s="3" t="s">
        <v>33</v>
      </c>
      <c r="G54" s="3" t="s">
        <v>42</v>
      </c>
      <c r="H54" s="3" t="s">
        <v>49</v>
      </c>
      <c r="I54" s="3" t="s">
        <v>34</v>
      </c>
      <c r="J54" s="3" t="s">
        <v>36</v>
      </c>
      <c r="K54" s="3" t="s">
        <v>51</v>
      </c>
      <c r="L54" s="11" t="s">
        <v>1554</v>
      </c>
      <c r="M54" s="11" t="s">
        <v>1555</v>
      </c>
    </row>
    <row r="55">
      <c r="A55" s="3" t="s">
        <v>271</v>
      </c>
      <c r="B55" s="3" t="s">
        <v>114</v>
      </c>
      <c r="C55" s="3" t="s">
        <v>54</v>
      </c>
      <c r="D55" s="3" t="s">
        <v>273</v>
      </c>
      <c r="E55" s="3" t="s">
        <v>134</v>
      </c>
      <c r="F55" s="3" t="s">
        <v>33</v>
      </c>
      <c r="G55" s="3" t="s">
        <v>36</v>
      </c>
      <c r="H55" s="3" t="s">
        <v>35</v>
      </c>
      <c r="I55" s="3" t="s">
        <v>36</v>
      </c>
      <c r="J55" s="3" t="s">
        <v>36</v>
      </c>
      <c r="K55" s="3" t="s">
        <v>37</v>
      </c>
      <c r="L55" s="11" t="s">
        <v>1556</v>
      </c>
      <c r="M55" s="11" t="s">
        <v>1557</v>
      </c>
    </row>
    <row r="56">
      <c r="A56" s="3" t="s">
        <v>122</v>
      </c>
      <c r="B56" s="3" t="s">
        <v>124</v>
      </c>
      <c r="E56" s="3" t="s">
        <v>31</v>
      </c>
      <c r="F56" s="3" t="s">
        <v>33</v>
      </c>
      <c r="G56" s="3" t="s">
        <v>34</v>
      </c>
      <c r="H56" s="3" t="s">
        <v>35</v>
      </c>
      <c r="I56" s="3" t="s">
        <v>34</v>
      </c>
      <c r="J56" s="3" t="s">
        <v>34</v>
      </c>
      <c r="K56" s="3" t="s">
        <v>37</v>
      </c>
      <c r="L56" s="11" t="s">
        <v>1490</v>
      </c>
      <c r="M56" s="11" t="s">
        <v>1491</v>
      </c>
    </row>
    <row r="57">
      <c r="A57" s="3" t="s">
        <v>283</v>
      </c>
      <c r="B57" s="3" t="s">
        <v>285</v>
      </c>
      <c r="C57" s="3" t="s">
        <v>54</v>
      </c>
      <c r="D57" s="3" t="s">
        <v>286</v>
      </c>
      <c r="E57" s="3" t="s">
        <v>134</v>
      </c>
      <c r="F57" s="3" t="s">
        <v>33</v>
      </c>
      <c r="G57" s="3" t="s">
        <v>251</v>
      </c>
      <c r="H57" s="3" t="s">
        <v>76</v>
      </c>
      <c r="I57" s="3" t="s">
        <v>36</v>
      </c>
      <c r="J57" s="3" t="s">
        <v>36</v>
      </c>
      <c r="K57" s="3" t="s">
        <v>77</v>
      </c>
      <c r="L57" s="11" t="s">
        <v>1558</v>
      </c>
      <c r="M57" s="11" t="s">
        <v>1559</v>
      </c>
    </row>
    <row r="58">
      <c r="A58" s="3" t="s">
        <v>289</v>
      </c>
      <c r="B58" s="3" t="s">
        <v>285</v>
      </c>
      <c r="C58" s="3" t="s">
        <v>54</v>
      </c>
      <c r="D58" s="3" t="s">
        <v>291</v>
      </c>
      <c r="E58" s="3" t="s">
        <v>134</v>
      </c>
      <c r="F58" s="3" t="s">
        <v>33</v>
      </c>
      <c r="G58" s="3" t="s">
        <v>34</v>
      </c>
      <c r="H58" s="3" t="s">
        <v>35</v>
      </c>
      <c r="I58" s="3" t="s">
        <v>36</v>
      </c>
      <c r="J58" s="3" t="s">
        <v>36</v>
      </c>
      <c r="K58" s="3" t="s">
        <v>37</v>
      </c>
      <c r="L58" s="11" t="s">
        <v>1560</v>
      </c>
      <c r="M58" s="11" t="s">
        <v>1561</v>
      </c>
    </row>
    <row r="59">
      <c r="A59" s="3" t="s">
        <v>294</v>
      </c>
      <c r="B59" s="3" t="s">
        <v>285</v>
      </c>
      <c r="C59" s="3" t="s">
        <v>54</v>
      </c>
      <c r="D59" s="3" t="s">
        <v>296</v>
      </c>
      <c r="E59" s="3" t="s">
        <v>134</v>
      </c>
      <c r="F59" s="3" t="s">
        <v>59</v>
      </c>
      <c r="G59" s="3" t="s">
        <v>34</v>
      </c>
      <c r="H59" s="3" t="s">
        <v>76</v>
      </c>
      <c r="I59" s="3" t="s">
        <v>36</v>
      </c>
      <c r="J59" s="3" t="s">
        <v>34</v>
      </c>
      <c r="K59" s="3" t="s">
        <v>77</v>
      </c>
      <c r="L59" s="11" t="s">
        <v>1562</v>
      </c>
      <c r="M59" s="11" t="s">
        <v>1563</v>
      </c>
    </row>
    <row r="60">
      <c r="A60" s="3" t="s">
        <v>131</v>
      </c>
      <c r="B60" s="3" t="s">
        <v>133</v>
      </c>
      <c r="C60" s="3" t="s">
        <v>54</v>
      </c>
      <c r="D60" s="3" t="s">
        <v>298</v>
      </c>
      <c r="E60" s="3" t="s">
        <v>134</v>
      </c>
      <c r="F60" s="3" t="s">
        <v>59</v>
      </c>
      <c r="G60" s="3" t="s">
        <v>36</v>
      </c>
      <c r="H60" s="3" t="s">
        <v>49</v>
      </c>
      <c r="I60" s="3" t="s">
        <v>42</v>
      </c>
      <c r="J60" s="3" t="s">
        <v>36</v>
      </c>
      <c r="K60" s="3" t="s">
        <v>51</v>
      </c>
      <c r="L60" s="11" t="s">
        <v>1494</v>
      </c>
      <c r="M60" s="11" t="s">
        <v>1495</v>
      </c>
    </row>
    <row r="61">
      <c r="A61" s="3" t="s">
        <v>135</v>
      </c>
      <c r="B61" s="3" t="s">
        <v>133</v>
      </c>
      <c r="C61" s="3" t="s">
        <v>54</v>
      </c>
      <c r="D61" s="3" t="s">
        <v>302</v>
      </c>
      <c r="E61" s="3" t="s">
        <v>134</v>
      </c>
      <c r="F61" s="3" t="s">
        <v>41</v>
      </c>
      <c r="G61" s="3" t="s">
        <v>36</v>
      </c>
      <c r="H61" s="3" t="s">
        <v>76</v>
      </c>
      <c r="I61" s="3" t="s">
        <v>42</v>
      </c>
      <c r="J61" s="3" t="s">
        <v>36</v>
      </c>
      <c r="K61" s="3" t="s">
        <v>77</v>
      </c>
      <c r="L61" s="11" t="s">
        <v>1496</v>
      </c>
      <c r="M61" s="11" t="s">
        <v>1497</v>
      </c>
    </row>
    <row r="62">
      <c r="A62" s="3" t="s">
        <v>137</v>
      </c>
      <c r="B62" s="3" t="s">
        <v>133</v>
      </c>
      <c r="C62" s="3" t="s">
        <v>54</v>
      </c>
      <c r="D62" s="3" t="s">
        <v>304</v>
      </c>
      <c r="E62" s="3" t="s">
        <v>134</v>
      </c>
      <c r="F62" s="3" t="s">
        <v>59</v>
      </c>
      <c r="G62" s="3" t="s">
        <v>36</v>
      </c>
      <c r="H62" s="3" t="s">
        <v>35</v>
      </c>
      <c r="I62" s="3" t="s">
        <v>42</v>
      </c>
      <c r="J62" s="3" t="s">
        <v>36</v>
      </c>
      <c r="K62" s="3" t="s">
        <v>37</v>
      </c>
      <c r="L62" s="11" t="s">
        <v>1498</v>
      </c>
      <c r="M62" s="11" t="s">
        <v>1499</v>
      </c>
    </row>
    <row r="63">
      <c r="A63" s="3" t="s">
        <v>307</v>
      </c>
      <c r="B63" s="3" t="s">
        <v>309</v>
      </c>
      <c r="C63" s="3" t="s">
        <v>54</v>
      </c>
      <c r="D63" s="3" t="s">
        <v>310</v>
      </c>
      <c r="E63" s="3" t="s">
        <v>134</v>
      </c>
      <c r="F63" s="3" t="s">
        <v>33</v>
      </c>
      <c r="G63" s="3" t="s">
        <v>36</v>
      </c>
      <c r="H63" s="3" t="s">
        <v>35</v>
      </c>
      <c r="I63" s="3" t="s">
        <v>251</v>
      </c>
      <c r="J63" s="3" t="s">
        <v>251</v>
      </c>
      <c r="K63" s="3" t="s">
        <v>37</v>
      </c>
      <c r="L63" s="11" t="s">
        <v>1564</v>
      </c>
      <c r="M63" s="11" t="s">
        <v>1565</v>
      </c>
    </row>
    <row r="64">
      <c r="A64" s="3" t="s">
        <v>313</v>
      </c>
      <c r="B64" s="3" t="s">
        <v>309</v>
      </c>
      <c r="C64" s="3" t="s">
        <v>54</v>
      </c>
      <c r="D64" s="3" t="s">
        <v>315</v>
      </c>
      <c r="E64" s="3" t="s">
        <v>134</v>
      </c>
      <c r="F64" s="3" t="s">
        <v>33</v>
      </c>
      <c r="G64" s="3" t="s">
        <v>34</v>
      </c>
      <c r="H64" s="3" t="s">
        <v>49</v>
      </c>
      <c r="I64" s="3" t="s">
        <v>36</v>
      </c>
      <c r="J64" s="3" t="s">
        <v>36</v>
      </c>
      <c r="K64" s="3" t="s">
        <v>51</v>
      </c>
      <c r="L64" s="11" t="s">
        <v>1566</v>
      </c>
      <c r="M64" s="11" t="s">
        <v>1567</v>
      </c>
    </row>
    <row r="65">
      <c r="A65" s="3" t="s">
        <v>318</v>
      </c>
      <c r="B65" s="3" t="s">
        <v>309</v>
      </c>
      <c r="C65" s="3" t="s">
        <v>54</v>
      </c>
      <c r="D65" s="3" t="s">
        <v>320</v>
      </c>
      <c r="E65" s="3" t="s">
        <v>134</v>
      </c>
      <c r="F65" s="3" t="s">
        <v>33</v>
      </c>
      <c r="G65" s="3" t="s">
        <v>42</v>
      </c>
      <c r="H65" s="3" t="s">
        <v>35</v>
      </c>
      <c r="I65" s="3" t="s">
        <v>251</v>
      </c>
      <c r="J65" s="3" t="s">
        <v>36</v>
      </c>
      <c r="K65" s="3" t="s">
        <v>37</v>
      </c>
      <c r="L65" s="11" t="s">
        <v>1568</v>
      </c>
      <c r="M65" s="11" t="s">
        <v>1569</v>
      </c>
    </row>
    <row r="66">
      <c r="A66" s="3" t="s">
        <v>323</v>
      </c>
      <c r="B66" s="3" t="s">
        <v>309</v>
      </c>
      <c r="C66" s="3" t="s">
        <v>54</v>
      </c>
      <c r="D66" s="3" t="s">
        <v>325</v>
      </c>
      <c r="E66" s="3" t="s">
        <v>134</v>
      </c>
      <c r="F66" s="3" t="s">
        <v>59</v>
      </c>
      <c r="G66" s="3" t="s">
        <v>34</v>
      </c>
      <c r="H66" s="3" t="s">
        <v>49</v>
      </c>
      <c r="I66" s="3" t="s">
        <v>42</v>
      </c>
      <c r="J66" s="3" t="s">
        <v>36</v>
      </c>
      <c r="K66" s="3" t="s">
        <v>51</v>
      </c>
      <c r="L66" s="11" t="s">
        <v>1570</v>
      </c>
      <c r="M66" s="11" t="s">
        <v>1571</v>
      </c>
    </row>
    <row r="67">
      <c r="A67" s="3" t="s">
        <v>328</v>
      </c>
      <c r="B67" s="3" t="s">
        <v>309</v>
      </c>
      <c r="C67" s="3" t="s">
        <v>54</v>
      </c>
      <c r="D67" s="3" t="s">
        <v>330</v>
      </c>
      <c r="E67" s="3" t="s">
        <v>134</v>
      </c>
      <c r="F67" s="3" t="s">
        <v>59</v>
      </c>
      <c r="G67" s="3" t="s">
        <v>34</v>
      </c>
      <c r="H67" s="3" t="s">
        <v>35</v>
      </c>
      <c r="I67" s="3" t="s">
        <v>34</v>
      </c>
      <c r="J67" s="3" t="s">
        <v>251</v>
      </c>
      <c r="K67" s="3" t="s">
        <v>37</v>
      </c>
      <c r="L67" s="11" t="s">
        <v>1572</v>
      </c>
      <c r="M67" s="11" t="s">
        <v>1573</v>
      </c>
    </row>
    <row r="68">
      <c r="A68" s="3" t="s">
        <v>348</v>
      </c>
      <c r="B68" s="3" t="s">
        <v>64</v>
      </c>
      <c r="D68" s="3" t="s">
        <v>350</v>
      </c>
      <c r="E68" s="3" t="s">
        <v>134</v>
      </c>
      <c r="F68" s="3" t="s">
        <v>33</v>
      </c>
      <c r="G68" s="3" t="s">
        <v>50</v>
      </c>
      <c r="H68" s="3" t="s">
        <v>35</v>
      </c>
      <c r="I68" s="3" t="s">
        <v>50</v>
      </c>
      <c r="J68" s="3" t="s">
        <v>36</v>
      </c>
      <c r="K68" s="3" t="s">
        <v>37</v>
      </c>
      <c r="L68" s="11" t="s">
        <v>1574</v>
      </c>
      <c r="M68" s="11" t="s">
        <v>1575</v>
      </c>
    </row>
    <row r="69">
      <c r="A69" s="3" t="s">
        <v>352</v>
      </c>
      <c r="B69" s="3" t="s">
        <v>354</v>
      </c>
      <c r="C69" s="3" t="s">
        <v>54</v>
      </c>
      <c r="D69" s="3" t="s">
        <v>355</v>
      </c>
      <c r="E69" s="3" t="s">
        <v>134</v>
      </c>
      <c r="F69" s="3" t="s">
        <v>59</v>
      </c>
      <c r="G69" s="3" t="s">
        <v>36</v>
      </c>
      <c r="H69" s="3" t="s">
        <v>35</v>
      </c>
      <c r="I69" s="3" t="s">
        <v>36</v>
      </c>
      <c r="J69" s="3" t="s">
        <v>36</v>
      </c>
      <c r="K69" s="3" t="s">
        <v>37</v>
      </c>
      <c r="L69" s="11" t="s">
        <v>1576</v>
      </c>
      <c r="M69" s="11" t="s">
        <v>1577</v>
      </c>
    </row>
    <row r="70">
      <c r="A70" s="3" t="s">
        <v>356</v>
      </c>
      <c r="B70" s="3" t="s">
        <v>354</v>
      </c>
      <c r="C70" s="3" t="s">
        <v>54</v>
      </c>
      <c r="D70" s="3" t="s">
        <v>358</v>
      </c>
      <c r="E70" s="3" t="s">
        <v>134</v>
      </c>
      <c r="F70" s="3" t="s">
        <v>59</v>
      </c>
      <c r="G70" s="3" t="s">
        <v>34</v>
      </c>
      <c r="H70" s="3" t="s">
        <v>49</v>
      </c>
      <c r="I70" s="3" t="s">
        <v>34</v>
      </c>
      <c r="J70" s="3" t="s">
        <v>42</v>
      </c>
      <c r="K70" s="3" t="s">
        <v>51</v>
      </c>
      <c r="L70" s="11" t="s">
        <v>1578</v>
      </c>
      <c r="M70" s="11" t="s">
        <v>1579</v>
      </c>
    </row>
    <row r="71">
      <c r="A71" s="3" t="s">
        <v>361</v>
      </c>
      <c r="B71" s="3" t="s">
        <v>234</v>
      </c>
      <c r="E71" s="3" t="s">
        <v>134</v>
      </c>
      <c r="F71" s="3" t="s">
        <v>59</v>
      </c>
      <c r="G71" s="3" t="s">
        <v>42</v>
      </c>
      <c r="H71" s="3" t="s">
        <v>35</v>
      </c>
      <c r="I71" s="3" t="s">
        <v>50</v>
      </c>
      <c r="J71" s="3" t="s">
        <v>34</v>
      </c>
      <c r="K71" s="3" t="s">
        <v>363</v>
      </c>
      <c r="L71" s="11" t="s">
        <v>1580</v>
      </c>
      <c r="M71" s="11" t="s">
        <v>1581</v>
      </c>
    </row>
    <row r="72">
      <c r="A72" s="3" t="s">
        <v>369</v>
      </c>
      <c r="D72" s="3" t="s">
        <v>371</v>
      </c>
      <c r="E72" s="3" t="s">
        <v>31</v>
      </c>
      <c r="L72" s="19" t="s">
        <v>1582</v>
      </c>
      <c r="M72" s="19" t="s">
        <v>1583</v>
      </c>
    </row>
    <row r="73">
      <c r="A73" s="3" t="s">
        <v>38</v>
      </c>
      <c r="B73" s="3" t="s">
        <v>30</v>
      </c>
      <c r="D73" s="3" t="s">
        <v>375</v>
      </c>
      <c r="E73" s="3" t="s">
        <v>31</v>
      </c>
      <c r="F73" s="3" t="s">
        <v>41</v>
      </c>
      <c r="G73" s="3" t="s">
        <v>34</v>
      </c>
      <c r="H73" s="3" t="s">
        <v>35</v>
      </c>
      <c r="I73" s="3" t="s">
        <v>34</v>
      </c>
      <c r="J73" s="3" t="s">
        <v>42</v>
      </c>
      <c r="K73" s="3" t="s">
        <v>37</v>
      </c>
      <c r="L73" s="11" t="s">
        <v>1456</v>
      </c>
      <c r="M73" s="11" t="s">
        <v>1457</v>
      </c>
    </row>
    <row r="74">
      <c r="A74" s="3" t="s">
        <v>94</v>
      </c>
      <c r="B74" s="3" t="s">
        <v>64</v>
      </c>
      <c r="D74" s="3" t="s">
        <v>390</v>
      </c>
      <c r="E74" s="3" t="s">
        <v>31</v>
      </c>
      <c r="F74" s="3" t="s">
        <v>41</v>
      </c>
      <c r="G74" s="3" t="s">
        <v>42</v>
      </c>
      <c r="H74" s="3" t="s">
        <v>35</v>
      </c>
      <c r="I74" s="3" t="s">
        <v>50</v>
      </c>
      <c r="J74" s="3" t="s">
        <v>42</v>
      </c>
      <c r="K74" s="3" t="s">
        <v>37</v>
      </c>
      <c r="L74" s="11" t="s">
        <v>1475</v>
      </c>
      <c r="M74" s="11" t="s">
        <v>1476</v>
      </c>
    </row>
    <row r="75">
      <c r="A75" s="3" t="s">
        <v>447</v>
      </c>
      <c r="B75" s="3" t="s">
        <v>449</v>
      </c>
      <c r="D75" s="3" t="s">
        <v>450</v>
      </c>
      <c r="E75" s="3" t="s">
        <v>31</v>
      </c>
      <c r="L75" s="20" t="s">
        <v>1584</v>
      </c>
      <c r="M75" s="20" t="s">
        <v>1585</v>
      </c>
    </row>
    <row r="76">
      <c r="A76" s="3" t="s">
        <v>453</v>
      </c>
      <c r="B76" s="3" t="s">
        <v>449</v>
      </c>
      <c r="D76" s="3" t="s">
        <v>455</v>
      </c>
      <c r="E76" s="3" t="s">
        <v>31</v>
      </c>
      <c r="L76" s="20" t="s">
        <v>1586</v>
      </c>
      <c r="M76" s="20" t="s">
        <v>1587</v>
      </c>
    </row>
    <row r="77">
      <c r="A77" s="3" t="s">
        <v>458</v>
      </c>
      <c r="B77" s="3" t="s">
        <v>64</v>
      </c>
      <c r="D77" s="3" t="s">
        <v>460</v>
      </c>
      <c r="E77" s="3" t="s">
        <v>31</v>
      </c>
      <c r="L77" s="20" t="s">
        <v>1588</v>
      </c>
      <c r="M77" s="20" t="s">
        <v>1589</v>
      </c>
    </row>
    <row r="78">
      <c r="A78" s="3" t="s">
        <v>463</v>
      </c>
      <c r="B78" s="3" t="s">
        <v>64</v>
      </c>
      <c r="D78" s="3" t="s">
        <v>465</v>
      </c>
      <c r="E78" s="3" t="s">
        <v>31</v>
      </c>
      <c r="L78" s="20" t="s">
        <v>1590</v>
      </c>
      <c r="M78" s="20" t="s">
        <v>1591</v>
      </c>
    </row>
    <row r="79">
      <c r="A79" s="3" t="s">
        <v>369</v>
      </c>
      <c r="B79" s="3" t="s">
        <v>468</v>
      </c>
      <c r="D79" s="3" t="s">
        <v>371</v>
      </c>
      <c r="E79" s="3" t="s">
        <v>31</v>
      </c>
      <c r="L79" s="20" t="s">
        <v>1582</v>
      </c>
      <c r="M79" s="20" t="s">
        <v>1583</v>
      </c>
    </row>
    <row r="80">
      <c r="A80" s="3" t="s">
        <v>122</v>
      </c>
      <c r="B80" s="3" t="s">
        <v>124</v>
      </c>
      <c r="D80" s="3" t="s">
        <v>492</v>
      </c>
      <c r="E80" s="3" t="s">
        <v>31</v>
      </c>
      <c r="F80" s="3" t="s">
        <v>33</v>
      </c>
      <c r="G80" s="3" t="s">
        <v>34</v>
      </c>
      <c r="H80" s="3" t="s">
        <v>35</v>
      </c>
      <c r="I80" s="3" t="s">
        <v>34</v>
      </c>
      <c r="J80" s="3" t="s">
        <v>34</v>
      </c>
      <c r="K80" s="3" t="s">
        <v>37</v>
      </c>
      <c r="L80" s="11" t="s">
        <v>1490</v>
      </c>
      <c r="M80" s="11" t="s">
        <v>1491</v>
      </c>
    </row>
    <row r="81">
      <c r="A81" s="3" t="s">
        <v>549</v>
      </c>
      <c r="B81" s="3" t="s">
        <v>64</v>
      </c>
      <c r="D81" s="3" t="s">
        <v>551</v>
      </c>
      <c r="E81" s="3" t="s">
        <v>31</v>
      </c>
      <c r="L81" s="20" t="s">
        <v>1592</v>
      </c>
      <c r="M81" s="20" t="s">
        <v>1593</v>
      </c>
    </row>
    <row r="82">
      <c r="A82" s="3" t="s">
        <v>554</v>
      </c>
      <c r="B82" s="3" t="s">
        <v>556</v>
      </c>
      <c r="C82" s="3" t="s">
        <v>54</v>
      </c>
      <c r="D82" s="3" t="s">
        <v>557</v>
      </c>
      <c r="E82" s="3" t="s">
        <v>31</v>
      </c>
      <c r="L82" s="20" t="s">
        <v>1594</v>
      </c>
      <c r="M82" s="20" t="s">
        <v>1595</v>
      </c>
    </row>
    <row r="83">
      <c r="A83" s="3" t="s">
        <v>560</v>
      </c>
      <c r="B83" s="3" t="s">
        <v>556</v>
      </c>
      <c r="C83" s="3" t="s">
        <v>54</v>
      </c>
      <c r="E83" s="3" t="s">
        <v>31</v>
      </c>
      <c r="L83" s="20" t="s">
        <v>1596</v>
      </c>
      <c r="M83" s="20" t="s">
        <v>1597</v>
      </c>
    </row>
    <row r="84">
      <c r="A84" s="3" t="s">
        <v>562</v>
      </c>
      <c r="B84" s="3" t="s">
        <v>564</v>
      </c>
      <c r="C84" s="3" t="s">
        <v>54</v>
      </c>
      <c r="L84" s="20" t="s">
        <v>1598</v>
      </c>
      <c r="M84" s="20" t="s">
        <v>1599</v>
      </c>
    </row>
    <row r="85">
      <c r="A85" s="3" t="s">
        <v>554</v>
      </c>
      <c r="B85" s="3" t="s">
        <v>556</v>
      </c>
      <c r="C85" s="3" t="s">
        <v>54</v>
      </c>
      <c r="D85" s="3" t="s">
        <v>633</v>
      </c>
      <c r="E85" s="3" t="s">
        <v>31</v>
      </c>
      <c r="L85" s="20" t="s">
        <v>1594</v>
      </c>
      <c r="M85" s="20" t="s">
        <v>1595</v>
      </c>
    </row>
    <row r="86">
      <c r="A86" s="3" t="s">
        <v>661</v>
      </c>
      <c r="B86" s="3" t="s">
        <v>663</v>
      </c>
      <c r="D86" s="3" t="s">
        <v>664</v>
      </c>
      <c r="E86" s="3" t="s">
        <v>31</v>
      </c>
      <c r="L86" s="11" t="s">
        <v>1600</v>
      </c>
      <c r="M86" s="11" t="s">
        <v>1601</v>
      </c>
    </row>
    <row r="87">
      <c r="A87" s="3" t="s">
        <v>671</v>
      </c>
      <c r="B87" s="3" t="s">
        <v>663</v>
      </c>
      <c r="D87" s="3" t="s">
        <v>672</v>
      </c>
      <c r="E87" s="3" t="s">
        <v>134</v>
      </c>
      <c r="L87" s="11" t="s">
        <v>1602</v>
      </c>
      <c r="M87" s="11" t="s">
        <v>1603</v>
      </c>
    </row>
    <row r="88">
      <c r="A88" s="3" t="s">
        <v>673</v>
      </c>
      <c r="B88" s="3" t="s">
        <v>663</v>
      </c>
      <c r="D88" s="3" t="s">
        <v>674</v>
      </c>
      <c r="E88" s="3" t="s">
        <v>134</v>
      </c>
      <c r="L88" s="11" t="s">
        <v>1604</v>
      </c>
      <c r="M88" s="11" t="s">
        <v>1603</v>
      </c>
    </row>
    <row r="89">
      <c r="A89" s="3" t="s">
        <v>676</v>
      </c>
      <c r="B89" s="3" t="s">
        <v>663</v>
      </c>
      <c r="D89" s="3" t="s">
        <v>677</v>
      </c>
      <c r="E89" s="3" t="s">
        <v>134</v>
      </c>
      <c r="L89" s="11" t="s">
        <v>1605</v>
      </c>
      <c r="M89" s="11" t="s">
        <v>1603</v>
      </c>
    </row>
    <row r="90">
      <c r="A90" s="3" t="s">
        <v>680</v>
      </c>
      <c r="B90" s="3" t="s">
        <v>663</v>
      </c>
      <c r="D90" s="3" t="s">
        <v>682</v>
      </c>
      <c r="E90" s="3" t="s">
        <v>31</v>
      </c>
      <c r="L90" s="11" t="s">
        <v>1604</v>
      </c>
      <c r="M90" s="11" t="s">
        <v>1606</v>
      </c>
    </row>
    <row r="91">
      <c r="A91" s="3" t="s">
        <v>680</v>
      </c>
      <c r="B91" s="3" t="s">
        <v>663</v>
      </c>
      <c r="D91" s="3" t="s">
        <v>686</v>
      </c>
      <c r="E91" s="3" t="s">
        <v>31</v>
      </c>
      <c r="L91" s="11" t="s">
        <v>1604</v>
      </c>
      <c r="M91" s="11" t="s">
        <v>1606</v>
      </c>
    </row>
    <row r="92">
      <c r="A92" s="3" t="s">
        <v>680</v>
      </c>
      <c r="B92" s="3" t="s">
        <v>663</v>
      </c>
      <c r="D92" s="3" t="s">
        <v>691</v>
      </c>
      <c r="E92" s="3" t="s">
        <v>31</v>
      </c>
      <c r="L92" s="11" t="s">
        <v>1604</v>
      </c>
      <c r="M92" s="11" t="s">
        <v>1606</v>
      </c>
    </row>
    <row r="93">
      <c r="A93" s="3" t="s">
        <v>680</v>
      </c>
      <c r="B93" s="3" t="s">
        <v>663</v>
      </c>
      <c r="D93" s="3" t="s">
        <v>694</v>
      </c>
      <c r="E93" s="3" t="s">
        <v>31</v>
      </c>
      <c r="L93" s="11" t="s">
        <v>1604</v>
      </c>
      <c r="M93" s="11" t="s">
        <v>1606</v>
      </c>
    </row>
    <row r="94">
      <c r="A94" s="3" t="s">
        <v>700</v>
      </c>
      <c r="B94" s="3" t="s">
        <v>663</v>
      </c>
      <c r="D94" s="3" t="s">
        <v>702</v>
      </c>
      <c r="E94" s="3" t="s">
        <v>31</v>
      </c>
      <c r="L94" s="11" t="s">
        <v>1605</v>
      </c>
      <c r="M94" s="11" t="s">
        <v>1607</v>
      </c>
    </row>
    <row r="95">
      <c r="A95" s="3" t="s">
        <v>700</v>
      </c>
      <c r="B95" s="3" t="s">
        <v>663</v>
      </c>
      <c r="D95" s="3" t="s">
        <v>704</v>
      </c>
      <c r="E95" s="3" t="s">
        <v>31</v>
      </c>
      <c r="L95" s="11" t="s">
        <v>1605</v>
      </c>
      <c r="M95" s="11" t="s">
        <v>1607</v>
      </c>
    </row>
    <row r="96">
      <c r="A96" s="3" t="s">
        <v>700</v>
      </c>
      <c r="B96" s="3" t="s">
        <v>663</v>
      </c>
      <c r="D96" s="3" t="s">
        <v>712</v>
      </c>
      <c r="E96" s="3" t="s">
        <v>31</v>
      </c>
      <c r="L96" s="11" t="s">
        <v>1605</v>
      </c>
      <c r="M96" s="11" t="s">
        <v>1607</v>
      </c>
    </row>
    <row r="97">
      <c r="A97" s="3" t="s">
        <v>715</v>
      </c>
      <c r="B97" s="3" t="s">
        <v>663</v>
      </c>
      <c r="D97" s="3" t="s">
        <v>717</v>
      </c>
      <c r="E97" s="3" t="s">
        <v>31</v>
      </c>
      <c r="L97" s="11" t="s">
        <v>1608</v>
      </c>
      <c r="M97" s="11" t="s">
        <v>1609</v>
      </c>
    </row>
    <row r="98">
      <c r="A98" s="3" t="s">
        <v>723</v>
      </c>
      <c r="B98" s="3" t="s">
        <v>663</v>
      </c>
      <c r="D98" s="3" t="s">
        <v>725</v>
      </c>
      <c r="E98" s="3" t="s">
        <v>31</v>
      </c>
      <c r="L98" s="11" t="s">
        <v>1610</v>
      </c>
      <c r="M98" s="11" t="s">
        <v>1611</v>
      </c>
    </row>
    <row r="99">
      <c r="A99" s="3" t="s">
        <v>193</v>
      </c>
      <c r="B99" s="3" t="s">
        <v>195</v>
      </c>
      <c r="C99" s="3" t="s">
        <v>54</v>
      </c>
      <c r="D99" s="3" t="s">
        <v>196</v>
      </c>
      <c r="E99" s="3" t="s">
        <v>31</v>
      </c>
      <c r="G99" s="3" t="s">
        <v>34</v>
      </c>
      <c r="H99" s="3" t="s">
        <v>35</v>
      </c>
      <c r="I99" s="3" t="s">
        <v>34</v>
      </c>
      <c r="J99" s="3" t="s">
        <v>36</v>
      </c>
      <c r="K99" s="3" t="s">
        <v>37</v>
      </c>
      <c r="L99" s="11" t="s">
        <v>1530</v>
      </c>
      <c r="M99" s="11" t="s">
        <v>1531</v>
      </c>
    </row>
    <row r="100">
      <c r="A100" s="3" t="s">
        <v>761</v>
      </c>
      <c r="B100" s="3" t="s">
        <v>221</v>
      </c>
      <c r="D100" s="3" t="s">
        <v>763</v>
      </c>
      <c r="E100" s="3" t="s">
        <v>31</v>
      </c>
      <c r="F100" s="3" t="s">
        <v>59</v>
      </c>
      <c r="G100" s="3" t="s">
        <v>42</v>
      </c>
      <c r="H100" s="3" t="s">
        <v>76</v>
      </c>
      <c r="I100" s="3" t="s">
        <v>50</v>
      </c>
      <c r="J100" s="3" t="s">
        <v>42</v>
      </c>
      <c r="K100" s="3" t="s">
        <v>77</v>
      </c>
      <c r="L100" s="11" t="s">
        <v>1612</v>
      </c>
      <c r="M100" s="11" t="s">
        <v>1613</v>
      </c>
    </row>
    <row r="101">
      <c r="A101" s="3" t="s">
        <v>219</v>
      </c>
      <c r="B101" s="3" t="s">
        <v>221</v>
      </c>
      <c r="F101" s="3" t="s">
        <v>59</v>
      </c>
      <c r="G101" s="3" t="s">
        <v>42</v>
      </c>
      <c r="H101" s="3" t="s">
        <v>76</v>
      </c>
      <c r="I101" s="3" t="s">
        <v>34</v>
      </c>
      <c r="J101" s="3" t="s">
        <v>34</v>
      </c>
      <c r="K101" s="3" t="s">
        <v>77</v>
      </c>
      <c r="L101" s="11" t="s">
        <v>1540</v>
      </c>
      <c r="M101" s="11" t="s">
        <v>1541</v>
      </c>
    </row>
    <row r="102">
      <c r="A102" s="3" t="s">
        <v>369</v>
      </c>
      <c r="B102" s="3" t="s">
        <v>468</v>
      </c>
      <c r="D102" s="3" t="s">
        <v>791</v>
      </c>
      <c r="E102" s="3" t="s">
        <v>31</v>
      </c>
      <c r="L102" s="20" t="s">
        <v>1582</v>
      </c>
      <c r="M102" s="20" t="s">
        <v>1583</v>
      </c>
    </row>
    <row r="103">
      <c r="A103" s="3" t="s">
        <v>109</v>
      </c>
      <c r="B103" s="3" t="s">
        <v>64</v>
      </c>
      <c r="E103" s="3" t="s">
        <v>31</v>
      </c>
      <c r="F103" s="3" t="s">
        <v>33</v>
      </c>
      <c r="G103" s="3" t="s">
        <v>50</v>
      </c>
      <c r="H103" s="3" t="s">
        <v>76</v>
      </c>
      <c r="I103" s="3" t="s">
        <v>50</v>
      </c>
      <c r="J103" s="3" t="s">
        <v>50</v>
      </c>
      <c r="K103" s="3" t="s">
        <v>77</v>
      </c>
      <c r="L103" s="11" t="s">
        <v>1481</v>
      </c>
      <c r="M103" s="11" t="s">
        <v>1481</v>
      </c>
    </row>
    <row r="104">
      <c r="A104" s="3" t="s">
        <v>796</v>
      </c>
      <c r="B104" s="3" t="s">
        <v>205</v>
      </c>
      <c r="D104" s="3" t="s">
        <v>798</v>
      </c>
      <c r="E104" s="3" t="s">
        <v>31</v>
      </c>
      <c r="L104" s="11" t="s">
        <v>1614</v>
      </c>
      <c r="M104" s="11" t="s">
        <v>1615</v>
      </c>
    </row>
    <row r="105">
      <c r="A105" s="3" t="s">
        <v>800</v>
      </c>
      <c r="B105" s="3" t="s">
        <v>663</v>
      </c>
      <c r="E105" s="3" t="s">
        <v>31</v>
      </c>
      <c r="L105" s="11" t="s">
        <v>1616</v>
      </c>
      <c r="M105" s="11" t="s">
        <v>1617</v>
      </c>
    </row>
    <row r="106">
      <c r="A106" s="3" t="s">
        <v>813</v>
      </c>
      <c r="B106" s="3" t="s">
        <v>663</v>
      </c>
      <c r="D106" s="3" t="s">
        <v>815</v>
      </c>
      <c r="E106" s="3" t="s">
        <v>31</v>
      </c>
      <c r="L106" s="11" t="s">
        <v>1618</v>
      </c>
      <c r="M106" s="11" t="s">
        <v>1619</v>
      </c>
    </row>
    <row r="107">
      <c r="A107" s="3" t="s">
        <v>813</v>
      </c>
      <c r="B107" s="3" t="s">
        <v>663</v>
      </c>
      <c r="D107" s="3" t="s">
        <v>820</v>
      </c>
      <c r="E107" s="3" t="s">
        <v>31</v>
      </c>
      <c r="L107" s="11" t="s">
        <v>1618</v>
      </c>
      <c r="M107" s="11" t="s">
        <v>1619</v>
      </c>
    </row>
    <row r="108">
      <c r="A108" s="3" t="s">
        <v>826</v>
      </c>
      <c r="B108" s="3" t="s">
        <v>663</v>
      </c>
      <c r="E108" s="3" t="s">
        <v>31</v>
      </c>
      <c r="L108" s="11" t="s">
        <v>1620</v>
      </c>
      <c r="M108" s="11" t="s">
        <v>1621</v>
      </c>
    </row>
    <row r="109">
      <c r="A109" s="3" t="s">
        <v>838</v>
      </c>
      <c r="B109" s="3" t="s">
        <v>663</v>
      </c>
      <c r="D109" s="3" t="s">
        <v>840</v>
      </c>
      <c r="L109" s="11" t="s">
        <v>1622</v>
      </c>
      <c r="M109" s="11" t="s">
        <v>1623</v>
      </c>
    </row>
    <row r="110">
      <c r="A110" s="3" t="s">
        <v>838</v>
      </c>
      <c r="B110" s="3" t="s">
        <v>663</v>
      </c>
      <c r="D110" s="3" t="s">
        <v>842</v>
      </c>
      <c r="L110" s="11" t="s">
        <v>1622</v>
      </c>
      <c r="M110" s="11" t="s">
        <v>1623</v>
      </c>
    </row>
    <row r="111">
      <c r="A111" s="3" t="s">
        <v>838</v>
      </c>
      <c r="B111" s="3" t="s">
        <v>663</v>
      </c>
      <c r="D111" s="3" t="s">
        <v>844</v>
      </c>
      <c r="L111" s="11" t="s">
        <v>1622</v>
      </c>
      <c r="M111" s="11" t="s">
        <v>1623</v>
      </c>
    </row>
    <row r="112">
      <c r="A112" s="3" t="s">
        <v>838</v>
      </c>
      <c r="B112" s="3" t="s">
        <v>663</v>
      </c>
      <c r="D112" s="3" t="s">
        <v>847</v>
      </c>
      <c r="L112" s="11" t="s">
        <v>1622</v>
      </c>
      <c r="M112" s="11" t="s">
        <v>1623</v>
      </c>
    </row>
    <row r="113">
      <c r="A113" s="3" t="s">
        <v>838</v>
      </c>
      <c r="B113" s="3" t="s">
        <v>663</v>
      </c>
      <c r="D113" s="3" t="s">
        <v>850</v>
      </c>
      <c r="L113" s="11" t="s">
        <v>1622</v>
      </c>
      <c r="M113" s="11" t="s">
        <v>1623</v>
      </c>
    </row>
    <row r="114">
      <c r="A114" s="3" t="s">
        <v>838</v>
      </c>
      <c r="B114" s="3" t="s">
        <v>663</v>
      </c>
      <c r="D114" s="3" t="s">
        <v>852</v>
      </c>
      <c r="L114" s="11" t="s">
        <v>1622</v>
      </c>
      <c r="M114" s="11" t="s">
        <v>1623</v>
      </c>
    </row>
    <row r="115">
      <c r="A115" s="3" t="s">
        <v>838</v>
      </c>
      <c r="B115" s="3" t="s">
        <v>663</v>
      </c>
      <c r="D115" s="3" t="s">
        <v>853</v>
      </c>
      <c r="L115" s="11" t="s">
        <v>1622</v>
      </c>
      <c r="M115" s="11" t="s">
        <v>1623</v>
      </c>
    </row>
    <row r="116">
      <c r="A116" s="3" t="s">
        <v>838</v>
      </c>
      <c r="B116" s="3" t="s">
        <v>663</v>
      </c>
      <c r="D116" s="3" t="s">
        <v>854</v>
      </c>
      <c r="L116" s="11" t="s">
        <v>1622</v>
      </c>
      <c r="M116" s="11" t="s">
        <v>1623</v>
      </c>
    </row>
    <row r="117">
      <c r="A117" s="3" t="s">
        <v>838</v>
      </c>
      <c r="B117" s="3" t="s">
        <v>663</v>
      </c>
      <c r="D117" s="3" t="s">
        <v>855</v>
      </c>
      <c r="L117" s="11" t="s">
        <v>1622</v>
      </c>
      <c r="M117" s="11" t="s">
        <v>1623</v>
      </c>
    </row>
    <row r="118">
      <c r="A118" s="3" t="s">
        <v>858</v>
      </c>
      <c r="B118" s="3" t="s">
        <v>663</v>
      </c>
      <c r="D118" s="3" t="s">
        <v>860</v>
      </c>
      <c r="L118" s="11" t="s">
        <v>1624</v>
      </c>
      <c r="M118" s="11" t="s">
        <v>1625</v>
      </c>
    </row>
    <row r="119">
      <c r="A119" s="3" t="s">
        <v>858</v>
      </c>
      <c r="B119" s="3" t="s">
        <v>663</v>
      </c>
      <c r="D119" s="3" t="s">
        <v>862</v>
      </c>
      <c r="L119" s="11" t="s">
        <v>1624</v>
      </c>
      <c r="M119" s="11" t="s">
        <v>1625</v>
      </c>
    </row>
    <row r="120">
      <c r="A120" s="3" t="s">
        <v>838</v>
      </c>
      <c r="B120" s="3" t="s">
        <v>663</v>
      </c>
      <c r="D120" s="3" t="s">
        <v>864</v>
      </c>
      <c r="L120" s="11" t="s">
        <v>1622</v>
      </c>
      <c r="M120" s="11" t="s">
        <v>1623</v>
      </c>
    </row>
    <row r="121">
      <c r="A121" s="3" t="s">
        <v>838</v>
      </c>
      <c r="B121" s="3" t="s">
        <v>663</v>
      </c>
      <c r="D121" s="3" t="s">
        <v>866</v>
      </c>
      <c r="L121" s="11" t="s">
        <v>1622</v>
      </c>
      <c r="M121" s="11" t="s">
        <v>1623</v>
      </c>
    </row>
    <row r="122">
      <c r="A122" s="3" t="s">
        <v>838</v>
      </c>
      <c r="B122" s="3" t="s">
        <v>663</v>
      </c>
      <c r="D122" s="3" t="s">
        <v>868</v>
      </c>
      <c r="L122" s="11" t="s">
        <v>1622</v>
      </c>
      <c r="M122" s="11" t="s">
        <v>1623</v>
      </c>
    </row>
    <row r="123">
      <c r="A123" s="3" t="s">
        <v>871</v>
      </c>
      <c r="B123" s="3" t="s">
        <v>663</v>
      </c>
      <c r="D123" s="3" t="s">
        <v>873</v>
      </c>
      <c r="L123" s="11" t="s">
        <v>1626</v>
      </c>
      <c r="M123" s="11" t="s">
        <v>1627</v>
      </c>
    </row>
    <row r="124">
      <c r="A124" s="3" t="s">
        <v>884</v>
      </c>
      <c r="B124" s="3" t="s">
        <v>663</v>
      </c>
      <c r="D124" s="3" t="s">
        <v>886</v>
      </c>
      <c r="L124" s="11" t="s">
        <v>1628</v>
      </c>
      <c r="M124" s="11" t="s">
        <v>1629</v>
      </c>
    </row>
    <row r="125">
      <c r="A125" s="3" t="s">
        <v>858</v>
      </c>
      <c r="B125" s="3" t="s">
        <v>663</v>
      </c>
      <c r="D125" s="3" t="s">
        <v>890</v>
      </c>
      <c r="L125" s="11" t="s">
        <v>1624</v>
      </c>
      <c r="M125" s="11" t="s">
        <v>1625</v>
      </c>
    </row>
    <row r="126">
      <c r="A126" s="3" t="s">
        <v>858</v>
      </c>
      <c r="B126" s="3" t="s">
        <v>663</v>
      </c>
      <c r="D126" s="3" t="s">
        <v>892</v>
      </c>
      <c r="L126" s="11" t="s">
        <v>1624</v>
      </c>
      <c r="M126" s="11" t="s">
        <v>1625</v>
      </c>
    </row>
    <row r="127">
      <c r="A127" s="3" t="s">
        <v>858</v>
      </c>
      <c r="B127" s="3" t="s">
        <v>663</v>
      </c>
      <c r="D127" s="3" t="s">
        <v>894</v>
      </c>
      <c r="L127" s="11" t="s">
        <v>1624</v>
      </c>
      <c r="M127" s="11" t="s">
        <v>1625</v>
      </c>
    </row>
    <row r="128">
      <c r="A128" s="3" t="s">
        <v>858</v>
      </c>
      <c r="B128" s="3" t="s">
        <v>663</v>
      </c>
      <c r="D128" s="3" t="s">
        <v>896</v>
      </c>
      <c r="L128" s="11" t="s">
        <v>1624</v>
      </c>
      <c r="M128" s="11" t="s">
        <v>1625</v>
      </c>
    </row>
    <row r="129">
      <c r="A129" s="3" t="s">
        <v>858</v>
      </c>
      <c r="B129" s="3" t="s">
        <v>663</v>
      </c>
      <c r="D129" s="3" t="s">
        <v>897</v>
      </c>
      <c r="L129" s="11" t="s">
        <v>1624</v>
      </c>
      <c r="M129" s="11" t="s">
        <v>1625</v>
      </c>
    </row>
    <row r="130">
      <c r="A130" s="3" t="s">
        <v>858</v>
      </c>
      <c r="B130" s="3" t="s">
        <v>663</v>
      </c>
      <c r="D130" s="3" t="s">
        <v>898</v>
      </c>
      <c r="L130" s="11" t="s">
        <v>1624</v>
      </c>
      <c r="M130" s="11" t="s">
        <v>1625</v>
      </c>
    </row>
    <row r="131">
      <c r="A131" s="3" t="s">
        <v>858</v>
      </c>
      <c r="B131" s="3" t="s">
        <v>663</v>
      </c>
      <c r="D131" s="3" t="s">
        <v>899</v>
      </c>
      <c r="L131" s="11" t="s">
        <v>1624</v>
      </c>
      <c r="M131" s="11" t="s">
        <v>1625</v>
      </c>
    </row>
    <row r="132">
      <c r="A132" s="3" t="s">
        <v>858</v>
      </c>
      <c r="B132" s="3" t="s">
        <v>663</v>
      </c>
      <c r="D132" s="3" t="s">
        <v>900</v>
      </c>
      <c r="L132" s="11" t="s">
        <v>1624</v>
      </c>
      <c r="M132" s="11" t="s">
        <v>1625</v>
      </c>
    </row>
    <row r="133">
      <c r="A133" s="3" t="s">
        <v>858</v>
      </c>
      <c r="B133" s="3" t="s">
        <v>663</v>
      </c>
      <c r="D133" s="3" t="s">
        <v>901</v>
      </c>
      <c r="L133" s="11" t="s">
        <v>1624</v>
      </c>
      <c r="M133" s="11" t="s">
        <v>1625</v>
      </c>
    </row>
    <row r="134">
      <c r="A134" s="3" t="s">
        <v>858</v>
      </c>
      <c r="B134" s="3" t="s">
        <v>663</v>
      </c>
      <c r="D134" s="3" t="s">
        <v>902</v>
      </c>
      <c r="L134" s="11" t="s">
        <v>1624</v>
      </c>
      <c r="M134" s="11" t="s">
        <v>1625</v>
      </c>
    </row>
    <row r="135">
      <c r="A135" s="3" t="s">
        <v>858</v>
      </c>
      <c r="B135" s="3" t="s">
        <v>663</v>
      </c>
      <c r="D135" s="3" t="s">
        <v>903</v>
      </c>
      <c r="L135" s="11" t="s">
        <v>1624</v>
      </c>
      <c r="M135" s="11" t="s">
        <v>1625</v>
      </c>
    </row>
    <row r="136">
      <c r="A136" s="3" t="s">
        <v>858</v>
      </c>
      <c r="B136" s="3" t="s">
        <v>663</v>
      </c>
      <c r="D136" s="3" t="s">
        <v>904</v>
      </c>
      <c r="L136" s="11" t="s">
        <v>1624</v>
      </c>
      <c r="M136" s="11" t="s">
        <v>1625</v>
      </c>
    </row>
    <row r="137">
      <c r="A137" s="3" t="s">
        <v>911</v>
      </c>
      <c r="B137" s="3" t="s">
        <v>30</v>
      </c>
      <c r="D137" s="3" t="s">
        <v>913</v>
      </c>
      <c r="E137" s="3" t="s">
        <v>31</v>
      </c>
      <c r="L137" s="11" t="s">
        <v>1630</v>
      </c>
      <c r="M137" s="11" t="s">
        <v>1631</v>
      </c>
    </row>
    <row r="138">
      <c r="A138" s="3" t="s">
        <v>918</v>
      </c>
      <c r="B138" s="3" t="s">
        <v>920</v>
      </c>
      <c r="D138" s="3" t="s">
        <v>921</v>
      </c>
      <c r="E138" s="3" t="s">
        <v>922</v>
      </c>
      <c r="L138" s="20" t="s">
        <v>1632</v>
      </c>
      <c r="M138" s="20" t="s">
        <v>1633</v>
      </c>
    </row>
    <row r="139">
      <c r="A139" s="3" t="s">
        <v>918</v>
      </c>
      <c r="B139" s="3" t="s">
        <v>920</v>
      </c>
      <c r="D139" s="3" t="s">
        <v>927</v>
      </c>
      <c r="E139" s="3" t="s">
        <v>922</v>
      </c>
      <c r="L139" s="20" t="s">
        <v>1634</v>
      </c>
      <c r="M139" s="20" t="s">
        <v>1635</v>
      </c>
    </row>
    <row r="140">
      <c r="A140" s="3" t="s">
        <v>931</v>
      </c>
      <c r="B140" s="3" t="s">
        <v>221</v>
      </c>
      <c r="D140" s="3" t="s">
        <v>933</v>
      </c>
      <c r="E140" s="3" t="s">
        <v>31</v>
      </c>
      <c r="L140" s="11" t="s">
        <v>1636</v>
      </c>
      <c r="M140" s="11" t="s">
        <v>1637</v>
      </c>
    </row>
    <row r="141">
      <c r="A141" s="3" t="s">
        <v>936</v>
      </c>
      <c r="B141" s="3" t="s">
        <v>64</v>
      </c>
      <c r="D141" s="3" t="s">
        <v>938</v>
      </c>
      <c r="E141" s="3" t="s">
        <v>31</v>
      </c>
      <c r="L141" s="11" t="s">
        <v>1638</v>
      </c>
      <c r="M141" s="11" t="s">
        <v>1639</v>
      </c>
    </row>
    <row r="142">
      <c r="A142" s="3" t="s">
        <v>942</v>
      </c>
      <c r="B142" s="3" t="s">
        <v>64</v>
      </c>
      <c r="D142" s="3" t="s">
        <v>944</v>
      </c>
      <c r="E142" s="3" t="s">
        <v>31</v>
      </c>
      <c r="L142" s="11" t="s">
        <v>1638</v>
      </c>
      <c r="M142" s="11" t="s">
        <v>1639</v>
      </c>
    </row>
    <row r="143">
      <c r="A143" s="3" t="s">
        <v>948</v>
      </c>
      <c r="B143" s="3" t="s">
        <v>64</v>
      </c>
      <c r="D143" s="3" t="s">
        <v>950</v>
      </c>
      <c r="E143" s="3" t="s">
        <v>31</v>
      </c>
      <c r="L143" s="11" t="s">
        <v>1638</v>
      </c>
      <c r="M143" s="11" t="s">
        <v>1639</v>
      </c>
    </row>
    <row r="144">
      <c r="A144" s="3" t="s">
        <v>954</v>
      </c>
      <c r="B144" s="3" t="s">
        <v>64</v>
      </c>
      <c r="E144" s="3" t="s">
        <v>31</v>
      </c>
      <c r="L144" s="11" t="s">
        <v>1640</v>
      </c>
      <c r="M144" s="11" t="s">
        <v>1641</v>
      </c>
    </row>
    <row r="145">
      <c r="A145" s="3" t="s">
        <v>956</v>
      </c>
      <c r="B145" s="3" t="s">
        <v>64</v>
      </c>
      <c r="E145" s="3" t="s">
        <v>31</v>
      </c>
      <c r="L145" s="11" t="s">
        <v>1640</v>
      </c>
      <c r="M145" s="11" t="s">
        <v>1641</v>
      </c>
    </row>
    <row r="146">
      <c r="A146" s="3" t="s">
        <v>960</v>
      </c>
      <c r="B146" s="3" t="s">
        <v>64</v>
      </c>
      <c r="E146" s="3" t="s">
        <v>31</v>
      </c>
      <c r="L146" s="11" t="s">
        <v>1640</v>
      </c>
      <c r="M146" s="11" t="s">
        <v>1641</v>
      </c>
    </row>
    <row r="147">
      <c r="A147" s="3" t="s">
        <v>964</v>
      </c>
      <c r="B147" s="3" t="s">
        <v>64</v>
      </c>
      <c r="E147" s="3" t="s">
        <v>31</v>
      </c>
      <c r="L147" s="11" t="s">
        <v>1640</v>
      </c>
      <c r="M147" s="11" t="s">
        <v>1641</v>
      </c>
    </row>
  </sheetData>
  <autoFilter ref="$A$1:$M$379"/>
  <hyperlinks>
    <hyperlink r:id="rId1" ref="L72"/>
    <hyperlink r:id="rId2" ref="M72"/>
    <hyperlink r:id="rId3" ref="L75"/>
    <hyperlink r:id="rId4" ref="M75"/>
    <hyperlink r:id="rId5" ref="L76"/>
    <hyperlink r:id="rId6" ref="M76"/>
    <hyperlink r:id="rId7" ref="L77"/>
    <hyperlink r:id="rId8" ref="M77"/>
    <hyperlink r:id="rId9" ref="L78"/>
    <hyperlink r:id="rId10" ref="M78"/>
    <hyperlink r:id="rId11" ref="L79"/>
    <hyperlink r:id="rId12" ref="M79"/>
    <hyperlink r:id="rId13" ref="L81"/>
    <hyperlink r:id="rId14" ref="M81"/>
    <hyperlink r:id="rId15" ref="L82"/>
    <hyperlink r:id="rId16" ref="M82"/>
    <hyperlink r:id="rId17" ref="L83"/>
    <hyperlink r:id="rId18" ref="M83"/>
    <hyperlink r:id="rId19" ref="L84"/>
    <hyperlink r:id="rId20" ref="M84"/>
    <hyperlink r:id="rId21" ref="L85"/>
    <hyperlink r:id="rId22" ref="M85"/>
    <hyperlink r:id="rId23" ref="L102"/>
    <hyperlink r:id="rId24" ref="M102"/>
    <hyperlink r:id="rId25" ref="L138"/>
    <hyperlink r:id="rId26" ref="M138"/>
    <hyperlink r:id="rId27" ref="L139"/>
    <hyperlink r:id="rId28" ref="M139"/>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s>
  <sheetData>
    <row r="1">
      <c r="A1" s="21" t="s">
        <v>9</v>
      </c>
      <c r="B1" s="22" t="s">
        <v>1642</v>
      </c>
      <c r="C1" s="22" t="s">
        <v>1643</v>
      </c>
      <c r="D1" s="21"/>
      <c r="E1" s="21"/>
      <c r="F1" s="21"/>
      <c r="G1" s="21"/>
      <c r="H1" s="21"/>
      <c r="I1" s="21"/>
      <c r="J1" s="21"/>
      <c r="K1" s="21"/>
      <c r="L1" s="21"/>
      <c r="M1" s="21"/>
      <c r="N1" s="21"/>
      <c r="O1" s="21"/>
      <c r="P1" s="21"/>
      <c r="Q1" s="21"/>
      <c r="R1" s="21"/>
      <c r="S1" s="21"/>
      <c r="T1" s="21"/>
      <c r="U1" s="21"/>
      <c r="V1" s="21"/>
      <c r="W1" s="21"/>
      <c r="X1" s="21"/>
      <c r="Y1" s="21"/>
    </row>
    <row r="2">
      <c r="A2" s="21" t="s">
        <v>28</v>
      </c>
      <c r="B2" s="23" t="s">
        <v>1454</v>
      </c>
      <c r="C2" s="23" t="s">
        <v>1455</v>
      </c>
      <c r="D2" s="21"/>
      <c r="E2" s="21"/>
      <c r="F2" s="21"/>
      <c r="G2" s="21"/>
      <c r="H2" s="21"/>
      <c r="I2" s="21"/>
      <c r="J2" s="21"/>
      <c r="K2" s="21"/>
      <c r="L2" s="21"/>
      <c r="M2" s="21"/>
      <c r="N2" s="21"/>
      <c r="O2" s="21"/>
      <c r="P2" s="21"/>
      <c r="Q2" s="21"/>
      <c r="R2" s="21"/>
      <c r="S2" s="21"/>
      <c r="T2" s="21"/>
      <c r="U2" s="21"/>
      <c r="V2" s="21"/>
      <c r="W2" s="21"/>
      <c r="X2" s="21"/>
      <c r="Y2" s="21"/>
    </row>
    <row r="3">
      <c r="A3" s="21" t="s">
        <v>38</v>
      </c>
      <c r="B3" s="23" t="s">
        <v>1456</v>
      </c>
      <c r="C3" s="23" t="s">
        <v>1457</v>
      </c>
      <c r="D3" s="21"/>
      <c r="E3" s="21"/>
      <c r="F3" s="21"/>
      <c r="G3" s="21"/>
      <c r="H3" s="21"/>
      <c r="I3" s="21"/>
      <c r="J3" s="21"/>
      <c r="K3" s="21"/>
      <c r="L3" s="21"/>
      <c r="M3" s="21"/>
      <c r="N3" s="21"/>
      <c r="O3" s="21"/>
      <c r="P3" s="21"/>
      <c r="Q3" s="21"/>
      <c r="R3" s="21"/>
      <c r="S3" s="21"/>
      <c r="T3" s="21"/>
      <c r="U3" s="21"/>
      <c r="V3" s="21"/>
      <c r="W3" s="21"/>
      <c r="X3" s="21"/>
      <c r="Y3" s="21"/>
    </row>
    <row r="4">
      <c r="A4" s="21" t="s">
        <v>46</v>
      </c>
      <c r="B4" s="23" t="s">
        <v>1458</v>
      </c>
      <c r="C4" s="23" t="s">
        <v>1459</v>
      </c>
      <c r="D4" s="21"/>
      <c r="E4" s="21"/>
      <c r="F4" s="21"/>
      <c r="G4" s="21"/>
      <c r="H4" s="21"/>
      <c r="I4" s="21"/>
      <c r="J4" s="21"/>
      <c r="K4" s="21"/>
      <c r="L4" s="21"/>
      <c r="M4" s="21"/>
      <c r="N4" s="21"/>
      <c r="O4" s="21"/>
      <c r="P4" s="21"/>
      <c r="Q4" s="21"/>
      <c r="R4" s="21"/>
      <c r="S4" s="21"/>
      <c r="T4" s="21"/>
      <c r="U4" s="21"/>
      <c r="V4" s="21"/>
      <c r="W4" s="21"/>
      <c r="X4" s="21"/>
      <c r="Y4" s="21"/>
    </row>
    <row r="5">
      <c r="A5" s="21" t="s">
        <v>52</v>
      </c>
      <c r="B5" s="23" t="s">
        <v>1460</v>
      </c>
      <c r="C5" s="23" t="s">
        <v>1461</v>
      </c>
      <c r="D5" s="21"/>
      <c r="E5" s="21"/>
      <c r="F5" s="21"/>
      <c r="G5" s="21"/>
      <c r="H5" s="21"/>
      <c r="I5" s="21"/>
      <c r="J5" s="21"/>
      <c r="K5" s="21"/>
      <c r="L5" s="21"/>
      <c r="M5" s="21"/>
      <c r="N5" s="21"/>
      <c r="O5" s="21"/>
      <c r="P5" s="21"/>
      <c r="Q5" s="21"/>
      <c r="R5" s="21"/>
      <c r="S5" s="21"/>
      <c r="T5" s="21"/>
      <c r="U5" s="21"/>
      <c r="V5" s="21"/>
      <c r="W5" s="21"/>
      <c r="X5" s="21"/>
      <c r="Y5" s="21"/>
    </row>
    <row r="6">
      <c r="A6" s="21" t="s">
        <v>56</v>
      </c>
      <c r="B6" s="23" t="s">
        <v>1462</v>
      </c>
      <c r="C6" s="23" t="s">
        <v>1463</v>
      </c>
      <c r="D6" s="21"/>
      <c r="E6" s="21"/>
      <c r="F6" s="21"/>
      <c r="G6" s="21"/>
      <c r="H6" s="21"/>
      <c r="I6" s="21"/>
      <c r="J6" s="21"/>
      <c r="K6" s="21"/>
      <c r="L6" s="21"/>
      <c r="M6" s="21"/>
      <c r="N6" s="21"/>
      <c r="O6" s="21"/>
      <c r="P6" s="21"/>
      <c r="Q6" s="21"/>
      <c r="R6" s="21"/>
      <c r="S6" s="21"/>
      <c r="T6" s="21"/>
      <c r="U6" s="21"/>
      <c r="V6" s="21"/>
      <c r="W6" s="21"/>
      <c r="X6" s="21"/>
      <c r="Y6" s="21"/>
    </row>
    <row r="7">
      <c r="A7" s="21" t="s">
        <v>62</v>
      </c>
      <c r="B7" s="23" t="s">
        <v>1464</v>
      </c>
      <c r="C7" s="23" t="s">
        <v>1465</v>
      </c>
      <c r="D7" s="21"/>
      <c r="E7" s="21"/>
      <c r="F7" s="21"/>
      <c r="G7" s="21"/>
      <c r="H7" s="21"/>
      <c r="I7" s="21"/>
      <c r="J7" s="21"/>
      <c r="K7" s="21"/>
      <c r="L7" s="21"/>
      <c r="M7" s="21"/>
      <c r="N7" s="21"/>
      <c r="O7" s="21"/>
      <c r="P7" s="21"/>
      <c r="Q7" s="21"/>
      <c r="R7" s="21"/>
      <c r="S7" s="21"/>
      <c r="T7" s="21"/>
      <c r="U7" s="21"/>
      <c r="V7" s="21"/>
      <c r="W7" s="21"/>
      <c r="X7" s="21"/>
      <c r="Y7" s="21"/>
    </row>
    <row r="8">
      <c r="A8" s="21" t="s">
        <v>68</v>
      </c>
      <c r="B8" s="23" t="s">
        <v>1466</v>
      </c>
      <c r="C8" s="23" t="s">
        <v>1467</v>
      </c>
      <c r="D8" s="21"/>
      <c r="E8" s="21"/>
      <c r="F8" s="21"/>
      <c r="G8" s="21"/>
      <c r="H8" s="21"/>
      <c r="I8" s="21"/>
      <c r="J8" s="21"/>
      <c r="K8" s="21"/>
      <c r="L8" s="21"/>
      <c r="M8" s="21"/>
      <c r="N8" s="21"/>
      <c r="O8" s="21"/>
      <c r="P8" s="21"/>
      <c r="Q8" s="21"/>
      <c r="R8" s="21"/>
      <c r="S8" s="21"/>
      <c r="T8" s="21"/>
      <c r="U8" s="21"/>
      <c r="V8" s="21"/>
      <c r="W8" s="21"/>
      <c r="X8" s="21"/>
      <c r="Y8" s="21"/>
    </row>
    <row r="9">
      <c r="A9" s="21" t="s">
        <v>73</v>
      </c>
      <c r="B9" s="23" t="s">
        <v>1468</v>
      </c>
      <c r="C9" s="23" t="s">
        <v>1469</v>
      </c>
      <c r="D9" s="21"/>
      <c r="E9" s="21"/>
      <c r="F9" s="21"/>
      <c r="G9" s="21"/>
      <c r="H9" s="21"/>
      <c r="I9" s="21"/>
      <c r="J9" s="21"/>
      <c r="K9" s="21"/>
      <c r="L9" s="21"/>
      <c r="M9" s="21"/>
      <c r="N9" s="21"/>
      <c r="O9" s="21"/>
      <c r="P9" s="21"/>
      <c r="Q9" s="21"/>
      <c r="R9" s="21"/>
      <c r="S9" s="21"/>
      <c r="T9" s="21"/>
      <c r="U9" s="21"/>
      <c r="V9" s="21"/>
      <c r="W9" s="21"/>
      <c r="X9" s="21"/>
      <c r="Y9" s="21"/>
    </row>
    <row r="10">
      <c r="A10" s="21" t="s">
        <v>80</v>
      </c>
      <c r="B10" s="23" t="s">
        <v>1470</v>
      </c>
      <c r="C10" s="23" t="s">
        <v>1470</v>
      </c>
      <c r="D10" s="21"/>
      <c r="E10" s="21"/>
      <c r="F10" s="21"/>
      <c r="G10" s="21"/>
      <c r="H10" s="21"/>
      <c r="I10" s="21"/>
      <c r="J10" s="21"/>
      <c r="K10" s="21"/>
      <c r="L10" s="21"/>
      <c r="M10" s="21"/>
      <c r="N10" s="21"/>
      <c r="O10" s="21"/>
      <c r="P10" s="21"/>
      <c r="Q10" s="21"/>
      <c r="R10" s="21"/>
      <c r="S10" s="21"/>
      <c r="T10" s="21"/>
      <c r="U10" s="21"/>
      <c r="V10" s="21"/>
      <c r="W10" s="21"/>
      <c r="X10" s="21"/>
      <c r="Y10" s="21"/>
    </row>
    <row r="11">
      <c r="A11" s="21" t="s">
        <v>85</v>
      </c>
      <c r="B11" s="23" t="s">
        <v>1471</v>
      </c>
      <c r="C11" s="23" t="s">
        <v>1472</v>
      </c>
      <c r="D11" s="21"/>
      <c r="E11" s="21"/>
      <c r="F11" s="21"/>
      <c r="G11" s="21"/>
      <c r="H11" s="21"/>
      <c r="I11" s="21"/>
      <c r="J11" s="21"/>
      <c r="K11" s="21"/>
      <c r="L11" s="21"/>
      <c r="M11" s="21"/>
      <c r="N11" s="21"/>
      <c r="O11" s="21"/>
      <c r="P11" s="21"/>
      <c r="Q11" s="21"/>
      <c r="R11" s="21"/>
      <c r="S11" s="21"/>
      <c r="T11" s="21"/>
      <c r="U11" s="21"/>
      <c r="V11" s="21"/>
      <c r="W11" s="21"/>
      <c r="X11" s="21"/>
      <c r="Y11" s="21"/>
    </row>
    <row r="12">
      <c r="A12" s="21" t="s">
        <v>89</v>
      </c>
      <c r="B12" s="23" t="s">
        <v>1473</v>
      </c>
      <c r="C12" s="23" t="s">
        <v>1474</v>
      </c>
      <c r="D12" s="21"/>
      <c r="E12" s="21"/>
      <c r="F12" s="21"/>
      <c r="G12" s="21"/>
      <c r="H12" s="21"/>
      <c r="I12" s="21"/>
      <c r="J12" s="21"/>
      <c r="K12" s="21"/>
      <c r="L12" s="21"/>
      <c r="M12" s="21"/>
      <c r="N12" s="21"/>
      <c r="O12" s="21"/>
      <c r="P12" s="21"/>
      <c r="Q12" s="21"/>
      <c r="R12" s="21"/>
      <c r="S12" s="21"/>
      <c r="T12" s="21"/>
      <c r="U12" s="21"/>
      <c r="V12" s="21"/>
      <c r="W12" s="21"/>
      <c r="X12" s="21"/>
      <c r="Y12" s="21"/>
    </row>
    <row r="13">
      <c r="A13" s="21" t="s">
        <v>94</v>
      </c>
      <c r="B13" s="23" t="s">
        <v>1475</v>
      </c>
      <c r="C13" s="23" t="s">
        <v>1476</v>
      </c>
      <c r="D13" s="21"/>
      <c r="E13" s="21"/>
      <c r="F13" s="21"/>
      <c r="G13" s="21"/>
      <c r="H13" s="21"/>
      <c r="I13" s="21"/>
      <c r="J13" s="21"/>
      <c r="K13" s="21"/>
      <c r="L13" s="21"/>
      <c r="M13" s="21"/>
      <c r="N13" s="21"/>
      <c r="O13" s="21"/>
      <c r="P13" s="21"/>
      <c r="Q13" s="21"/>
      <c r="R13" s="21"/>
      <c r="S13" s="21"/>
      <c r="T13" s="21"/>
      <c r="U13" s="21"/>
      <c r="V13" s="21"/>
      <c r="W13" s="21"/>
      <c r="X13" s="21"/>
      <c r="Y13" s="21"/>
    </row>
    <row r="14">
      <c r="A14" s="21" t="s">
        <v>99</v>
      </c>
      <c r="B14" s="23" t="s">
        <v>1477</v>
      </c>
      <c r="C14" s="23" t="s">
        <v>1478</v>
      </c>
      <c r="D14" s="21"/>
      <c r="E14" s="21"/>
      <c r="F14" s="21"/>
      <c r="G14" s="21"/>
      <c r="H14" s="21"/>
      <c r="I14" s="21"/>
      <c r="J14" s="21"/>
      <c r="K14" s="21"/>
      <c r="L14" s="21"/>
      <c r="M14" s="21"/>
      <c r="N14" s="21"/>
      <c r="O14" s="21"/>
      <c r="P14" s="21"/>
      <c r="Q14" s="21"/>
      <c r="R14" s="21"/>
      <c r="S14" s="21"/>
      <c r="T14" s="21"/>
      <c r="U14" s="21"/>
      <c r="V14" s="21"/>
      <c r="W14" s="21"/>
      <c r="X14" s="21"/>
      <c r="Y14" s="21"/>
    </row>
    <row r="15">
      <c r="A15" s="21" t="s">
        <v>104</v>
      </c>
      <c r="B15" s="23" t="s">
        <v>1479</v>
      </c>
      <c r="C15" s="23" t="s">
        <v>1480</v>
      </c>
      <c r="D15" s="21"/>
      <c r="E15" s="21"/>
      <c r="F15" s="21"/>
      <c r="G15" s="21"/>
      <c r="H15" s="21"/>
      <c r="I15" s="21"/>
      <c r="J15" s="21"/>
      <c r="K15" s="21"/>
      <c r="L15" s="21"/>
      <c r="M15" s="21"/>
      <c r="N15" s="21"/>
      <c r="O15" s="21"/>
      <c r="P15" s="21"/>
      <c r="Q15" s="21"/>
      <c r="R15" s="21"/>
      <c r="S15" s="21"/>
      <c r="T15" s="21"/>
      <c r="U15" s="21"/>
      <c r="V15" s="21"/>
      <c r="W15" s="21"/>
      <c r="X15" s="21"/>
      <c r="Y15" s="21"/>
    </row>
    <row r="16">
      <c r="A16" s="21" t="s">
        <v>109</v>
      </c>
      <c r="B16" s="23" t="s">
        <v>1481</v>
      </c>
      <c r="C16" s="23" t="s">
        <v>1481</v>
      </c>
      <c r="D16" s="21"/>
      <c r="E16" s="21"/>
      <c r="F16" s="21"/>
      <c r="G16" s="21"/>
      <c r="H16" s="21"/>
      <c r="I16" s="21"/>
      <c r="J16" s="21"/>
      <c r="K16" s="21"/>
      <c r="L16" s="21"/>
      <c r="M16" s="21"/>
      <c r="N16" s="21"/>
      <c r="O16" s="21"/>
      <c r="P16" s="21"/>
      <c r="Q16" s="21"/>
      <c r="R16" s="21"/>
      <c r="S16" s="21"/>
      <c r="T16" s="21"/>
      <c r="U16" s="21"/>
      <c r="V16" s="21"/>
      <c r="W16" s="21"/>
      <c r="X16" s="21"/>
      <c r="Y16" s="21"/>
    </row>
    <row r="17">
      <c r="A17" s="21" t="s">
        <v>112</v>
      </c>
      <c r="B17" s="23" t="s">
        <v>1482</v>
      </c>
      <c r="C17" s="23" t="s">
        <v>1483</v>
      </c>
      <c r="D17" s="21"/>
      <c r="E17" s="21"/>
      <c r="F17" s="21"/>
      <c r="G17" s="21"/>
      <c r="H17" s="21"/>
      <c r="I17" s="21"/>
      <c r="J17" s="21"/>
      <c r="K17" s="21"/>
      <c r="L17" s="21"/>
      <c r="M17" s="21"/>
      <c r="N17" s="21"/>
      <c r="O17" s="21"/>
      <c r="P17" s="21"/>
      <c r="Q17" s="21"/>
      <c r="R17" s="21"/>
      <c r="S17" s="21"/>
      <c r="T17" s="21"/>
      <c r="U17" s="21"/>
      <c r="V17" s="21"/>
      <c r="W17" s="21"/>
      <c r="X17" s="21"/>
      <c r="Y17" s="21"/>
    </row>
    <row r="18">
      <c r="A18" s="21" t="s">
        <v>115</v>
      </c>
      <c r="B18" s="23" t="s">
        <v>1484</v>
      </c>
      <c r="C18" s="23" t="s">
        <v>1485</v>
      </c>
      <c r="D18" s="21"/>
      <c r="E18" s="21"/>
      <c r="F18" s="21"/>
      <c r="G18" s="21"/>
      <c r="H18" s="21"/>
      <c r="I18" s="21"/>
      <c r="J18" s="21"/>
      <c r="K18" s="21"/>
      <c r="L18" s="21"/>
      <c r="M18" s="21"/>
      <c r="N18" s="21"/>
      <c r="O18" s="21"/>
      <c r="P18" s="21"/>
      <c r="Q18" s="21"/>
      <c r="R18" s="21"/>
      <c r="S18" s="21"/>
      <c r="T18" s="21"/>
      <c r="U18" s="21"/>
      <c r="V18" s="21"/>
      <c r="W18" s="21"/>
      <c r="X18" s="21"/>
      <c r="Y18" s="21"/>
    </row>
    <row r="19">
      <c r="A19" s="21" t="s">
        <v>117</v>
      </c>
      <c r="B19" s="23" t="s">
        <v>1486</v>
      </c>
      <c r="C19" s="23" t="s">
        <v>1487</v>
      </c>
      <c r="D19" s="21"/>
      <c r="E19" s="21"/>
      <c r="F19" s="21"/>
      <c r="G19" s="21"/>
      <c r="H19" s="21"/>
      <c r="I19" s="21"/>
      <c r="J19" s="21"/>
      <c r="K19" s="21"/>
      <c r="L19" s="21"/>
      <c r="M19" s="21"/>
      <c r="N19" s="21"/>
      <c r="O19" s="21"/>
      <c r="P19" s="21"/>
      <c r="Q19" s="21"/>
      <c r="R19" s="21"/>
      <c r="S19" s="21"/>
      <c r="T19" s="21"/>
      <c r="U19" s="21"/>
      <c r="V19" s="21"/>
      <c r="W19" s="21"/>
      <c r="X19" s="21"/>
      <c r="Y19" s="21"/>
    </row>
    <row r="20">
      <c r="A20" s="21" t="s">
        <v>119</v>
      </c>
      <c r="B20" s="23" t="s">
        <v>1488</v>
      </c>
      <c r="C20" s="23" t="s">
        <v>1489</v>
      </c>
      <c r="D20" s="21"/>
      <c r="E20" s="21"/>
      <c r="F20" s="21"/>
      <c r="G20" s="21"/>
      <c r="H20" s="21"/>
      <c r="I20" s="21"/>
      <c r="J20" s="21"/>
      <c r="K20" s="21"/>
      <c r="L20" s="21"/>
      <c r="M20" s="21"/>
      <c r="N20" s="21"/>
      <c r="O20" s="21"/>
      <c r="P20" s="21"/>
      <c r="Q20" s="21"/>
      <c r="R20" s="21"/>
      <c r="S20" s="21"/>
      <c r="T20" s="21"/>
      <c r="U20" s="21"/>
      <c r="V20" s="21"/>
      <c r="W20" s="21"/>
      <c r="X20" s="21"/>
      <c r="Y20" s="21"/>
    </row>
    <row r="21">
      <c r="A21" s="21" t="s">
        <v>122</v>
      </c>
      <c r="B21" s="23" t="s">
        <v>1490</v>
      </c>
      <c r="C21" s="23" t="s">
        <v>1491</v>
      </c>
      <c r="D21" s="21"/>
      <c r="E21" s="21"/>
      <c r="F21" s="21"/>
      <c r="G21" s="21"/>
      <c r="H21" s="21"/>
      <c r="I21" s="21"/>
      <c r="J21" s="21"/>
      <c r="K21" s="21"/>
      <c r="L21" s="21"/>
      <c r="M21" s="21"/>
      <c r="N21" s="21"/>
      <c r="O21" s="21"/>
      <c r="P21" s="21"/>
      <c r="Q21" s="21"/>
      <c r="R21" s="21"/>
      <c r="S21" s="21"/>
      <c r="T21" s="21"/>
      <c r="U21" s="21"/>
      <c r="V21" s="21"/>
      <c r="W21" s="21"/>
      <c r="X21" s="21"/>
      <c r="Y21" s="21"/>
    </row>
    <row r="22">
      <c r="A22" s="21" t="s">
        <v>127</v>
      </c>
      <c r="B22" s="23" t="s">
        <v>1492</v>
      </c>
      <c r="C22" s="23" t="s">
        <v>1493</v>
      </c>
      <c r="D22" s="21"/>
      <c r="E22" s="21"/>
      <c r="F22" s="21"/>
      <c r="G22" s="21"/>
      <c r="H22" s="21"/>
      <c r="I22" s="21"/>
      <c r="J22" s="21"/>
      <c r="K22" s="21"/>
      <c r="L22" s="21"/>
      <c r="M22" s="21"/>
      <c r="N22" s="21"/>
      <c r="O22" s="21"/>
      <c r="P22" s="21"/>
      <c r="Q22" s="21"/>
      <c r="R22" s="21"/>
      <c r="S22" s="21"/>
      <c r="T22" s="21"/>
      <c r="U22" s="21"/>
      <c r="V22" s="21"/>
      <c r="W22" s="21"/>
      <c r="X22" s="21"/>
      <c r="Y22" s="21"/>
    </row>
    <row r="23">
      <c r="A23" s="21" t="s">
        <v>131</v>
      </c>
      <c r="B23" s="23" t="s">
        <v>1494</v>
      </c>
      <c r="C23" s="23" t="s">
        <v>1495</v>
      </c>
      <c r="D23" s="21"/>
      <c r="E23" s="21"/>
      <c r="F23" s="21"/>
      <c r="G23" s="21"/>
      <c r="H23" s="21"/>
      <c r="I23" s="21"/>
      <c r="J23" s="21"/>
      <c r="K23" s="21"/>
      <c r="L23" s="21"/>
      <c r="M23" s="21"/>
      <c r="N23" s="21"/>
      <c r="O23" s="21"/>
      <c r="P23" s="21"/>
      <c r="Q23" s="21"/>
      <c r="R23" s="21"/>
      <c r="S23" s="21"/>
      <c r="T23" s="21"/>
      <c r="U23" s="21"/>
      <c r="V23" s="21"/>
      <c r="W23" s="21"/>
      <c r="X23" s="21"/>
      <c r="Y23" s="21"/>
    </row>
    <row r="24">
      <c r="A24" s="21" t="s">
        <v>135</v>
      </c>
      <c r="B24" s="23" t="s">
        <v>1496</v>
      </c>
      <c r="C24" s="23" t="s">
        <v>1497</v>
      </c>
      <c r="D24" s="21"/>
      <c r="E24" s="21"/>
      <c r="F24" s="21"/>
      <c r="G24" s="21"/>
      <c r="H24" s="21"/>
      <c r="I24" s="21"/>
      <c r="J24" s="21"/>
      <c r="K24" s="21"/>
      <c r="L24" s="21"/>
      <c r="M24" s="21"/>
      <c r="N24" s="21"/>
      <c r="O24" s="21"/>
      <c r="P24" s="21"/>
      <c r="Q24" s="21"/>
      <c r="R24" s="21"/>
      <c r="S24" s="21"/>
      <c r="T24" s="21"/>
      <c r="U24" s="21"/>
      <c r="V24" s="21"/>
      <c r="W24" s="21"/>
      <c r="X24" s="21"/>
      <c r="Y24" s="21"/>
    </row>
    <row r="25">
      <c r="A25" s="21" t="s">
        <v>137</v>
      </c>
      <c r="B25" s="23" t="s">
        <v>1498</v>
      </c>
      <c r="C25" s="23" t="s">
        <v>1499</v>
      </c>
      <c r="D25" s="21"/>
      <c r="E25" s="21"/>
      <c r="F25" s="21"/>
      <c r="G25" s="21"/>
      <c r="H25" s="21"/>
      <c r="I25" s="21"/>
      <c r="J25" s="21"/>
      <c r="K25" s="21"/>
      <c r="L25" s="21"/>
      <c r="M25" s="21"/>
      <c r="N25" s="21"/>
      <c r="O25" s="21"/>
      <c r="P25" s="21"/>
      <c r="Q25" s="21"/>
      <c r="R25" s="21"/>
      <c r="S25" s="21"/>
      <c r="T25" s="21"/>
      <c r="U25" s="21"/>
      <c r="V25" s="21"/>
      <c r="W25" s="21"/>
      <c r="X25" s="21"/>
      <c r="Y25" s="21"/>
    </row>
    <row r="26">
      <c r="A26" s="21" t="s">
        <v>141</v>
      </c>
      <c r="B26" s="23" t="s">
        <v>1500</v>
      </c>
      <c r="C26" s="23" t="s">
        <v>1501</v>
      </c>
      <c r="D26" s="21"/>
      <c r="E26" s="21"/>
      <c r="F26" s="21"/>
      <c r="G26" s="21"/>
      <c r="H26" s="21"/>
      <c r="I26" s="21"/>
      <c r="J26" s="21"/>
      <c r="K26" s="21"/>
      <c r="L26" s="21"/>
      <c r="M26" s="21"/>
      <c r="N26" s="21"/>
      <c r="O26" s="21"/>
      <c r="P26" s="21"/>
      <c r="Q26" s="21"/>
      <c r="R26" s="21"/>
      <c r="S26" s="21"/>
      <c r="T26" s="21"/>
      <c r="U26" s="21"/>
      <c r="V26" s="21"/>
      <c r="W26" s="21"/>
      <c r="X26" s="21"/>
      <c r="Y26" s="21"/>
    </row>
    <row r="27">
      <c r="A27" s="21" t="s">
        <v>145</v>
      </c>
      <c r="B27" s="23" t="s">
        <v>1502</v>
      </c>
      <c r="C27" s="23" t="s">
        <v>1503</v>
      </c>
      <c r="D27" s="21"/>
      <c r="E27" s="21"/>
      <c r="F27" s="21"/>
      <c r="G27" s="21"/>
      <c r="H27" s="21"/>
      <c r="I27" s="21"/>
      <c r="J27" s="21"/>
      <c r="K27" s="21"/>
      <c r="L27" s="21"/>
      <c r="M27" s="21"/>
      <c r="N27" s="21"/>
      <c r="O27" s="21"/>
      <c r="P27" s="21"/>
      <c r="Q27" s="21"/>
      <c r="R27" s="21"/>
      <c r="S27" s="21"/>
      <c r="T27" s="21"/>
      <c r="U27" s="21"/>
      <c r="V27" s="21"/>
      <c r="W27" s="21"/>
      <c r="X27" s="21"/>
      <c r="Y27" s="21"/>
    </row>
    <row r="28">
      <c r="A28" s="21" t="s">
        <v>147</v>
      </c>
      <c r="B28" s="23" t="s">
        <v>1504</v>
      </c>
      <c r="C28" s="23" t="s">
        <v>1505</v>
      </c>
      <c r="D28" s="21"/>
      <c r="E28" s="21"/>
      <c r="F28" s="21"/>
      <c r="G28" s="21"/>
      <c r="H28" s="21"/>
      <c r="I28" s="21"/>
      <c r="J28" s="21"/>
      <c r="K28" s="21"/>
      <c r="L28" s="21"/>
      <c r="M28" s="21"/>
      <c r="N28" s="21"/>
      <c r="O28" s="21"/>
      <c r="P28" s="21"/>
      <c r="Q28" s="21"/>
      <c r="R28" s="21"/>
      <c r="S28" s="21"/>
      <c r="T28" s="21"/>
      <c r="U28" s="21"/>
      <c r="V28" s="21"/>
      <c r="W28" s="21"/>
      <c r="X28" s="21"/>
      <c r="Y28" s="21"/>
    </row>
    <row r="29">
      <c r="A29" s="21" t="s">
        <v>150</v>
      </c>
      <c r="B29" s="23" t="s">
        <v>1506</v>
      </c>
      <c r="C29" s="23" t="s">
        <v>1507</v>
      </c>
      <c r="D29" s="21"/>
      <c r="E29" s="21"/>
      <c r="F29" s="21"/>
      <c r="G29" s="21"/>
      <c r="H29" s="21"/>
      <c r="I29" s="21"/>
      <c r="J29" s="21"/>
      <c r="K29" s="21"/>
      <c r="L29" s="21"/>
      <c r="M29" s="21"/>
      <c r="N29" s="21"/>
      <c r="O29" s="21"/>
      <c r="P29" s="21"/>
      <c r="Q29" s="21"/>
      <c r="R29" s="21"/>
      <c r="S29" s="21"/>
      <c r="T29" s="21"/>
      <c r="U29" s="21"/>
      <c r="V29" s="21"/>
      <c r="W29" s="21"/>
      <c r="X29" s="21"/>
      <c r="Y29" s="21"/>
    </row>
    <row r="30">
      <c r="A30" s="21" t="s">
        <v>154</v>
      </c>
      <c r="B30" s="23" t="s">
        <v>1508</v>
      </c>
      <c r="C30" s="23" t="s">
        <v>1509</v>
      </c>
      <c r="D30" s="21"/>
      <c r="E30" s="21"/>
      <c r="F30" s="21"/>
      <c r="G30" s="21"/>
      <c r="H30" s="21"/>
      <c r="I30" s="21"/>
      <c r="J30" s="21"/>
      <c r="K30" s="21"/>
      <c r="L30" s="21"/>
      <c r="M30" s="21"/>
      <c r="N30" s="21"/>
      <c r="O30" s="21"/>
      <c r="P30" s="21"/>
      <c r="Q30" s="21"/>
      <c r="R30" s="21"/>
      <c r="S30" s="21"/>
      <c r="T30" s="21"/>
      <c r="U30" s="21"/>
      <c r="V30" s="21"/>
      <c r="W30" s="21"/>
      <c r="X30" s="21"/>
      <c r="Y30" s="21"/>
    </row>
    <row r="31">
      <c r="A31" s="21" t="s">
        <v>156</v>
      </c>
      <c r="B31" s="23" t="s">
        <v>1510</v>
      </c>
      <c r="C31" s="23" t="s">
        <v>1511</v>
      </c>
      <c r="D31" s="21"/>
      <c r="E31" s="21"/>
      <c r="F31" s="21"/>
      <c r="G31" s="21"/>
      <c r="H31" s="21"/>
      <c r="I31" s="21"/>
      <c r="J31" s="21"/>
      <c r="K31" s="21"/>
      <c r="L31" s="21"/>
      <c r="M31" s="21"/>
      <c r="N31" s="21"/>
      <c r="O31" s="21"/>
      <c r="P31" s="21"/>
      <c r="Q31" s="21"/>
      <c r="R31" s="21"/>
      <c r="S31" s="21"/>
      <c r="T31" s="21"/>
      <c r="U31" s="21"/>
      <c r="V31" s="21"/>
      <c r="W31" s="21"/>
      <c r="X31" s="21"/>
      <c r="Y31" s="21"/>
    </row>
    <row r="32">
      <c r="A32" s="21" t="s">
        <v>159</v>
      </c>
      <c r="B32" s="23" t="s">
        <v>1512</v>
      </c>
      <c r="C32" s="23" t="s">
        <v>1513</v>
      </c>
      <c r="D32" s="21"/>
      <c r="E32" s="21"/>
      <c r="F32" s="21"/>
      <c r="G32" s="21"/>
      <c r="H32" s="21"/>
      <c r="I32" s="21"/>
      <c r="J32" s="21"/>
      <c r="K32" s="21"/>
      <c r="L32" s="21"/>
      <c r="M32" s="21"/>
      <c r="N32" s="21"/>
      <c r="O32" s="21"/>
      <c r="P32" s="21"/>
      <c r="Q32" s="21"/>
      <c r="R32" s="21"/>
      <c r="S32" s="21"/>
      <c r="T32" s="21"/>
      <c r="U32" s="21"/>
      <c r="V32" s="21"/>
      <c r="W32" s="21"/>
      <c r="X32" s="21"/>
      <c r="Y32" s="21"/>
    </row>
    <row r="33">
      <c r="A33" s="21" t="s">
        <v>163</v>
      </c>
      <c r="B33" s="23" t="s">
        <v>1514</v>
      </c>
      <c r="C33" s="23" t="s">
        <v>1515</v>
      </c>
      <c r="D33" s="21"/>
      <c r="E33" s="21"/>
      <c r="F33" s="21"/>
      <c r="G33" s="21"/>
      <c r="H33" s="21"/>
      <c r="I33" s="21"/>
      <c r="J33" s="21"/>
      <c r="K33" s="21"/>
      <c r="L33" s="21"/>
      <c r="M33" s="21"/>
      <c r="N33" s="21"/>
      <c r="O33" s="21"/>
      <c r="P33" s="21"/>
      <c r="Q33" s="21"/>
      <c r="R33" s="21"/>
      <c r="S33" s="21"/>
      <c r="T33" s="21"/>
      <c r="U33" s="21"/>
      <c r="V33" s="21"/>
      <c r="W33" s="21"/>
      <c r="X33" s="21"/>
      <c r="Y33" s="21"/>
    </row>
    <row r="34">
      <c r="A34" s="21" t="s">
        <v>169</v>
      </c>
      <c r="B34" s="23" t="s">
        <v>1516</v>
      </c>
      <c r="C34" s="23" t="s">
        <v>1517</v>
      </c>
      <c r="D34" s="21"/>
      <c r="E34" s="21"/>
      <c r="F34" s="21"/>
      <c r="G34" s="21"/>
      <c r="H34" s="21"/>
      <c r="I34" s="21"/>
      <c r="J34" s="21"/>
      <c r="K34" s="21"/>
      <c r="L34" s="21"/>
      <c r="M34" s="21"/>
      <c r="N34" s="21"/>
      <c r="O34" s="21"/>
      <c r="P34" s="21"/>
      <c r="Q34" s="21"/>
      <c r="R34" s="21"/>
      <c r="S34" s="21"/>
      <c r="T34" s="21"/>
      <c r="U34" s="21"/>
      <c r="V34" s="21"/>
      <c r="W34" s="21"/>
      <c r="X34" s="21"/>
      <c r="Y34" s="21"/>
    </row>
    <row r="35">
      <c r="A35" s="21" t="s">
        <v>173</v>
      </c>
      <c r="B35" s="23" t="s">
        <v>1518</v>
      </c>
      <c r="C35" s="23" t="s">
        <v>1519</v>
      </c>
      <c r="D35" s="21"/>
      <c r="E35" s="21"/>
      <c r="F35" s="21"/>
      <c r="G35" s="21"/>
      <c r="H35" s="21"/>
      <c r="I35" s="21"/>
      <c r="J35" s="21"/>
      <c r="K35" s="21"/>
      <c r="L35" s="21"/>
      <c r="M35" s="21"/>
      <c r="N35" s="21"/>
      <c r="O35" s="21"/>
      <c r="P35" s="21"/>
      <c r="Q35" s="21"/>
      <c r="R35" s="21"/>
      <c r="S35" s="21"/>
      <c r="T35" s="21"/>
      <c r="U35" s="21"/>
      <c r="V35" s="21"/>
      <c r="W35" s="21"/>
      <c r="X35" s="21"/>
      <c r="Y35" s="21"/>
    </row>
    <row r="36">
      <c r="A36" s="21" t="s">
        <v>176</v>
      </c>
      <c r="B36" s="23" t="s">
        <v>1520</v>
      </c>
      <c r="C36" s="23" t="s">
        <v>1521</v>
      </c>
      <c r="D36" s="21"/>
      <c r="E36" s="21"/>
      <c r="F36" s="21"/>
      <c r="G36" s="21"/>
      <c r="H36" s="21"/>
      <c r="I36" s="21"/>
      <c r="J36" s="21"/>
      <c r="K36" s="21"/>
      <c r="L36" s="21"/>
      <c r="M36" s="21"/>
      <c r="N36" s="21"/>
      <c r="O36" s="21"/>
      <c r="P36" s="21"/>
      <c r="Q36" s="21"/>
      <c r="R36" s="21"/>
      <c r="S36" s="21"/>
      <c r="T36" s="21"/>
      <c r="U36" s="21"/>
      <c r="V36" s="21"/>
      <c r="W36" s="21"/>
      <c r="X36" s="21"/>
      <c r="Y36" s="21"/>
    </row>
    <row r="37">
      <c r="A37" s="21" t="s">
        <v>179</v>
      </c>
      <c r="B37" s="23" t="s">
        <v>1522</v>
      </c>
      <c r="C37" s="23" t="s">
        <v>1523</v>
      </c>
      <c r="D37" s="21"/>
      <c r="E37" s="21"/>
      <c r="F37" s="21"/>
      <c r="G37" s="21"/>
      <c r="H37" s="21"/>
      <c r="I37" s="21"/>
      <c r="J37" s="21"/>
      <c r="K37" s="21"/>
      <c r="L37" s="21"/>
      <c r="M37" s="21"/>
      <c r="N37" s="21"/>
      <c r="O37" s="21"/>
      <c r="P37" s="21"/>
      <c r="Q37" s="21"/>
      <c r="R37" s="21"/>
      <c r="S37" s="21"/>
      <c r="T37" s="21"/>
      <c r="U37" s="21"/>
      <c r="V37" s="21"/>
      <c r="W37" s="21"/>
      <c r="X37" s="21"/>
      <c r="Y37" s="21"/>
    </row>
    <row r="38">
      <c r="A38" s="21" t="s">
        <v>185</v>
      </c>
      <c r="B38" s="23" t="s">
        <v>1524</v>
      </c>
      <c r="C38" s="23" t="s">
        <v>1525</v>
      </c>
      <c r="D38" s="21"/>
      <c r="E38" s="21"/>
      <c r="F38" s="21"/>
      <c r="G38" s="21"/>
      <c r="H38" s="21"/>
      <c r="I38" s="21"/>
      <c r="J38" s="21"/>
      <c r="K38" s="21"/>
      <c r="L38" s="21"/>
      <c r="M38" s="21"/>
      <c r="N38" s="21"/>
      <c r="O38" s="21"/>
      <c r="P38" s="21"/>
      <c r="Q38" s="21"/>
      <c r="R38" s="21"/>
      <c r="S38" s="21"/>
      <c r="T38" s="21"/>
      <c r="U38" s="21"/>
      <c r="V38" s="21"/>
      <c r="W38" s="21"/>
      <c r="X38" s="21"/>
      <c r="Y38" s="21"/>
    </row>
    <row r="39">
      <c r="A39" s="21" t="s">
        <v>187</v>
      </c>
      <c r="B39" s="23" t="s">
        <v>1526</v>
      </c>
      <c r="C39" s="23" t="s">
        <v>1527</v>
      </c>
      <c r="D39" s="21"/>
      <c r="E39" s="21"/>
      <c r="F39" s="21"/>
      <c r="G39" s="21"/>
      <c r="H39" s="21"/>
      <c r="I39" s="21"/>
      <c r="J39" s="21"/>
      <c r="K39" s="21"/>
      <c r="L39" s="21"/>
      <c r="M39" s="21"/>
      <c r="N39" s="21"/>
      <c r="O39" s="21"/>
      <c r="P39" s="21"/>
      <c r="Q39" s="21"/>
      <c r="R39" s="21"/>
      <c r="S39" s="21"/>
      <c r="T39" s="21"/>
      <c r="U39" s="21"/>
      <c r="V39" s="21"/>
      <c r="W39" s="21"/>
      <c r="X39" s="21"/>
      <c r="Y39" s="21"/>
    </row>
    <row r="40">
      <c r="A40" s="21" t="s">
        <v>189</v>
      </c>
      <c r="B40" s="23" t="s">
        <v>1528</v>
      </c>
      <c r="C40" s="23" t="s">
        <v>1529</v>
      </c>
      <c r="D40" s="21"/>
      <c r="E40" s="21"/>
      <c r="F40" s="21"/>
      <c r="G40" s="21"/>
      <c r="H40" s="21"/>
      <c r="I40" s="21"/>
      <c r="J40" s="21"/>
      <c r="K40" s="21"/>
      <c r="L40" s="21"/>
      <c r="M40" s="21"/>
      <c r="N40" s="21"/>
      <c r="O40" s="21"/>
      <c r="P40" s="21"/>
      <c r="Q40" s="21"/>
      <c r="R40" s="21"/>
      <c r="S40" s="21"/>
      <c r="T40" s="21"/>
      <c r="U40" s="21"/>
      <c r="V40" s="21"/>
      <c r="W40" s="21"/>
      <c r="X40" s="21"/>
      <c r="Y40" s="21"/>
    </row>
    <row r="41">
      <c r="A41" s="21" t="s">
        <v>193</v>
      </c>
      <c r="B41" s="23" t="s">
        <v>1530</v>
      </c>
      <c r="C41" s="23" t="s">
        <v>1531</v>
      </c>
      <c r="D41" s="21"/>
      <c r="E41" s="21"/>
      <c r="F41" s="21"/>
      <c r="G41" s="21"/>
      <c r="H41" s="21"/>
      <c r="I41" s="21"/>
      <c r="J41" s="21"/>
      <c r="K41" s="21"/>
      <c r="L41" s="21"/>
      <c r="M41" s="21"/>
      <c r="N41" s="21"/>
      <c r="O41" s="21"/>
      <c r="P41" s="21"/>
      <c r="Q41" s="21"/>
      <c r="R41" s="21"/>
      <c r="S41" s="21"/>
      <c r="T41" s="21"/>
      <c r="U41" s="21"/>
      <c r="V41" s="21"/>
      <c r="W41" s="21"/>
      <c r="X41" s="21"/>
      <c r="Y41" s="21"/>
    </row>
    <row r="42">
      <c r="A42" s="21" t="s">
        <v>197</v>
      </c>
      <c r="B42" s="23" t="s">
        <v>1532</v>
      </c>
      <c r="C42" s="23" t="s">
        <v>1533</v>
      </c>
      <c r="D42" s="21"/>
      <c r="E42" s="21"/>
      <c r="F42" s="21"/>
      <c r="G42" s="21"/>
      <c r="H42" s="21"/>
      <c r="I42" s="21"/>
      <c r="J42" s="21"/>
      <c r="K42" s="21"/>
      <c r="L42" s="21"/>
      <c r="M42" s="21"/>
      <c r="N42" s="21"/>
      <c r="O42" s="21"/>
      <c r="P42" s="21"/>
      <c r="Q42" s="21"/>
      <c r="R42" s="21"/>
      <c r="S42" s="21"/>
      <c r="T42" s="21"/>
      <c r="U42" s="21"/>
      <c r="V42" s="21"/>
      <c r="W42" s="21"/>
      <c r="X42" s="21"/>
      <c r="Y42" s="21"/>
    </row>
    <row r="43">
      <c r="A43" s="21" t="s">
        <v>203</v>
      </c>
      <c r="B43" s="23" t="s">
        <v>1534</v>
      </c>
      <c r="C43" s="23" t="s">
        <v>1535</v>
      </c>
      <c r="D43" s="21"/>
      <c r="E43" s="21"/>
      <c r="F43" s="21"/>
      <c r="G43" s="21"/>
      <c r="H43" s="21"/>
      <c r="I43" s="21"/>
      <c r="J43" s="21"/>
      <c r="K43" s="21"/>
      <c r="L43" s="21"/>
      <c r="M43" s="21"/>
      <c r="N43" s="21"/>
      <c r="O43" s="21"/>
      <c r="P43" s="21"/>
      <c r="Q43" s="21"/>
      <c r="R43" s="21"/>
      <c r="S43" s="21"/>
      <c r="T43" s="21"/>
      <c r="U43" s="21"/>
      <c r="V43" s="21"/>
      <c r="W43" s="21"/>
      <c r="X43" s="21"/>
      <c r="Y43" s="21"/>
    </row>
    <row r="44">
      <c r="A44" s="21" t="s">
        <v>209</v>
      </c>
      <c r="B44" s="23" t="s">
        <v>1536</v>
      </c>
      <c r="C44" s="23" t="s">
        <v>1537</v>
      </c>
      <c r="D44" s="21"/>
      <c r="E44" s="21"/>
      <c r="F44" s="21"/>
      <c r="G44" s="21"/>
      <c r="H44" s="21"/>
      <c r="I44" s="21"/>
      <c r="J44" s="21"/>
      <c r="K44" s="21"/>
      <c r="L44" s="21"/>
      <c r="M44" s="21"/>
      <c r="N44" s="21"/>
      <c r="O44" s="21"/>
      <c r="P44" s="21"/>
      <c r="Q44" s="21"/>
      <c r="R44" s="21"/>
      <c r="S44" s="21"/>
      <c r="T44" s="21"/>
      <c r="U44" s="21"/>
      <c r="V44" s="21"/>
      <c r="W44" s="21"/>
      <c r="X44" s="21"/>
      <c r="Y44" s="21"/>
    </row>
    <row r="45">
      <c r="A45" s="21" t="s">
        <v>214</v>
      </c>
      <c r="B45" s="23" t="s">
        <v>1538</v>
      </c>
      <c r="C45" s="23" t="s">
        <v>1539</v>
      </c>
      <c r="D45" s="21"/>
      <c r="E45" s="21"/>
      <c r="F45" s="21"/>
      <c r="G45" s="21"/>
      <c r="H45" s="21"/>
      <c r="I45" s="21"/>
      <c r="J45" s="21"/>
      <c r="K45" s="21"/>
      <c r="L45" s="21"/>
      <c r="M45" s="21"/>
      <c r="N45" s="21"/>
      <c r="O45" s="21"/>
      <c r="P45" s="21"/>
      <c r="Q45" s="21"/>
      <c r="R45" s="21"/>
      <c r="S45" s="21"/>
      <c r="T45" s="21"/>
      <c r="U45" s="21"/>
      <c r="V45" s="21"/>
      <c r="W45" s="21"/>
      <c r="X45" s="21"/>
      <c r="Y45" s="21"/>
    </row>
    <row r="46">
      <c r="A46" s="21" t="s">
        <v>219</v>
      </c>
      <c r="B46" s="23" t="s">
        <v>1540</v>
      </c>
      <c r="C46" s="23" t="s">
        <v>1541</v>
      </c>
      <c r="D46" s="21"/>
      <c r="E46" s="21"/>
      <c r="F46" s="21"/>
      <c r="G46" s="21"/>
      <c r="H46" s="21"/>
      <c r="I46" s="21"/>
      <c r="J46" s="21"/>
      <c r="K46" s="21"/>
      <c r="L46" s="21"/>
      <c r="M46" s="21"/>
      <c r="N46" s="21"/>
      <c r="O46" s="21"/>
      <c r="P46" s="21"/>
      <c r="Q46" s="21"/>
      <c r="R46" s="21"/>
      <c r="S46" s="21"/>
      <c r="T46" s="21"/>
      <c r="U46" s="21"/>
      <c r="V46" s="21"/>
      <c r="W46" s="21"/>
      <c r="X46" s="21"/>
      <c r="Y46" s="21"/>
    </row>
    <row r="47">
      <c r="A47" s="21" t="s">
        <v>223</v>
      </c>
      <c r="B47" s="23" t="s">
        <v>1542</v>
      </c>
      <c r="C47" s="23" t="s">
        <v>1543</v>
      </c>
      <c r="D47" s="21"/>
      <c r="E47" s="21"/>
      <c r="F47" s="21"/>
      <c r="G47" s="21"/>
      <c r="H47" s="21"/>
      <c r="I47" s="21"/>
      <c r="J47" s="21"/>
      <c r="K47" s="21"/>
      <c r="L47" s="21"/>
      <c r="M47" s="21"/>
      <c r="N47" s="21"/>
      <c r="O47" s="21"/>
      <c r="P47" s="21"/>
      <c r="Q47" s="21"/>
      <c r="R47" s="21"/>
      <c r="S47" s="21"/>
      <c r="T47" s="21"/>
      <c r="U47" s="21"/>
      <c r="V47" s="21"/>
      <c r="W47" s="21"/>
      <c r="X47" s="21"/>
      <c r="Y47" s="21"/>
    </row>
    <row r="48">
      <c r="A48" s="21" t="s">
        <v>227</v>
      </c>
      <c r="B48" s="23" t="s">
        <v>1544</v>
      </c>
      <c r="C48" s="23" t="s">
        <v>1545</v>
      </c>
      <c r="D48" s="21"/>
      <c r="E48" s="21"/>
      <c r="F48" s="21"/>
      <c r="G48" s="21"/>
      <c r="H48" s="21"/>
      <c r="I48" s="21"/>
      <c r="J48" s="21"/>
      <c r="K48" s="21"/>
      <c r="L48" s="21"/>
      <c r="M48" s="21"/>
      <c r="N48" s="21"/>
      <c r="O48" s="21"/>
      <c r="P48" s="21"/>
      <c r="Q48" s="21"/>
      <c r="R48" s="21"/>
      <c r="S48" s="21"/>
      <c r="T48" s="21"/>
      <c r="U48" s="21"/>
      <c r="V48" s="21"/>
      <c r="W48" s="21"/>
      <c r="X48" s="21"/>
      <c r="Y48" s="21"/>
    </row>
    <row r="49">
      <c r="A49" s="21" t="s">
        <v>232</v>
      </c>
      <c r="B49" s="23" t="s">
        <v>1546</v>
      </c>
      <c r="C49" s="23" t="s">
        <v>1547</v>
      </c>
      <c r="D49" s="21"/>
      <c r="E49" s="21"/>
      <c r="F49" s="21"/>
      <c r="G49" s="21"/>
      <c r="H49" s="21"/>
      <c r="I49" s="21"/>
      <c r="J49" s="21"/>
      <c r="K49" s="21"/>
      <c r="L49" s="21"/>
      <c r="M49" s="21"/>
      <c r="N49" s="21"/>
      <c r="O49" s="21"/>
      <c r="P49" s="21"/>
      <c r="Q49" s="21"/>
      <c r="R49" s="21"/>
      <c r="S49" s="21"/>
      <c r="T49" s="21"/>
      <c r="U49" s="21"/>
      <c r="V49" s="21"/>
      <c r="W49" s="21"/>
      <c r="X49" s="21"/>
      <c r="Y49" s="21"/>
    </row>
    <row r="50">
      <c r="A50" s="21" t="s">
        <v>237</v>
      </c>
      <c r="B50" s="23" t="s">
        <v>1548</v>
      </c>
      <c r="C50" s="23" t="s">
        <v>1549</v>
      </c>
      <c r="D50" s="21"/>
      <c r="E50" s="21"/>
      <c r="F50" s="21"/>
      <c r="G50" s="21"/>
      <c r="H50" s="21"/>
      <c r="I50" s="21"/>
      <c r="J50" s="21"/>
      <c r="K50" s="21"/>
      <c r="L50" s="21"/>
      <c r="M50" s="21"/>
      <c r="N50" s="21"/>
      <c r="O50" s="21"/>
      <c r="P50" s="21"/>
      <c r="Q50" s="21"/>
      <c r="R50" s="21"/>
      <c r="S50" s="21"/>
      <c r="T50" s="21"/>
      <c r="U50" s="21"/>
      <c r="V50" s="21"/>
      <c r="W50" s="21"/>
      <c r="X50" s="21"/>
      <c r="Y50" s="21"/>
    </row>
    <row r="51">
      <c r="A51" s="21" t="s">
        <v>248</v>
      </c>
      <c r="B51" s="23" t="s">
        <v>1550</v>
      </c>
      <c r="C51" s="23" t="s">
        <v>1551</v>
      </c>
      <c r="D51" s="21"/>
      <c r="E51" s="21"/>
      <c r="F51" s="21"/>
      <c r="G51" s="21"/>
      <c r="H51" s="21"/>
      <c r="I51" s="21"/>
      <c r="J51" s="21"/>
      <c r="K51" s="21"/>
      <c r="L51" s="21"/>
      <c r="M51" s="21"/>
      <c r="N51" s="21"/>
      <c r="O51" s="21"/>
      <c r="P51" s="21"/>
      <c r="Q51" s="21"/>
      <c r="R51" s="21"/>
      <c r="S51" s="21"/>
      <c r="T51" s="21"/>
      <c r="U51" s="21"/>
      <c r="V51" s="21"/>
      <c r="W51" s="21"/>
      <c r="X51" s="21"/>
      <c r="Y51" s="21"/>
    </row>
    <row r="52">
      <c r="A52" s="21" t="s">
        <v>254</v>
      </c>
      <c r="B52" s="23" t="s">
        <v>1552</v>
      </c>
      <c r="C52" s="23" t="s">
        <v>1553</v>
      </c>
      <c r="D52" s="21"/>
      <c r="E52" s="21"/>
      <c r="F52" s="21"/>
      <c r="G52" s="21"/>
      <c r="H52" s="21"/>
      <c r="I52" s="21"/>
      <c r="J52" s="21"/>
      <c r="K52" s="21"/>
      <c r="L52" s="21"/>
      <c r="M52" s="21"/>
      <c r="N52" s="21"/>
      <c r="O52" s="21"/>
      <c r="P52" s="21"/>
      <c r="Q52" s="21"/>
      <c r="R52" s="21"/>
      <c r="S52" s="21"/>
      <c r="T52" s="21"/>
      <c r="U52" s="21"/>
      <c r="V52" s="21"/>
      <c r="W52" s="21"/>
      <c r="X52" s="21"/>
      <c r="Y52" s="21"/>
    </row>
    <row r="53">
      <c r="A53" s="21" t="s">
        <v>259</v>
      </c>
      <c r="B53" s="23" t="s">
        <v>1554</v>
      </c>
      <c r="C53" s="23" t="s">
        <v>1555</v>
      </c>
      <c r="D53" s="21"/>
      <c r="E53" s="21"/>
      <c r="F53" s="21"/>
      <c r="G53" s="21"/>
      <c r="H53" s="21"/>
      <c r="I53" s="21"/>
      <c r="J53" s="21"/>
      <c r="K53" s="21"/>
      <c r="L53" s="21"/>
      <c r="M53" s="21"/>
      <c r="N53" s="21"/>
      <c r="O53" s="21"/>
      <c r="P53" s="21"/>
      <c r="Q53" s="21"/>
      <c r="R53" s="21"/>
      <c r="S53" s="21"/>
      <c r="T53" s="21"/>
      <c r="U53" s="21"/>
      <c r="V53" s="21"/>
      <c r="W53" s="21"/>
      <c r="X53" s="21"/>
      <c r="Y53" s="21"/>
    </row>
    <row r="54">
      <c r="A54" s="21" t="s">
        <v>271</v>
      </c>
      <c r="B54" s="23" t="s">
        <v>1556</v>
      </c>
      <c r="C54" s="23" t="s">
        <v>1557</v>
      </c>
      <c r="D54" s="21"/>
      <c r="E54" s="21"/>
      <c r="F54" s="21"/>
      <c r="G54" s="21"/>
      <c r="H54" s="21"/>
      <c r="I54" s="21"/>
      <c r="J54" s="21"/>
      <c r="K54" s="21"/>
      <c r="L54" s="21"/>
      <c r="M54" s="21"/>
      <c r="N54" s="21"/>
      <c r="O54" s="21"/>
      <c r="P54" s="21"/>
      <c r="Q54" s="21"/>
      <c r="R54" s="21"/>
      <c r="S54" s="21"/>
      <c r="T54" s="21"/>
      <c r="U54" s="21"/>
      <c r="V54" s="21"/>
      <c r="W54" s="21"/>
      <c r="X54" s="21"/>
      <c r="Y54" s="21"/>
    </row>
    <row r="55">
      <c r="A55" s="21" t="s">
        <v>283</v>
      </c>
      <c r="B55" s="23" t="s">
        <v>1558</v>
      </c>
      <c r="C55" s="23" t="s">
        <v>1559</v>
      </c>
      <c r="D55" s="21"/>
      <c r="E55" s="21"/>
      <c r="F55" s="21"/>
      <c r="G55" s="21"/>
      <c r="H55" s="21"/>
      <c r="I55" s="21"/>
      <c r="J55" s="21"/>
      <c r="K55" s="21"/>
      <c r="L55" s="21"/>
      <c r="M55" s="21"/>
      <c r="N55" s="21"/>
      <c r="O55" s="21"/>
      <c r="P55" s="21"/>
      <c r="Q55" s="21"/>
      <c r="R55" s="21"/>
      <c r="S55" s="21"/>
      <c r="T55" s="21"/>
      <c r="U55" s="21"/>
      <c r="V55" s="21"/>
      <c r="W55" s="21"/>
      <c r="X55" s="21"/>
      <c r="Y55" s="21"/>
    </row>
    <row r="56">
      <c r="A56" s="21" t="s">
        <v>289</v>
      </c>
      <c r="B56" s="23" t="s">
        <v>1560</v>
      </c>
      <c r="C56" s="23" t="s">
        <v>1561</v>
      </c>
      <c r="D56" s="21"/>
      <c r="E56" s="21"/>
      <c r="F56" s="21"/>
      <c r="G56" s="21"/>
      <c r="H56" s="21"/>
      <c r="I56" s="21"/>
      <c r="J56" s="21"/>
      <c r="K56" s="21"/>
      <c r="L56" s="21"/>
      <c r="M56" s="21"/>
      <c r="N56" s="21"/>
      <c r="O56" s="21"/>
      <c r="P56" s="21"/>
      <c r="Q56" s="21"/>
      <c r="R56" s="21"/>
      <c r="S56" s="21"/>
      <c r="T56" s="21"/>
      <c r="U56" s="21"/>
      <c r="V56" s="21"/>
      <c r="W56" s="21"/>
      <c r="X56" s="21"/>
      <c r="Y56" s="21"/>
    </row>
    <row r="57">
      <c r="A57" s="21" t="s">
        <v>294</v>
      </c>
      <c r="B57" s="23" t="s">
        <v>1562</v>
      </c>
      <c r="C57" s="23" t="s">
        <v>1563</v>
      </c>
      <c r="D57" s="21"/>
      <c r="E57" s="21"/>
      <c r="F57" s="21"/>
      <c r="G57" s="21"/>
      <c r="H57" s="21"/>
      <c r="I57" s="21"/>
      <c r="J57" s="21"/>
      <c r="K57" s="21"/>
      <c r="L57" s="21"/>
      <c r="M57" s="21"/>
      <c r="N57" s="21"/>
      <c r="O57" s="21"/>
      <c r="P57" s="21"/>
      <c r="Q57" s="21"/>
      <c r="R57" s="21"/>
      <c r="S57" s="21"/>
      <c r="T57" s="21"/>
      <c r="U57" s="21"/>
      <c r="V57" s="21"/>
      <c r="W57" s="21"/>
      <c r="X57" s="21"/>
      <c r="Y57" s="21"/>
    </row>
    <row r="58">
      <c r="A58" s="21" t="s">
        <v>307</v>
      </c>
      <c r="B58" s="23" t="s">
        <v>1564</v>
      </c>
      <c r="C58" s="23" t="s">
        <v>1565</v>
      </c>
      <c r="D58" s="21"/>
      <c r="E58" s="21"/>
      <c r="F58" s="21"/>
      <c r="G58" s="21"/>
      <c r="H58" s="21"/>
      <c r="I58" s="21"/>
      <c r="J58" s="21"/>
      <c r="K58" s="21"/>
      <c r="L58" s="21"/>
      <c r="M58" s="21"/>
      <c r="N58" s="21"/>
      <c r="O58" s="21"/>
      <c r="P58" s="21"/>
      <c r="Q58" s="21"/>
      <c r="R58" s="21"/>
      <c r="S58" s="21"/>
      <c r="T58" s="21"/>
      <c r="U58" s="21"/>
      <c r="V58" s="21"/>
      <c r="W58" s="21"/>
      <c r="X58" s="21"/>
      <c r="Y58" s="21"/>
    </row>
    <row r="59">
      <c r="A59" s="21" t="s">
        <v>313</v>
      </c>
      <c r="B59" s="23" t="s">
        <v>1566</v>
      </c>
      <c r="C59" s="23" t="s">
        <v>1567</v>
      </c>
      <c r="D59" s="21"/>
      <c r="E59" s="21"/>
      <c r="F59" s="21"/>
      <c r="G59" s="21"/>
      <c r="H59" s="21"/>
      <c r="I59" s="21"/>
      <c r="J59" s="21"/>
      <c r="K59" s="21"/>
      <c r="L59" s="21"/>
      <c r="M59" s="21"/>
      <c r="N59" s="21"/>
      <c r="O59" s="21"/>
      <c r="P59" s="21"/>
      <c r="Q59" s="21"/>
      <c r="R59" s="21"/>
      <c r="S59" s="21"/>
      <c r="T59" s="21"/>
      <c r="U59" s="21"/>
      <c r="V59" s="21"/>
      <c r="W59" s="21"/>
      <c r="X59" s="21"/>
      <c r="Y59" s="21"/>
    </row>
    <row r="60">
      <c r="A60" s="21" t="s">
        <v>318</v>
      </c>
      <c r="B60" s="23" t="s">
        <v>1568</v>
      </c>
      <c r="C60" s="23" t="s">
        <v>1569</v>
      </c>
      <c r="D60" s="21"/>
      <c r="E60" s="21"/>
      <c r="F60" s="21"/>
      <c r="G60" s="21"/>
      <c r="H60" s="21"/>
      <c r="I60" s="21"/>
      <c r="J60" s="21"/>
      <c r="K60" s="21"/>
      <c r="L60" s="21"/>
      <c r="M60" s="21"/>
      <c r="N60" s="21"/>
      <c r="O60" s="21"/>
      <c r="P60" s="21"/>
      <c r="Q60" s="21"/>
      <c r="R60" s="21"/>
      <c r="S60" s="21"/>
      <c r="T60" s="21"/>
      <c r="U60" s="21"/>
      <c r="V60" s="21"/>
      <c r="W60" s="21"/>
      <c r="X60" s="21"/>
      <c r="Y60" s="21"/>
    </row>
    <row r="61">
      <c r="A61" s="21" t="s">
        <v>323</v>
      </c>
      <c r="B61" s="23" t="s">
        <v>1570</v>
      </c>
      <c r="C61" s="23" t="s">
        <v>1571</v>
      </c>
      <c r="D61" s="21"/>
      <c r="E61" s="21"/>
      <c r="F61" s="21"/>
      <c r="G61" s="21"/>
      <c r="H61" s="21"/>
      <c r="I61" s="21"/>
      <c r="J61" s="21"/>
      <c r="K61" s="21"/>
      <c r="L61" s="21"/>
      <c r="M61" s="21"/>
      <c r="N61" s="21"/>
      <c r="O61" s="21"/>
      <c r="P61" s="21"/>
      <c r="Q61" s="21"/>
      <c r="R61" s="21"/>
      <c r="S61" s="21"/>
      <c r="T61" s="21"/>
      <c r="U61" s="21"/>
      <c r="V61" s="21"/>
      <c r="W61" s="21"/>
      <c r="X61" s="21"/>
      <c r="Y61" s="21"/>
    </row>
    <row r="62">
      <c r="A62" s="21" t="s">
        <v>328</v>
      </c>
      <c r="B62" s="23" t="s">
        <v>1572</v>
      </c>
      <c r="C62" s="23" t="s">
        <v>1573</v>
      </c>
      <c r="D62" s="21"/>
      <c r="E62" s="21"/>
      <c r="F62" s="21"/>
      <c r="G62" s="21"/>
      <c r="H62" s="21"/>
      <c r="I62" s="21"/>
      <c r="J62" s="21"/>
      <c r="K62" s="21"/>
      <c r="L62" s="21"/>
      <c r="M62" s="21"/>
      <c r="N62" s="21"/>
      <c r="O62" s="21"/>
      <c r="P62" s="21"/>
      <c r="Q62" s="21"/>
      <c r="R62" s="21"/>
      <c r="S62" s="21"/>
      <c r="T62" s="21"/>
      <c r="U62" s="21"/>
      <c r="V62" s="21"/>
      <c r="W62" s="21"/>
      <c r="X62" s="21"/>
      <c r="Y62" s="21"/>
    </row>
    <row r="63">
      <c r="A63" s="21" t="s">
        <v>348</v>
      </c>
      <c r="B63" s="23" t="s">
        <v>1574</v>
      </c>
      <c r="C63" s="23" t="s">
        <v>1575</v>
      </c>
      <c r="D63" s="21"/>
      <c r="E63" s="21"/>
      <c r="F63" s="21"/>
      <c r="G63" s="21"/>
      <c r="H63" s="21"/>
      <c r="I63" s="21"/>
      <c r="J63" s="21"/>
      <c r="K63" s="21"/>
      <c r="L63" s="21"/>
      <c r="M63" s="21"/>
      <c r="N63" s="21"/>
      <c r="O63" s="21"/>
      <c r="P63" s="21"/>
      <c r="Q63" s="21"/>
      <c r="R63" s="21"/>
      <c r="S63" s="21"/>
      <c r="T63" s="21"/>
      <c r="U63" s="21"/>
      <c r="V63" s="21"/>
      <c r="W63" s="21"/>
      <c r="X63" s="21"/>
      <c r="Y63" s="21"/>
    </row>
    <row r="64">
      <c r="A64" s="21" t="s">
        <v>352</v>
      </c>
      <c r="B64" s="23" t="s">
        <v>1576</v>
      </c>
      <c r="C64" s="23" t="s">
        <v>1577</v>
      </c>
      <c r="D64" s="21"/>
      <c r="E64" s="21"/>
      <c r="F64" s="21"/>
      <c r="G64" s="21"/>
      <c r="H64" s="21"/>
      <c r="I64" s="21"/>
      <c r="J64" s="21"/>
      <c r="K64" s="21"/>
      <c r="L64" s="21"/>
      <c r="M64" s="21"/>
      <c r="N64" s="21"/>
      <c r="O64" s="21"/>
      <c r="P64" s="21"/>
      <c r="Q64" s="21"/>
      <c r="R64" s="21"/>
      <c r="S64" s="21"/>
      <c r="T64" s="21"/>
      <c r="U64" s="21"/>
      <c r="V64" s="21"/>
      <c r="W64" s="21"/>
      <c r="X64" s="21"/>
      <c r="Y64" s="21"/>
    </row>
    <row r="65">
      <c r="A65" s="21" t="s">
        <v>356</v>
      </c>
      <c r="B65" s="23" t="s">
        <v>1578</v>
      </c>
      <c r="C65" s="23" t="s">
        <v>1579</v>
      </c>
      <c r="D65" s="21"/>
      <c r="E65" s="21"/>
      <c r="F65" s="21"/>
      <c r="G65" s="21"/>
      <c r="H65" s="21"/>
      <c r="I65" s="21"/>
      <c r="J65" s="21"/>
      <c r="K65" s="21"/>
      <c r="L65" s="21"/>
      <c r="M65" s="21"/>
      <c r="N65" s="21"/>
      <c r="O65" s="21"/>
      <c r="P65" s="21"/>
      <c r="Q65" s="21"/>
      <c r="R65" s="21"/>
      <c r="S65" s="21"/>
      <c r="T65" s="21"/>
      <c r="U65" s="21"/>
      <c r="V65" s="21"/>
      <c r="W65" s="21"/>
      <c r="X65" s="21"/>
      <c r="Y65" s="21"/>
    </row>
    <row r="66">
      <c r="A66" s="21" t="s">
        <v>361</v>
      </c>
      <c r="B66" s="23" t="s">
        <v>1580</v>
      </c>
      <c r="C66" s="23" t="s">
        <v>1581</v>
      </c>
      <c r="D66" s="21"/>
      <c r="E66" s="21"/>
      <c r="F66" s="21"/>
      <c r="G66" s="21"/>
      <c r="H66" s="21"/>
      <c r="I66" s="21"/>
      <c r="J66" s="21"/>
      <c r="K66" s="21"/>
      <c r="L66" s="21"/>
      <c r="M66" s="21"/>
      <c r="N66" s="21"/>
      <c r="O66" s="21"/>
      <c r="P66" s="21"/>
      <c r="Q66" s="21"/>
      <c r="R66" s="21"/>
      <c r="S66" s="21"/>
      <c r="T66" s="21"/>
      <c r="U66" s="21"/>
      <c r="V66" s="21"/>
      <c r="W66" s="21"/>
      <c r="X66" s="21"/>
      <c r="Y66" s="21"/>
    </row>
    <row r="67">
      <c r="A67" s="21" t="s">
        <v>761</v>
      </c>
      <c r="B67" s="23" t="s">
        <v>1612</v>
      </c>
      <c r="C67" s="23" t="s">
        <v>1613</v>
      </c>
      <c r="D67" s="21"/>
      <c r="E67" s="21"/>
      <c r="F67" s="21"/>
      <c r="G67" s="21"/>
      <c r="H67" s="21"/>
      <c r="I67" s="21"/>
      <c r="J67" s="21"/>
      <c r="K67" s="21"/>
      <c r="L67" s="21"/>
      <c r="M67" s="21"/>
      <c r="N67" s="21"/>
      <c r="O67" s="21"/>
      <c r="P67" s="21"/>
      <c r="Q67" s="21"/>
      <c r="R67" s="21"/>
      <c r="S67" s="21"/>
      <c r="T67" s="21"/>
      <c r="U67" s="21"/>
      <c r="V67" s="21"/>
      <c r="W67" s="21"/>
      <c r="X67" s="21"/>
      <c r="Y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C58"/>
    <hyperlink r:id="rId115" ref="B59"/>
    <hyperlink r:id="rId116" ref="C59"/>
    <hyperlink r:id="rId117" ref="B60"/>
    <hyperlink r:id="rId118" ref="C60"/>
    <hyperlink r:id="rId119" ref="B61"/>
    <hyperlink r:id="rId120" ref="C61"/>
    <hyperlink r:id="rId121" ref="B62"/>
    <hyperlink r:id="rId122" ref="C62"/>
    <hyperlink r:id="rId123" ref="B63"/>
    <hyperlink r:id="rId124" ref="C63"/>
    <hyperlink r:id="rId125" ref="B64"/>
    <hyperlink r:id="rId126" ref="C64"/>
    <hyperlink r:id="rId127" ref="B65"/>
    <hyperlink r:id="rId128" ref="C65"/>
    <hyperlink r:id="rId129" ref="B66"/>
    <hyperlink r:id="rId130" ref="C66"/>
    <hyperlink r:id="rId131" ref="B67"/>
    <hyperlink r:id="rId132" ref="C67"/>
  </hyperlinks>
  <drawing r:id="rId1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2.88"/>
  </cols>
  <sheetData>
    <row r="1">
      <c r="A1" s="22" t="s">
        <v>1644</v>
      </c>
      <c r="B1" s="21" t="s">
        <v>1645</v>
      </c>
      <c r="C1" s="21" t="s">
        <v>1646</v>
      </c>
      <c r="D1" s="21" t="s">
        <v>11</v>
      </c>
      <c r="E1" s="21" t="s">
        <v>12</v>
      </c>
      <c r="F1" s="21" t="s">
        <v>1647</v>
      </c>
      <c r="G1" s="21" t="s">
        <v>24</v>
      </c>
      <c r="H1" s="21" t="s">
        <v>25</v>
      </c>
      <c r="I1" s="21"/>
      <c r="J1" s="21"/>
      <c r="K1" s="21"/>
      <c r="L1" s="21"/>
      <c r="M1" s="21"/>
      <c r="N1" s="21"/>
      <c r="O1" s="21"/>
      <c r="P1" s="21"/>
      <c r="Q1" s="21"/>
      <c r="R1" s="21"/>
      <c r="S1" s="21"/>
      <c r="T1" s="21"/>
      <c r="U1" s="21"/>
      <c r="V1" s="21"/>
      <c r="W1" s="21"/>
      <c r="X1" s="21"/>
      <c r="Y1" s="21"/>
      <c r="Z1" s="21"/>
    </row>
    <row r="2">
      <c r="A2" s="21" t="s">
        <v>1648</v>
      </c>
      <c r="B2" s="21"/>
      <c r="C2" s="21"/>
      <c r="D2" s="21"/>
      <c r="E2" s="21"/>
      <c r="F2" s="21"/>
      <c r="G2" s="21"/>
      <c r="H2" s="21"/>
      <c r="I2" s="21"/>
      <c r="J2" s="21"/>
      <c r="K2" s="21"/>
      <c r="L2" s="21"/>
      <c r="M2" s="21"/>
      <c r="N2" s="21"/>
      <c r="O2" s="21"/>
      <c r="P2" s="21"/>
      <c r="Q2" s="21"/>
      <c r="R2" s="21"/>
      <c r="S2" s="21"/>
      <c r="T2" s="21"/>
      <c r="U2" s="21"/>
      <c r="V2" s="21"/>
      <c r="W2" s="21"/>
      <c r="X2" s="21"/>
      <c r="Y2" s="21"/>
      <c r="Z2" s="21"/>
    </row>
    <row r="3">
      <c r="A3" s="21"/>
      <c r="B3" s="24">
        <v>5.1010266E7</v>
      </c>
      <c r="C3" s="21" t="s">
        <v>669</v>
      </c>
      <c r="D3" s="25">
        <v>89.99</v>
      </c>
      <c r="E3" s="25">
        <v>89.99</v>
      </c>
      <c r="F3" s="21" t="s">
        <v>663</v>
      </c>
      <c r="G3" s="23" t="s">
        <v>1600</v>
      </c>
      <c r="H3" s="23" t="s">
        <v>1601</v>
      </c>
      <c r="I3" s="21"/>
      <c r="J3" s="21"/>
      <c r="K3" s="21"/>
      <c r="L3" s="21"/>
      <c r="M3" s="21"/>
      <c r="N3" s="21"/>
      <c r="O3" s="21"/>
      <c r="P3" s="21"/>
      <c r="Q3" s="21"/>
      <c r="R3" s="21"/>
      <c r="S3" s="21"/>
      <c r="T3" s="21"/>
      <c r="U3" s="21"/>
      <c r="V3" s="21"/>
      <c r="W3" s="21"/>
      <c r="X3" s="21"/>
      <c r="Y3" s="21"/>
      <c r="Z3" s="21"/>
    </row>
    <row r="4">
      <c r="A4" s="21"/>
      <c r="B4" s="24">
        <v>5.1010557E7</v>
      </c>
      <c r="C4" s="21" t="s">
        <v>688</v>
      </c>
      <c r="D4" s="25">
        <v>189.99</v>
      </c>
      <c r="E4" s="25">
        <v>189.99</v>
      </c>
      <c r="F4" s="21" t="s">
        <v>663</v>
      </c>
      <c r="G4" s="23" t="s">
        <v>1604</v>
      </c>
      <c r="H4" s="23" t="s">
        <v>1606</v>
      </c>
      <c r="I4" s="21"/>
      <c r="J4" s="21"/>
      <c r="K4" s="21"/>
      <c r="L4" s="21"/>
      <c r="M4" s="21"/>
      <c r="N4" s="21"/>
      <c r="O4" s="21"/>
      <c r="P4" s="21"/>
      <c r="Q4" s="21"/>
      <c r="R4" s="21"/>
      <c r="S4" s="21"/>
      <c r="T4" s="21"/>
      <c r="U4" s="21"/>
      <c r="V4" s="21"/>
      <c r="W4" s="21"/>
      <c r="X4" s="21"/>
      <c r="Y4" s="21"/>
      <c r="Z4" s="21"/>
    </row>
    <row r="5">
      <c r="A5" s="21"/>
      <c r="B5" s="24">
        <v>5.1010658E7</v>
      </c>
      <c r="C5" s="21" t="s">
        <v>708</v>
      </c>
      <c r="D5" s="25">
        <v>299.99</v>
      </c>
      <c r="E5" s="25">
        <v>299.99</v>
      </c>
      <c r="F5" s="21" t="s">
        <v>663</v>
      </c>
      <c r="G5" s="23" t="s">
        <v>1605</v>
      </c>
      <c r="H5" s="23" t="s">
        <v>1607</v>
      </c>
      <c r="I5" s="21"/>
      <c r="J5" s="21"/>
      <c r="K5" s="21"/>
      <c r="L5" s="21"/>
      <c r="M5" s="21"/>
      <c r="N5" s="21"/>
      <c r="O5" s="21"/>
      <c r="P5" s="21"/>
      <c r="Q5" s="21"/>
      <c r="R5" s="21"/>
      <c r="S5" s="21"/>
      <c r="T5" s="21"/>
      <c r="U5" s="21"/>
      <c r="V5" s="21"/>
      <c r="W5" s="21"/>
      <c r="X5" s="21"/>
      <c r="Y5" s="21"/>
      <c r="Z5" s="21"/>
    </row>
    <row r="6">
      <c r="A6" s="21"/>
      <c r="B6" s="24">
        <v>5.101023E7</v>
      </c>
      <c r="C6" s="21" t="s">
        <v>666</v>
      </c>
      <c r="D6" s="25">
        <v>69.99</v>
      </c>
      <c r="E6" s="25">
        <v>69.99</v>
      </c>
      <c r="F6" s="21" t="s">
        <v>663</v>
      </c>
      <c r="G6" s="23" t="s">
        <v>1600</v>
      </c>
      <c r="H6" s="23" t="s">
        <v>1601</v>
      </c>
      <c r="I6" s="21"/>
      <c r="J6" s="21"/>
      <c r="K6" s="21"/>
      <c r="L6" s="21"/>
      <c r="M6" s="21"/>
      <c r="N6" s="21"/>
      <c r="O6" s="21"/>
      <c r="P6" s="21"/>
      <c r="Q6" s="21"/>
      <c r="R6" s="21"/>
      <c r="S6" s="21"/>
      <c r="T6" s="21"/>
      <c r="U6" s="21"/>
      <c r="V6" s="21"/>
      <c r="W6" s="21"/>
      <c r="X6" s="21"/>
      <c r="Y6" s="21"/>
      <c r="Z6" s="21"/>
    </row>
    <row r="7">
      <c r="A7" s="21"/>
      <c r="B7" s="24">
        <v>5.1010521E7</v>
      </c>
      <c r="C7" s="21" t="s">
        <v>684</v>
      </c>
      <c r="D7" s="25">
        <v>119.99</v>
      </c>
      <c r="E7" s="25">
        <v>119.99</v>
      </c>
      <c r="F7" s="21" t="s">
        <v>663</v>
      </c>
      <c r="G7" s="23" t="s">
        <v>1604</v>
      </c>
      <c r="H7" s="23" t="s">
        <v>1606</v>
      </c>
      <c r="I7" s="21"/>
      <c r="J7" s="21"/>
      <c r="K7" s="21"/>
      <c r="L7" s="21"/>
      <c r="M7" s="21"/>
      <c r="N7" s="21"/>
      <c r="O7" s="21"/>
      <c r="P7" s="21"/>
      <c r="Q7" s="21"/>
      <c r="R7" s="21"/>
      <c r="S7" s="21"/>
      <c r="T7" s="21"/>
      <c r="U7" s="21"/>
      <c r="V7" s="21"/>
      <c r="W7" s="21"/>
      <c r="X7" s="21"/>
      <c r="Y7" s="21"/>
      <c r="Z7" s="21"/>
    </row>
    <row r="8">
      <c r="A8" s="21"/>
      <c r="B8" s="24">
        <v>5.1010622E7</v>
      </c>
      <c r="C8" s="21" t="s">
        <v>705</v>
      </c>
      <c r="D8" s="25">
        <v>259.99</v>
      </c>
      <c r="E8" s="25">
        <v>259.99</v>
      </c>
      <c r="F8" s="21" t="s">
        <v>663</v>
      </c>
      <c r="G8" s="23" t="s">
        <v>1605</v>
      </c>
      <c r="H8" s="23" t="s">
        <v>1607</v>
      </c>
      <c r="I8" s="21"/>
      <c r="J8" s="21"/>
      <c r="K8" s="21"/>
      <c r="L8" s="21"/>
      <c r="M8" s="21"/>
      <c r="N8" s="21"/>
      <c r="O8" s="21"/>
      <c r="P8" s="21"/>
      <c r="Q8" s="21"/>
      <c r="R8" s="21"/>
      <c r="S8" s="21"/>
      <c r="T8" s="21"/>
      <c r="U8" s="21"/>
      <c r="V8" s="21"/>
      <c r="W8" s="21"/>
      <c r="X8" s="21"/>
      <c r="Y8" s="21"/>
      <c r="Z8" s="21"/>
    </row>
    <row r="9">
      <c r="A9" s="21"/>
      <c r="B9" s="24">
        <v>5.1010254E7</v>
      </c>
      <c r="C9" s="21" t="s">
        <v>668</v>
      </c>
      <c r="D9" s="25">
        <v>89.99</v>
      </c>
      <c r="E9" s="25">
        <v>89.99</v>
      </c>
      <c r="F9" s="21" t="s">
        <v>663</v>
      </c>
      <c r="G9" s="23" t="s">
        <v>1600</v>
      </c>
      <c r="H9" s="23" t="s">
        <v>1601</v>
      </c>
      <c r="I9" s="21"/>
      <c r="J9" s="21"/>
      <c r="K9" s="21"/>
      <c r="L9" s="21"/>
      <c r="M9" s="21"/>
      <c r="N9" s="21"/>
      <c r="O9" s="21"/>
      <c r="P9" s="21"/>
      <c r="Q9" s="21"/>
      <c r="R9" s="21"/>
      <c r="S9" s="21"/>
      <c r="T9" s="21"/>
      <c r="U9" s="21"/>
      <c r="V9" s="21"/>
      <c r="W9" s="21"/>
      <c r="X9" s="21"/>
      <c r="Y9" s="21"/>
      <c r="Z9" s="21"/>
    </row>
    <row r="10">
      <c r="A10" s="21"/>
      <c r="B10" s="24">
        <v>5.1010545E7</v>
      </c>
      <c r="C10" s="21" t="s">
        <v>687</v>
      </c>
      <c r="D10" s="25">
        <v>189.99</v>
      </c>
      <c r="E10" s="25">
        <v>189.99</v>
      </c>
      <c r="F10" s="21" t="s">
        <v>663</v>
      </c>
      <c r="G10" s="23" t="s">
        <v>1604</v>
      </c>
      <c r="H10" s="23" t="s">
        <v>1606</v>
      </c>
      <c r="I10" s="21"/>
      <c r="J10" s="21"/>
      <c r="K10" s="21"/>
      <c r="L10" s="21"/>
      <c r="M10" s="21"/>
      <c r="N10" s="21"/>
      <c r="O10" s="21"/>
      <c r="P10" s="21"/>
      <c r="Q10" s="21"/>
      <c r="R10" s="21"/>
      <c r="S10" s="21"/>
      <c r="T10" s="21"/>
      <c r="U10" s="21"/>
      <c r="V10" s="21"/>
      <c r="W10" s="21"/>
      <c r="X10" s="21"/>
      <c r="Y10" s="21"/>
      <c r="Z10" s="21"/>
    </row>
    <row r="11">
      <c r="A11" s="21"/>
      <c r="B11" s="24">
        <v>5.1010646E7</v>
      </c>
      <c r="C11" s="21" t="s">
        <v>707</v>
      </c>
      <c r="D11" s="25">
        <v>299.99</v>
      </c>
      <c r="E11" s="25">
        <v>299.99</v>
      </c>
      <c r="F11" s="21" t="s">
        <v>663</v>
      </c>
      <c r="G11" s="23" t="s">
        <v>1605</v>
      </c>
      <c r="H11" s="23" t="s">
        <v>1607</v>
      </c>
      <c r="I11" s="21"/>
      <c r="J11" s="21"/>
      <c r="K11" s="21"/>
      <c r="L11" s="21"/>
      <c r="M11" s="21"/>
      <c r="N11" s="21"/>
      <c r="O11" s="21"/>
      <c r="P11" s="21"/>
      <c r="Q11" s="21"/>
      <c r="R11" s="21"/>
      <c r="S11" s="21"/>
      <c r="T11" s="21"/>
      <c r="U11" s="21"/>
      <c r="V11" s="21"/>
      <c r="W11" s="21"/>
      <c r="X11" s="21"/>
      <c r="Y11" s="21"/>
      <c r="Z11" s="21"/>
    </row>
    <row r="12">
      <c r="A12" s="21"/>
      <c r="B12" s="24">
        <v>5.1010242E7</v>
      </c>
      <c r="C12" s="21" t="s">
        <v>667</v>
      </c>
      <c r="D12" s="25">
        <v>79.99</v>
      </c>
      <c r="E12" s="25">
        <v>79.99</v>
      </c>
      <c r="F12" s="21" t="s">
        <v>663</v>
      </c>
      <c r="G12" s="23" t="s">
        <v>1600</v>
      </c>
      <c r="H12" s="23" t="s">
        <v>1601</v>
      </c>
      <c r="I12" s="21"/>
      <c r="J12" s="21"/>
      <c r="K12" s="21"/>
      <c r="L12" s="21"/>
      <c r="M12" s="21"/>
      <c r="N12" s="21"/>
      <c r="O12" s="21"/>
      <c r="P12" s="21"/>
      <c r="Q12" s="21"/>
      <c r="R12" s="21"/>
      <c r="S12" s="21"/>
      <c r="T12" s="21"/>
      <c r="U12" s="21"/>
      <c r="V12" s="21"/>
      <c r="W12" s="21"/>
      <c r="X12" s="21"/>
      <c r="Y12" s="21"/>
      <c r="Z12" s="21"/>
    </row>
    <row r="13">
      <c r="A13" s="21"/>
      <c r="B13" s="24">
        <v>5.1010533E7</v>
      </c>
      <c r="C13" s="21" t="s">
        <v>685</v>
      </c>
      <c r="D13" s="25">
        <v>159.99</v>
      </c>
      <c r="E13" s="25">
        <v>159.99</v>
      </c>
      <c r="F13" s="21" t="s">
        <v>663</v>
      </c>
      <c r="G13" s="23" t="s">
        <v>1604</v>
      </c>
      <c r="H13" s="23" t="s">
        <v>1606</v>
      </c>
      <c r="I13" s="21"/>
      <c r="J13" s="21"/>
      <c r="K13" s="21"/>
      <c r="L13" s="21"/>
      <c r="M13" s="21"/>
      <c r="N13" s="21"/>
      <c r="O13" s="21"/>
      <c r="P13" s="21"/>
      <c r="Q13" s="21"/>
      <c r="R13" s="21"/>
      <c r="S13" s="21"/>
      <c r="T13" s="21"/>
      <c r="U13" s="21"/>
      <c r="V13" s="21"/>
      <c r="W13" s="21"/>
      <c r="X13" s="21"/>
      <c r="Y13" s="21"/>
      <c r="Z13" s="21"/>
    </row>
    <row r="14">
      <c r="A14" s="21"/>
      <c r="B14" s="24">
        <v>5.1010634E7</v>
      </c>
      <c r="C14" s="21" t="s">
        <v>706</v>
      </c>
      <c r="D14" s="25">
        <v>279.99</v>
      </c>
      <c r="E14" s="25">
        <v>279.99</v>
      </c>
      <c r="F14" s="21" t="s">
        <v>663</v>
      </c>
      <c r="G14" s="23" t="s">
        <v>1605</v>
      </c>
      <c r="H14" s="23" t="s">
        <v>1607</v>
      </c>
      <c r="I14" s="21"/>
      <c r="J14" s="21"/>
      <c r="K14" s="21"/>
      <c r="L14" s="21"/>
      <c r="M14" s="21"/>
      <c r="N14" s="21"/>
      <c r="O14" s="21"/>
      <c r="P14" s="21"/>
      <c r="Q14" s="21"/>
      <c r="R14" s="21"/>
      <c r="S14" s="21"/>
      <c r="T14" s="21"/>
      <c r="U14" s="21"/>
      <c r="V14" s="21"/>
      <c r="W14" s="21"/>
      <c r="X14" s="21"/>
      <c r="Y14" s="21"/>
      <c r="Z14" s="21"/>
    </row>
    <row r="15">
      <c r="A15" s="21"/>
      <c r="B15" s="24">
        <v>5.1010569E7</v>
      </c>
      <c r="C15" s="21" t="s">
        <v>689</v>
      </c>
      <c r="D15" s="25">
        <v>209.99</v>
      </c>
      <c r="E15" s="25">
        <v>209.99</v>
      </c>
      <c r="F15" s="21" t="s">
        <v>663</v>
      </c>
      <c r="G15" s="23" t="s">
        <v>1604</v>
      </c>
      <c r="H15" s="23" t="s">
        <v>1606</v>
      </c>
      <c r="I15" s="21"/>
      <c r="J15" s="21"/>
      <c r="K15" s="21"/>
      <c r="L15" s="21"/>
      <c r="M15" s="21"/>
      <c r="N15" s="21"/>
      <c r="O15" s="21"/>
      <c r="P15" s="21"/>
      <c r="Q15" s="21"/>
      <c r="R15" s="21"/>
      <c r="S15" s="21"/>
      <c r="T15" s="21"/>
      <c r="U15" s="21"/>
      <c r="V15" s="21"/>
      <c r="W15" s="21"/>
      <c r="X15" s="21"/>
      <c r="Y15" s="21"/>
      <c r="Z15" s="21"/>
    </row>
    <row r="16">
      <c r="A16" s="21"/>
      <c r="B16" s="24">
        <v>5.101066E7</v>
      </c>
      <c r="C16" s="21" t="s">
        <v>709</v>
      </c>
      <c r="D16" s="25">
        <v>359.99</v>
      </c>
      <c r="E16" s="25">
        <v>359.99</v>
      </c>
      <c r="F16" s="21" t="s">
        <v>663</v>
      </c>
      <c r="G16" s="23" t="s">
        <v>1605</v>
      </c>
      <c r="H16" s="23" t="s">
        <v>1607</v>
      </c>
      <c r="I16" s="21"/>
      <c r="J16" s="21"/>
      <c r="K16" s="21"/>
      <c r="L16" s="21"/>
      <c r="M16" s="21"/>
      <c r="N16" s="21"/>
      <c r="O16" s="21"/>
      <c r="P16" s="21"/>
      <c r="Q16" s="21"/>
      <c r="R16" s="21"/>
      <c r="S16" s="21"/>
      <c r="T16" s="21"/>
      <c r="U16" s="21"/>
      <c r="V16" s="21"/>
      <c r="W16" s="21"/>
      <c r="X16" s="21"/>
      <c r="Y16" s="21"/>
      <c r="Z16" s="21"/>
    </row>
    <row r="17">
      <c r="A17" s="21"/>
      <c r="B17" s="24">
        <v>5.1010595E7</v>
      </c>
      <c r="C17" s="21" t="s">
        <v>696</v>
      </c>
      <c r="D17" s="25">
        <v>209.99</v>
      </c>
      <c r="E17" s="25">
        <v>209.99</v>
      </c>
      <c r="F17" s="21" t="s">
        <v>663</v>
      </c>
      <c r="G17" s="23" t="s">
        <v>1604</v>
      </c>
      <c r="H17" s="23" t="s">
        <v>1606</v>
      </c>
      <c r="I17" s="21"/>
      <c r="J17" s="21"/>
      <c r="K17" s="21"/>
      <c r="L17" s="21"/>
      <c r="M17" s="21"/>
      <c r="N17" s="21"/>
      <c r="O17" s="21"/>
      <c r="P17" s="21"/>
      <c r="Q17" s="21"/>
      <c r="R17" s="21"/>
      <c r="S17" s="21"/>
      <c r="T17" s="21"/>
      <c r="U17" s="21"/>
      <c r="V17" s="21"/>
      <c r="W17" s="21"/>
      <c r="X17" s="21"/>
      <c r="Y17" s="21"/>
      <c r="Z17" s="21"/>
    </row>
    <row r="18">
      <c r="A18" s="21"/>
      <c r="B18" s="24">
        <v>5.1010583E7</v>
      </c>
      <c r="C18" s="21" t="s">
        <v>693</v>
      </c>
      <c r="D18" s="25">
        <v>179.99</v>
      </c>
      <c r="E18" s="25">
        <v>179.99</v>
      </c>
      <c r="F18" s="21" t="s">
        <v>663</v>
      </c>
      <c r="G18" s="23" t="s">
        <v>1604</v>
      </c>
      <c r="H18" s="23" t="s">
        <v>1606</v>
      </c>
      <c r="I18" s="21"/>
      <c r="J18" s="21"/>
      <c r="K18" s="21"/>
      <c r="L18" s="21"/>
      <c r="M18" s="21"/>
      <c r="N18" s="21"/>
      <c r="O18" s="21"/>
      <c r="P18" s="21"/>
      <c r="Q18" s="21"/>
      <c r="R18" s="21"/>
      <c r="S18" s="21"/>
      <c r="T18" s="21"/>
      <c r="U18" s="21"/>
      <c r="V18" s="21"/>
      <c r="W18" s="21"/>
      <c r="X18" s="21"/>
      <c r="Y18" s="21"/>
      <c r="Z18" s="21"/>
    </row>
    <row r="19">
      <c r="A19" s="21"/>
      <c r="B19" s="24">
        <v>5.1010571E7</v>
      </c>
      <c r="C19" s="21" t="s">
        <v>690</v>
      </c>
      <c r="D19" s="25">
        <v>209.99</v>
      </c>
      <c r="E19" s="25">
        <v>209.99</v>
      </c>
      <c r="F19" s="21" t="s">
        <v>663</v>
      </c>
      <c r="G19" s="23" t="s">
        <v>1604</v>
      </c>
      <c r="H19" s="23" t="s">
        <v>1606</v>
      </c>
      <c r="I19" s="21"/>
      <c r="J19" s="21"/>
      <c r="K19" s="21"/>
      <c r="L19" s="21"/>
      <c r="M19" s="21"/>
      <c r="N19" s="21"/>
      <c r="O19" s="21"/>
      <c r="P19" s="21"/>
      <c r="Q19" s="21"/>
      <c r="R19" s="21"/>
      <c r="S19" s="21"/>
      <c r="T19" s="21"/>
      <c r="U19" s="21"/>
      <c r="V19" s="21"/>
      <c r="W19" s="21"/>
      <c r="X19" s="21"/>
      <c r="Y19" s="21"/>
      <c r="Z19" s="21"/>
    </row>
    <row r="20">
      <c r="A20" s="21"/>
      <c r="B20" s="24">
        <v>5.1010672E7</v>
      </c>
      <c r="C20" s="21" t="s">
        <v>711</v>
      </c>
      <c r="D20" s="25">
        <v>359.99</v>
      </c>
      <c r="E20" s="25">
        <v>359.99</v>
      </c>
      <c r="F20" s="21" t="s">
        <v>663</v>
      </c>
      <c r="G20" s="23" t="s">
        <v>1605</v>
      </c>
      <c r="H20" s="23" t="s">
        <v>1607</v>
      </c>
      <c r="I20" s="21"/>
      <c r="J20" s="21"/>
      <c r="K20" s="21"/>
      <c r="L20" s="21"/>
      <c r="M20" s="21"/>
      <c r="N20" s="21"/>
      <c r="O20" s="21"/>
      <c r="P20" s="21"/>
      <c r="Q20" s="21"/>
      <c r="R20" s="21"/>
      <c r="S20" s="21"/>
      <c r="T20" s="21"/>
      <c r="U20" s="21"/>
      <c r="V20" s="21"/>
      <c r="W20" s="21"/>
      <c r="X20" s="21"/>
      <c r="Y20" s="21"/>
      <c r="Z20" s="21"/>
    </row>
    <row r="21">
      <c r="A21" s="21"/>
      <c r="B21" s="24">
        <v>5.1010228E7</v>
      </c>
      <c r="C21" s="21" t="s">
        <v>665</v>
      </c>
      <c r="D21" s="25">
        <v>49.99</v>
      </c>
      <c r="E21" s="25">
        <v>49.99</v>
      </c>
      <c r="F21" s="21" t="s">
        <v>663</v>
      </c>
      <c r="G21" s="23" t="s">
        <v>1600</v>
      </c>
      <c r="H21" s="23" t="s">
        <v>1601</v>
      </c>
      <c r="I21" s="21"/>
      <c r="J21" s="21"/>
      <c r="K21" s="21"/>
      <c r="L21" s="21"/>
      <c r="M21" s="21"/>
      <c r="N21" s="21"/>
      <c r="O21" s="21"/>
      <c r="P21" s="21"/>
      <c r="Q21" s="21"/>
      <c r="R21" s="21"/>
      <c r="S21" s="21"/>
      <c r="T21" s="21"/>
      <c r="U21" s="21"/>
      <c r="V21" s="21"/>
      <c r="W21" s="21"/>
      <c r="X21" s="21"/>
      <c r="Y21" s="21"/>
      <c r="Z21" s="21"/>
    </row>
    <row r="22">
      <c r="A22" s="21"/>
      <c r="B22" s="24">
        <v>5.1010507E7</v>
      </c>
      <c r="C22" s="21" t="s">
        <v>681</v>
      </c>
      <c r="D22" s="25">
        <v>109.99</v>
      </c>
      <c r="E22" s="25">
        <v>109.99</v>
      </c>
      <c r="F22" s="21" t="s">
        <v>663</v>
      </c>
      <c r="G22" s="23" t="s">
        <v>1604</v>
      </c>
      <c r="H22" s="23" t="s">
        <v>1606</v>
      </c>
      <c r="I22" s="21"/>
      <c r="J22" s="21"/>
      <c r="K22" s="21"/>
      <c r="L22" s="21"/>
      <c r="M22" s="21"/>
      <c r="N22" s="21"/>
      <c r="O22" s="21"/>
      <c r="P22" s="21"/>
      <c r="Q22" s="21"/>
      <c r="R22" s="21"/>
      <c r="S22" s="21"/>
      <c r="T22" s="21"/>
      <c r="U22" s="21"/>
      <c r="V22" s="21"/>
      <c r="W22" s="21"/>
      <c r="X22" s="21"/>
      <c r="Y22" s="21"/>
      <c r="Z22" s="21"/>
    </row>
    <row r="23">
      <c r="A23" s="21"/>
      <c r="B23" s="24">
        <v>5.1010608E7</v>
      </c>
      <c r="C23" s="21" t="s">
        <v>701</v>
      </c>
      <c r="D23" s="25">
        <v>249.99</v>
      </c>
      <c r="E23" s="25">
        <v>249.99</v>
      </c>
      <c r="F23" s="21" t="s">
        <v>663</v>
      </c>
      <c r="G23" s="23" t="s">
        <v>1605</v>
      </c>
      <c r="H23" s="23" t="s">
        <v>1607</v>
      </c>
      <c r="I23" s="21"/>
      <c r="J23" s="21"/>
      <c r="K23" s="21"/>
      <c r="L23" s="21"/>
      <c r="M23" s="21"/>
      <c r="N23" s="21"/>
      <c r="O23" s="21"/>
      <c r="P23" s="21"/>
      <c r="Q23" s="21"/>
      <c r="R23" s="21"/>
      <c r="S23" s="21"/>
      <c r="T23" s="21"/>
      <c r="U23" s="21"/>
      <c r="V23" s="21"/>
      <c r="W23" s="21"/>
      <c r="X23" s="21"/>
      <c r="Y23" s="21"/>
      <c r="Z23" s="21"/>
    </row>
    <row r="24">
      <c r="A24" s="21"/>
      <c r="B24" s="24">
        <v>5.1010216E7</v>
      </c>
      <c r="C24" s="21" t="s">
        <v>662</v>
      </c>
      <c r="D24" s="25">
        <v>59.99</v>
      </c>
      <c r="E24" s="25">
        <v>59.99</v>
      </c>
      <c r="F24" s="21" t="s">
        <v>663</v>
      </c>
      <c r="G24" s="23" t="s">
        <v>1600</v>
      </c>
      <c r="H24" s="23" t="s">
        <v>1601</v>
      </c>
      <c r="I24" s="21"/>
      <c r="J24" s="21"/>
      <c r="K24" s="21"/>
      <c r="L24" s="21"/>
      <c r="M24" s="21"/>
      <c r="N24" s="21"/>
      <c r="O24" s="21"/>
      <c r="P24" s="21"/>
      <c r="Q24" s="21"/>
      <c r="R24" s="21"/>
      <c r="S24" s="21"/>
      <c r="T24" s="21"/>
      <c r="U24" s="21"/>
      <c r="V24" s="21"/>
      <c r="W24" s="21"/>
      <c r="X24" s="21"/>
      <c r="Y24" s="21"/>
      <c r="Z24" s="21"/>
    </row>
    <row r="25">
      <c r="A25" s="21"/>
      <c r="B25" s="24">
        <v>5.1010519E7</v>
      </c>
      <c r="C25" s="21" t="s">
        <v>683</v>
      </c>
      <c r="D25" s="25">
        <v>119.99</v>
      </c>
      <c r="E25" s="25">
        <v>119.99</v>
      </c>
      <c r="F25" s="21" t="s">
        <v>663</v>
      </c>
      <c r="G25" s="23" t="s">
        <v>1604</v>
      </c>
      <c r="H25" s="23" t="s">
        <v>1606</v>
      </c>
      <c r="I25" s="21"/>
      <c r="J25" s="21"/>
      <c r="K25" s="21"/>
      <c r="L25" s="21"/>
      <c r="M25" s="21"/>
      <c r="N25" s="21"/>
      <c r="O25" s="21"/>
      <c r="P25" s="21"/>
      <c r="Q25" s="21"/>
      <c r="R25" s="21"/>
      <c r="S25" s="21"/>
      <c r="T25" s="21"/>
      <c r="U25" s="21"/>
      <c r="V25" s="21"/>
      <c r="W25" s="21"/>
      <c r="X25" s="21"/>
      <c r="Y25" s="21"/>
      <c r="Z25" s="21"/>
    </row>
    <row r="26">
      <c r="A26" s="21"/>
      <c r="B26" s="24">
        <v>5.101061E7</v>
      </c>
      <c r="C26" s="21" t="s">
        <v>703</v>
      </c>
      <c r="D26" s="25">
        <v>259.99</v>
      </c>
      <c r="E26" s="25">
        <v>259.99</v>
      </c>
      <c r="F26" s="21" t="s">
        <v>663</v>
      </c>
      <c r="G26" s="23" t="s">
        <v>1605</v>
      </c>
      <c r="H26" s="23" t="s">
        <v>1607</v>
      </c>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t="s">
        <v>1649</v>
      </c>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4">
        <v>5.1010406E7</v>
      </c>
      <c r="C29" s="21" t="s">
        <v>673</v>
      </c>
      <c r="D29" s="25">
        <v>29.99</v>
      </c>
      <c r="E29" s="25">
        <v>29.99</v>
      </c>
      <c r="F29" s="21" t="s">
        <v>663</v>
      </c>
      <c r="G29" s="23" t="s">
        <v>1604</v>
      </c>
      <c r="H29" s="23" t="s">
        <v>1603</v>
      </c>
      <c r="I29" s="21"/>
      <c r="J29" s="21"/>
      <c r="K29" s="21"/>
      <c r="L29" s="21"/>
      <c r="M29" s="21"/>
      <c r="N29" s="21"/>
      <c r="O29" s="21"/>
      <c r="P29" s="21"/>
      <c r="Q29" s="21"/>
      <c r="R29" s="21"/>
      <c r="S29" s="21"/>
      <c r="T29" s="21"/>
      <c r="U29" s="21"/>
      <c r="V29" s="21"/>
      <c r="W29" s="21"/>
      <c r="X29" s="21"/>
      <c r="Y29" s="21"/>
      <c r="Z29" s="21"/>
    </row>
    <row r="30">
      <c r="A30" s="21"/>
      <c r="B30" s="24">
        <v>5.1010393E7</v>
      </c>
      <c r="C30" s="21" t="s">
        <v>671</v>
      </c>
      <c r="D30" s="25">
        <v>19.99</v>
      </c>
      <c r="E30" s="25">
        <v>19.99</v>
      </c>
      <c r="F30" s="21" t="s">
        <v>663</v>
      </c>
      <c r="G30" s="23" t="s">
        <v>1602</v>
      </c>
      <c r="H30" s="23" t="s">
        <v>1603</v>
      </c>
      <c r="I30" s="21"/>
      <c r="J30" s="21"/>
      <c r="K30" s="21"/>
      <c r="L30" s="21"/>
      <c r="M30" s="21"/>
      <c r="N30" s="21"/>
      <c r="O30" s="21"/>
      <c r="P30" s="21"/>
      <c r="Q30" s="21"/>
      <c r="R30" s="21"/>
      <c r="S30" s="21"/>
      <c r="T30" s="21"/>
      <c r="U30" s="21"/>
      <c r="V30" s="21"/>
      <c r="W30" s="21"/>
      <c r="X30" s="21"/>
      <c r="Y30" s="21"/>
      <c r="Z30" s="21"/>
    </row>
    <row r="31">
      <c r="A31" s="21"/>
      <c r="B31" s="24">
        <v>5.1010418E7</v>
      </c>
      <c r="C31" s="21" t="s">
        <v>676</v>
      </c>
      <c r="D31" s="25">
        <v>39.99</v>
      </c>
      <c r="E31" s="25">
        <v>39.99</v>
      </c>
      <c r="F31" s="21" t="s">
        <v>663</v>
      </c>
      <c r="G31" s="23" t="s">
        <v>1605</v>
      </c>
      <c r="H31" s="23" t="s">
        <v>1603</v>
      </c>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t="s">
        <v>1650</v>
      </c>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4">
        <v>5.1011028E7</v>
      </c>
      <c r="C34" s="21" t="s">
        <v>718</v>
      </c>
      <c r="D34" s="25">
        <v>37.99</v>
      </c>
      <c r="E34" s="25">
        <v>37.99</v>
      </c>
      <c r="F34" s="21" t="s">
        <v>663</v>
      </c>
      <c r="G34" s="23" t="s">
        <v>1608</v>
      </c>
      <c r="H34" s="23" t="s">
        <v>1609</v>
      </c>
      <c r="I34" s="21"/>
      <c r="J34" s="21"/>
      <c r="K34" s="21"/>
      <c r="L34" s="21"/>
      <c r="M34" s="21"/>
      <c r="N34" s="21"/>
      <c r="O34" s="21"/>
      <c r="P34" s="21"/>
      <c r="Q34" s="21"/>
      <c r="R34" s="21"/>
      <c r="S34" s="21"/>
      <c r="T34" s="21"/>
      <c r="U34" s="21"/>
      <c r="V34" s="21"/>
      <c r="W34" s="21"/>
      <c r="X34" s="21"/>
      <c r="Y34" s="21"/>
      <c r="Z34" s="21"/>
    </row>
    <row r="35">
      <c r="A35" s="21"/>
      <c r="B35" s="24">
        <v>5.101103E7</v>
      </c>
      <c r="C35" s="21" t="s">
        <v>719</v>
      </c>
      <c r="D35" s="25">
        <v>39.99</v>
      </c>
      <c r="E35" s="25">
        <v>39.99</v>
      </c>
      <c r="F35" s="21" t="s">
        <v>663</v>
      </c>
      <c r="G35" s="23" t="s">
        <v>1608</v>
      </c>
      <c r="H35" s="23" t="s">
        <v>1609</v>
      </c>
      <c r="I35" s="21"/>
      <c r="J35" s="21"/>
      <c r="K35" s="21"/>
      <c r="L35" s="21"/>
      <c r="M35" s="21"/>
      <c r="N35" s="21"/>
      <c r="O35" s="21"/>
      <c r="P35" s="21"/>
      <c r="Q35" s="21"/>
      <c r="R35" s="21"/>
      <c r="S35" s="21"/>
      <c r="T35" s="21"/>
      <c r="U35" s="21"/>
      <c r="V35" s="21"/>
      <c r="W35" s="21"/>
      <c r="X35" s="21"/>
      <c r="Y35" s="21"/>
      <c r="Z35" s="21"/>
    </row>
    <row r="36">
      <c r="A36" s="21"/>
      <c r="B36" s="24">
        <v>5.1011042E7</v>
      </c>
      <c r="C36" s="21" t="s">
        <v>720</v>
      </c>
      <c r="D36" s="25">
        <v>39.99</v>
      </c>
      <c r="E36" s="25">
        <v>39.99</v>
      </c>
      <c r="F36" s="21" t="s">
        <v>663</v>
      </c>
      <c r="G36" s="23" t="s">
        <v>1608</v>
      </c>
      <c r="H36" s="23" t="s">
        <v>1609</v>
      </c>
      <c r="I36" s="21"/>
      <c r="J36" s="21"/>
      <c r="K36" s="21"/>
      <c r="L36" s="21"/>
      <c r="M36" s="21"/>
      <c r="N36" s="21"/>
      <c r="O36" s="21"/>
      <c r="P36" s="21"/>
      <c r="Q36" s="21"/>
      <c r="R36" s="21"/>
      <c r="S36" s="21"/>
      <c r="T36" s="21"/>
      <c r="U36" s="21"/>
      <c r="V36" s="21"/>
      <c r="W36" s="21"/>
      <c r="X36" s="21"/>
      <c r="Y36" s="21"/>
      <c r="Z36" s="21"/>
    </row>
    <row r="37">
      <c r="A37" s="21"/>
      <c r="B37" s="24">
        <v>5.1011004E7</v>
      </c>
      <c r="C37" s="21" t="s">
        <v>716</v>
      </c>
      <c r="D37" s="25">
        <v>29.99</v>
      </c>
      <c r="E37" s="25">
        <v>29.99</v>
      </c>
      <c r="F37" s="21" t="s">
        <v>663</v>
      </c>
      <c r="G37" s="23" t="s">
        <v>1608</v>
      </c>
      <c r="H37" s="23" t="s">
        <v>1609</v>
      </c>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t="s">
        <v>1651</v>
      </c>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4">
        <v>5.1020015E7</v>
      </c>
      <c r="C40" s="21" t="s">
        <v>726</v>
      </c>
      <c r="D40" s="25">
        <v>14.99</v>
      </c>
      <c r="E40" s="25">
        <v>14.99</v>
      </c>
      <c r="F40" s="21" t="s">
        <v>663</v>
      </c>
      <c r="G40" s="23" t="s">
        <v>1610</v>
      </c>
      <c r="H40" s="23" t="s">
        <v>1611</v>
      </c>
      <c r="I40" s="21"/>
      <c r="J40" s="21"/>
      <c r="K40" s="21"/>
      <c r="L40" s="21"/>
      <c r="M40" s="21"/>
      <c r="N40" s="21"/>
      <c r="O40" s="21"/>
      <c r="P40" s="21"/>
      <c r="Q40" s="21"/>
      <c r="R40" s="21"/>
      <c r="S40" s="21"/>
      <c r="T40" s="21"/>
      <c r="U40" s="21"/>
      <c r="V40" s="21"/>
      <c r="W40" s="21"/>
      <c r="X40" s="21"/>
      <c r="Y40" s="21"/>
      <c r="Z40" s="21"/>
    </row>
    <row r="41">
      <c r="A41" s="21"/>
      <c r="B41" s="24">
        <v>5.1020003E7</v>
      </c>
      <c r="C41" s="21" t="s">
        <v>724</v>
      </c>
      <c r="D41" s="25">
        <v>9.99</v>
      </c>
      <c r="E41" s="25">
        <v>9.99</v>
      </c>
      <c r="F41" s="21" t="s">
        <v>663</v>
      </c>
      <c r="G41" s="23" t="s">
        <v>1610</v>
      </c>
      <c r="H41" s="23" t="s">
        <v>1611</v>
      </c>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t="s">
        <v>1652</v>
      </c>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4">
        <v>5.9914044E7</v>
      </c>
      <c r="C44" s="21" t="s">
        <v>895</v>
      </c>
      <c r="D44" s="25">
        <v>99.99</v>
      </c>
      <c r="E44" s="25">
        <v>99.99</v>
      </c>
      <c r="F44" s="21" t="s">
        <v>663</v>
      </c>
      <c r="G44" s="23" t="s">
        <v>1624</v>
      </c>
      <c r="H44" s="23" t="s">
        <v>1625</v>
      </c>
      <c r="I44" s="21"/>
      <c r="J44" s="21"/>
      <c r="K44" s="21"/>
      <c r="L44" s="21"/>
      <c r="M44" s="21"/>
      <c r="N44" s="21"/>
      <c r="O44" s="21"/>
      <c r="P44" s="21"/>
      <c r="Q44" s="21"/>
      <c r="R44" s="21"/>
      <c r="S44" s="21"/>
      <c r="T44" s="21"/>
      <c r="U44" s="21"/>
      <c r="V44" s="21"/>
      <c r="W44" s="21"/>
      <c r="X44" s="21"/>
      <c r="Y44" s="21"/>
      <c r="Z44" s="21"/>
    </row>
    <row r="45">
      <c r="A45" s="21"/>
      <c r="B45" s="24">
        <v>5.9915072E7</v>
      </c>
      <c r="C45" s="21" t="s">
        <v>895</v>
      </c>
      <c r="D45" s="25">
        <v>99.99</v>
      </c>
      <c r="E45" s="25">
        <v>99.99</v>
      </c>
      <c r="F45" s="21" t="s">
        <v>663</v>
      </c>
      <c r="G45" s="23" t="s">
        <v>1624</v>
      </c>
      <c r="H45" s="23" t="s">
        <v>1625</v>
      </c>
      <c r="I45" s="21"/>
      <c r="J45" s="21"/>
      <c r="K45" s="21"/>
      <c r="L45" s="21"/>
      <c r="M45" s="21"/>
      <c r="N45" s="21"/>
      <c r="O45" s="21"/>
      <c r="P45" s="21"/>
      <c r="Q45" s="21"/>
      <c r="R45" s="21"/>
      <c r="S45" s="21"/>
      <c r="T45" s="21"/>
      <c r="U45" s="21"/>
      <c r="V45" s="21"/>
      <c r="W45" s="21"/>
      <c r="X45" s="21"/>
      <c r="Y45" s="21"/>
      <c r="Z45" s="21"/>
    </row>
    <row r="46">
      <c r="A46" s="21"/>
      <c r="B46" s="24">
        <v>5.9915147E7</v>
      </c>
      <c r="C46" s="21" t="s">
        <v>895</v>
      </c>
      <c r="D46" s="25">
        <v>99.99</v>
      </c>
      <c r="E46" s="25">
        <v>99.99</v>
      </c>
      <c r="F46" s="21" t="s">
        <v>663</v>
      </c>
      <c r="G46" s="23" t="s">
        <v>1624</v>
      </c>
      <c r="H46" s="23" t="s">
        <v>1625</v>
      </c>
      <c r="I46" s="21"/>
      <c r="J46" s="21"/>
      <c r="K46" s="21"/>
      <c r="L46" s="21"/>
      <c r="M46" s="21"/>
      <c r="N46" s="21"/>
      <c r="O46" s="21"/>
      <c r="P46" s="21"/>
      <c r="Q46" s="21"/>
      <c r="R46" s="21"/>
      <c r="S46" s="21"/>
      <c r="T46" s="21"/>
      <c r="U46" s="21"/>
      <c r="V46" s="21"/>
      <c r="W46" s="21"/>
      <c r="X46" s="21"/>
      <c r="Y46" s="21"/>
      <c r="Z46" s="21"/>
    </row>
    <row r="47">
      <c r="A47" s="21"/>
      <c r="B47" s="24">
        <v>5.9913256E7</v>
      </c>
      <c r="C47" s="21" t="s">
        <v>878</v>
      </c>
      <c r="D47" s="25">
        <v>229.99</v>
      </c>
      <c r="E47" s="25">
        <v>229.99</v>
      </c>
      <c r="F47" s="21" t="s">
        <v>663</v>
      </c>
      <c r="G47" s="23" t="s">
        <v>1626</v>
      </c>
      <c r="H47" s="23" t="s">
        <v>1627</v>
      </c>
      <c r="I47" s="21"/>
      <c r="J47" s="21"/>
      <c r="K47" s="21"/>
      <c r="L47" s="21"/>
      <c r="M47" s="21"/>
      <c r="N47" s="21"/>
      <c r="O47" s="21"/>
      <c r="P47" s="21"/>
      <c r="Q47" s="21"/>
      <c r="R47" s="21"/>
      <c r="S47" s="21"/>
      <c r="T47" s="21"/>
      <c r="U47" s="21"/>
      <c r="V47" s="21"/>
      <c r="W47" s="21"/>
      <c r="X47" s="21"/>
      <c r="Y47" s="21"/>
      <c r="Z47" s="21"/>
    </row>
    <row r="48">
      <c r="A48" s="21"/>
      <c r="B48" s="24">
        <v>5.9913357E7</v>
      </c>
      <c r="C48" s="21" t="s">
        <v>878</v>
      </c>
      <c r="D48" s="25">
        <v>229.99</v>
      </c>
      <c r="E48" s="25">
        <v>229.99</v>
      </c>
      <c r="F48" s="21" t="s">
        <v>663</v>
      </c>
      <c r="G48" s="23" t="s">
        <v>1626</v>
      </c>
      <c r="H48" s="23" t="s">
        <v>1627</v>
      </c>
      <c r="I48" s="21"/>
      <c r="J48" s="21"/>
      <c r="K48" s="21"/>
      <c r="L48" s="21"/>
      <c r="M48" s="21"/>
      <c r="N48" s="21"/>
      <c r="O48" s="21"/>
      <c r="P48" s="21"/>
      <c r="Q48" s="21"/>
      <c r="R48" s="21"/>
      <c r="S48" s="21"/>
      <c r="T48" s="21"/>
      <c r="U48" s="21"/>
      <c r="V48" s="21"/>
      <c r="W48" s="21"/>
      <c r="X48" s="21"/>
      <c r="Y48" s="21"/>
      <c r="Z48" s="21"/>
    </row>
    <row r="49">
      <c r="A49" s="21"/>
      <c r="B49" s="24">
        <v>5.9913458E7</v>
      </c>
      <c r="C49" s="21" t="s">
        <v>878</v>
      </c>
      <c r="D49" s="25">
        <v>229.99</v>
      </c>
      <c r="E49" s="25">
        <v>229.99</v>
      </c>
      <c r="F49" s="21" t="s">
        <v>663</v>
      </c>
      <c r="G49" s="23" t="s">
        <v>1626</v>
      </c>
      <c r="H49" s="23" t="s">
        <v>1627</v>
      </c>
      <c r="I49" s="21"/>
      <c r="J49" s="21"/>
      <c r="K49" s="21"/>
      <c r="L49" s="21"/>
      <c r="M49" s="21"/>
      <c r="N49" s="21"/>
      <c r="O49" s="21"/>
      <c r="P49" s="21"/>
      <c r="Q49" s="21"/>
      <c r="R49" s="21"/>
      <c r="S49" s="21"/>
      <c r="T49" s="21"/>
      <c r="U49" s="21"/>
      <c r="V49" s="21"/>
      <c r="W49" s="21"/>
      <c r="X49" s="21"/>
      <c r="Y49" s="21"/>
      <c r="Z49" s="21"/>
    </row>
    <row r="50">
      <c r="A50" s="21"/>
      <c r="B50" s="24">
        <v>5.9911036E7</v>
      </c>
      <c r="C50" s="21" t="s">
        <v>839</v>
      </c>
      <c r="D50" s="25">
        <v>229.99</v>
      </c>
      <c r="E50" s="25">
        <v>229.99</v>
      </c>
      <c r="F50" s="21" t="s">
        <v>663</v>
      </c>
      <c r="G50" s="23" t="s">
        <v>1622</v>
      </c>
      <c r="H50" s="23" t="s">
        <v>1623</v>
      </c>
      <c r="I50" s="21"/>
      <c r="J50" s="21"/>
      <c r="K50" s="21"/>
      <c r="L50" s="21"/>
      <c r="M50" s="21"/>
      <c r="N50" s="21"/>
      <c r="O50" s="21"/>
      <c r="P50" s="21"/>
      <c r="Q50" s="21"/>
      <c r="R50" s="21"/>
      <c r="S50" s="21"/>
      <c r="T50" s="21"/>
      <c r="U50" s="21"/>
      <c r="V50" s="21"/>
      <c r="W50" s="21"/>
      <c r="X50" s="21"/>
      <c r="Y50" s="21"/>
      <c r="Z50" s="21"/>
    </row>
    <row r="51">
      <c r="A51" s="21"/>
      <c r="B51" s="24">
        <v>5.9912115E7</v>
      </c>
      <c r="C51" s="21" t="s">
        <v>839</v>
      </c>
      <c r="D51" s="25">
        <v>229.99</v>
      </c>
      <c r="E51" s="25">
        <v>229.99</v>
      </c>
      <c r="F51" s="21" t="s">
        <v>663</v>
      </c>
      <c r="G51" s="23" t="s">
        <v>1622</v>
      </c>
      <c r="H51" s="23" t="s">
        <v>1623</v>
      </c>
      <c r="I51" s="21"/>
      <c r="J51" s="21"/>
      <c r="K51" s="21"/>
      <c r="L51" s="21"/>
      <c r="M51" s="21"/>
      <c r="N51" s="21"/>
      <c r="O51" s="21"/>
      <c r="P51" s="21"/>
      <c r="Q51" s="21"/>
      <c r="R51" s="21"/>
      <c r="S51" s="21"/>
      <c r="T51" s="21"/>
      <c r="U51" s="21"/>
      <c r="V51" s="21"/>
      <c r="W51" s="21"/>
      <c r="X51" s="21"/>
      <c r="Y51" s="21"/>
      <c r="Z51" s="21"/>
    </row>
    <row r="52">
      <c r="A52" s="21"/>
      <c r="B52" s="24">
        <v>5.9913028E7</v>
      </c>
      <c r="C52" s="21" t="s">
        <v>839</v>
      </c>
      <c r="D52" s="25">
        <v>229.99</v>
      </c>
      <c r="E52" s="25">
        <v>229.99</v>
      </c>
      <c r="F52" s="21" t="s">
        <v>663</v>
      </c>
      <c r="G52" s="23" t="s">
        <v>1622</v>
      </c>
      <c r="H52" s="23" t="s">
        <v>1623</v>
      </c>
      <c r="I52" s="21"/>
      <c r="J52" s="21"/>
      <c r="K52" s="21"/>
      <c r="L52" s="21"/>
      <c r="M52" s="21"/>
      <c r="N52" s="21"/>
      <c r="O52" s="21"/>
      <c r="P52" s="21"/>
      <c r="Q52" s="21"/>
      <c r="R52" s="21"/>
      <c r="S52" s="21"/>
      <c r="T52" s="21"/>
      <c r="U52" s="21"/>
      <c r="V52" s="21"/>
      <c r="W52" s="21"/>
      <c r="X52" s="21"/>
      <c r="Y52" s="21"/>
      <c r="Z52" s="21"/>
    </row>
    <row r="53">
      <c r="A53" s="21"/>
      <c r="B53" s="24">
        <v>5.991322E7</v>
      </c>
      <c r="C53" s="21" t="s">
        <v>875</v>
      </c>
      <c r="D53" s="25">
        <v>179.99</v>
      </c>
      <c r="E53" s="25">
        <v>179.99</v>
      </c>
      <c r="F53" s="21" t="s">
        <v>663</v>
      </c>
      <c r="G53" s="23" t="s">
        <v>1626</v>
      </c>
      <c r="H53" s="23" t="s">
        <v>1627</v>
      </c>
      <c r="I53" s="21"/>
      <c r="J53" s="21"/>
      <c r="K53" s="21"/>
      <c r="L53" s="21"/>
      <c r="M53" s="21"/>
      <c r="N53" s="21"/>
      <c r="O53" s="21"/>
      <c r="P53" s="21"/>
      <c r="Q53" s="21"/>
      <c r="R53" s="21"/>
      <c r="S53" s="21"/>
      <c r="T53" s="21"/>
      <c r="U53" s="21"/>
      <c r="V53" s="21"/>
      <c r="W53" s="21"/>
      <c r="X53" s="21"/>
      <c r="Y53" s="21"/>
      <c r="Z53" s="21"/>
    </row>
    <row r="54">
      <c r="A54" s="21"/>
      <c r="B54" s="24">
        <v>5.9913321E7</v>
      </c>
      <c r="C54" s="21" t="s">
        <v>875</v>
      </c>
      <c r="D54" s="25">
        <v>179.99</v>
      </c>
      <c r="E54" s="25">
        <v>179.99</v>
      </c>
      <c r="F54" s="21" t="s">
        <v>663</v>
      </c>
      <c r="G54" s="23" t="s">
        <v>1626</v>
      </c>
      <c r="H54" s="23" t="s">
        <v>1627</v>
      </c>
      <c r="I54" s="21"/>
      <c r="J54" s="21"/>
      <c r="K54" s="21"/>
      <c r="L54" s="21"/>
      <c r="M54" s="21"/>
      <c r="N54" s="21"/>
      <c r="O54" s="21"/>
      <c r="P54" s="21"/>
      <c r="Q54" s="21"/>
      <c r="R54" s="21"/>
      <c r="S54" s="21"/>
      <c r="T54" s="21"/>
      <c r="U54" s="21"/>
      <c r="V54" s="21"/>
      <c r="W54" s="21"/>
      <c r="X54" s="21"/>
      <c r="Y54" s="21"/>
      <c r="Z54" s="21"/>
    </row>
    <row r="55">
      <c r="A55" s="21"/>
      <c r="B55" s="24">
        <v>5.9913422E7</v>
      </c>
      <c r="C55" s="21" t="s">
        <v>875</v>
      </c>
      <c r="D55" s="25">
        <v>179.99</v>
      </c>
      <c r="E55" s="25">
        <v>179.99</v>
      </c>
      <c r="F55" s="21" t="s">
        <v>663</v>
      </c>
      <c r="G55" s="23" t="s">
        <v>1626</v>
      </c>
      <c r="H55" s="23" t="s">
        <v>1627</v>
      </c>
      <c r="I55" s="21"/>
      <c r="J55" s="21"/>
      <c r="K55" s="21"/>
      <c r="L55" s="21"/>
      <c r="M55" s="21"/>
      <c r="N55" s="21"/>
      <c r="O55" s="21"/>
      <c r="P55" s="21"/>
      <c r="Q55" s="21"/>
      <c r="R55" s="21"/>
      <c r="S55" s="21"/>
      <c r="T55" s="21"/>
      <c r="U55" s="21"/>
      <c r="V55" s="21"/>
      <c r="W55" s="21"/>
      <c r="X55" s="21"/>
      <c r="Y55" s="21"/>
      <c r="Z55" s="21"/>
    </row>
    <row r="56">
      <c r="A56" s="21"/>
      <c r="B56" s="24">
        <v>5.9925782E7</v>
      </c>
      <c r="C56" s="21" t="s">
        <v>906</v>
      </c>
      <c r="D56" s="25">
        <v>229.99</v>
      </c>
      <c r="E56" s="25">
        <v>229.99</v>
      </c>
      <c r="F56" s="21" t="s">
        <v>663</v>
      </c>
      <c r="G56" s="23" t="s">
        <v>1622</v>
      </c>
      <c r="H56" s="23" t="s">
        <v>1623</v>
      </c>
      <c r="I56" s="21"/>
      <c r="J56" s="21"/>
      <c r="K56" s="21"/>
      <c r="L56" s="21"/>
      <c r="M56" s="21"/>
      <c r="N56" s="21"/>
      <c r="O56" s="21"/>
      <c r="P56" s="21"/>
      <c r="Q56" s="21"/>
      <c r="R56" s="21"/>
      <c r="S56" s="21"/>
      <c r="T56" s="21"/>
      <c r="U56" s="21"/>
      <c r="V56" s="21"/>
      <c r="W56" s="21"/>
      <c r="X56" s="21"/>
      <c r="Y56" s="21"/>
      <c r="Z56" s="21"/>
    </row>
    <row r="57">
      <c r="A57" s="21"/>
      <c r="B57" s="24">
        <v>5.9914018E7</v>
      </c>
      <c r="C57" s="21" t="s">
        <v>889</v>
      </c>
      <c r="D57" s="25">
        <v>74.99</v>
      </c>
      <c r="E57" s="25">
        <v>74.99</v>
      </c>
      <c r="F57" s="21" t="s">
        <v>663</v>
      </c>
      <c r="G57" s="23" t="s">
        <v>1624</v>
      </c>
      <c r="H57" s="23" t="s">
        <v>1625</v>
      </c>
      <c r="I57" s="21"/>
      <c r="J57" s="21"/>
      <c r="K57" s="21"/>
      <c r="L57" s="21"/>
      <c r="M57" s="21"/>
      <c r="N57" s="21"/>
      <c r="O57" s="21"/>
      <c r="P57" s="21"/>
      <c r="Q57" s="21"/>
      <c r="R57" s="21"/>
      <c r="S57" s="21"/>
      <c r="T57" s="21"/>
      <c r="U57" s="21"/>
      <c r="V57" s="21"/>
      <c r="W57" s="21"/>
      <c r="X57" s="21"/>
      <c r="Y57" s="21"/>
      <c r="Z57" s="21"/>
    </row>
    <row r="58">
      <c r="A58" s="21"/>
      <c r="B58" s="24">
        <v>5.9915046E7</v>
      </c>
      <c r="C58" s="21" t="s">
        <v>889</v>
      </c>
      <c r="D58" s="25">
        <v>74.99</v>
      </c>
      <c r="E58" s="25">
        <v>74.99</v>
      </c>
      <c r="F58" s="21" t="s">
        <v>663</v>
      </c>
      <c r="G58" s="23" t="s">
        <v>1624</v>
      </c>
      <c r="H58" s="23" t="s">
        <v>1625</v>
      </c>
      <c r="I58" s="21"/>
      <c r="J58" s="21"/>
      <c r="K58" s="21"/>
      <c r="L58" s="21"/>
      <c r="M58" s="21"/>
      <c r="N58" s="21"/>
      <c r="O58" s="21"/>
      <c r="P58" s="21"/>
      <c r="Q58" s="21"/>
      <c r="R58" s="21"/>
      <c r="S58" s="21"/>
      <c r="T58" s="21"/>
      <c r="U58" s="21"/>
      <c r="V58" s="21"/>
      <c r="W58" s="21"/>
      <c r="X58" s="21"/>
      <c r="Y58" s="21"/>
      <c r="Z58" s="21"/>
    </row>
    <row r="59">
      <c r="A59" s="21"/>
      <c r="B59" s="24">
        <v>5.9915111E7</v>
      </c>
      <c r="C59" s="21" t="s">
        <v>889</v>
      </c>
      <c r="D59" s="25">
        <v>74.99</v>
      </c>
      <c r="E59" s="25">
        <v>74.99</v>
      </c>
      <c r="F59" s="21" t="s">
        <v>663</v>
      </c>
      <c r="G59" s="23" t="s">
        <v>1624</v>
      </c>
      <c r="H59" s="23" t="s">
        <v>1625</v>
      </c>
      <c r="I59" s="21"/>
      <c r="J59" s="21"/>
      <c r="K59" s="21"/>
      <c r="L59" s="21"/>
      <c r="M59" s="21"/>
      <c r="N59" s="21"/>
      <c r="O59" s="21"/>
      <c r="P59" s="21"/>
      <c r="Q59" s="21"/>
      <c r="R59" s="21"/>
      <c r="S59" s="21"/>
      <c r="T59" s="21"/>
      <c r="U59" s="21"/>
      <c r="V59" s="21"/>
      <c r="W59" s="21"/>
      <c r="X59" s="21"/>
      <c r="Y59" s="21"/>
      <c r="Z59" s="21"/>
    </row>
    <row r="60">
      <c r="A60" s="21"/>
      <c r="B60" s="24">
        <v>5.9913244E7</v>
      </c>
      <c r="C60" s="21" t="s">
        <v>877</v>
      </c>
      <c r="D60" s="25">
        <v>229.99</v>
      </c>
      <c r="E60" s="25">
        <v>229.99</v>
      </c>
      <c r="F60" s="21" t="s">
        <v>663</v>
      </c>
      <c r="G60" s="23" t="s">
        <v>1626</v>
      </c>
      <c r="H60" s="23" t="s">
        <v>1627</v>
      </c>
      <c r="I60" s="21"/>
      <c r="J60" s="21"/>
      <c r="K60" s="21"/>
      <c r="L60" s="21"/>
      <c r="M60" s="21"/>
      <c r="N60" s="21"/>
      <c r="O60" s="21"/>
      <c r="P60" s="21"/>
      <c r="Q60" s="21"/>
      <c r="R60" s="21"/>
      <c r="S60" s="21"/>
      <c r="T60" s="21"/>
      <c r="U60" s="21"/>
      <c r="V60" s="21"/>
      <c r="W60" s="21"/>
      <c r="X60" s="21"/>
      <c r="Y60" s="21"/>
      <c r="Z60" s="21"/>
    </row>
    <row r="61">
      <c r="A61" s="21"/>
      <c r="B61" s="24">
        <v>5.9913345E7</v>
      </c>
      <c r="C61" s="21" t="s">
        <v>877</v>
      </c>
      <c r="D61" s="25">
        <v>229.99</v>
      </c>
      <c r="E61" s="25">
        <v>229.99</v>
      </c>
      <c r="F61" s="21" t="s">
        <v>663</v>
      </c>
      <c r="G61" s="23" t="s">
        <v>1626</v>
      </c>
      <c r="H61" s="23" t="s">
        <v>1627</v>
      </c>
      <c r="I61" s="21"/>
      <c r="J61" s="21"/>
      <c r="K61" s="21"/>
      <c r="L61" s="21"/>
      <c r="M61" s="21"/>
      <c r="N61" s="21"/>
      <c r="O61" s="21"/>
      <c r="P61" s="21"/>
      <c r="Q61" s="21"/>
      <c r="R61" s="21"/>
      <c r="S61" s="21"/>
      <c r="T61" s="21"/>
      <c r="U61" s="21"/>
      <c r="V61" s="21"/>
      <c r="W61" s="21"/>
      <c r="X61" s="21"/>
      <c r="Y61" s="21"/>
      <c r="Z61" s="21"/>
    </row>
    <row r="62">
      <c r="A62" s="21"/>
      <c r="B62" s="24">
        <v>5.9913446E7</v>
      </c>
      <c r="C62" s="21" t="s">
        <v>877</v>
      </c>
      <c r="D62" s="25">
        <v>229.99</v>
      </c>
      <c r="E62" s="25">
        <v>229.99</v>
      </c>
      <c r="F62" s="21" t="s">
        <v>663</v>
      </c>
      <c r="G62" s="23" t="s">
        <v>1626</v>
      </c>
      <c r="H62" s="23" t="s">
        <v>1627</v>
      </c>
      <c r="I62" s="21"/>
      <c r="J62" s="21"/>
      <c r="K62" s="21"/>
      <c r="L62" s="21"/>
      <c r="M62" s="21"/>
      <c r="N62" s="21"/>
      <c r="O62" s="21"/>
      <c r="P62" s="21"/>
      <c r="Q62" s="21"/>
      <c r="R62" s="21"/>
      <c r="S62" s="21"/>
      <c r="T62" s="21"/>
      <c r="U62" s="21"/>
      <c r="V62" s="21"/>
      <c r="W62" s="21"/>
      <c r="X62" s="21"/>
      <c r="Y62" s="21"/>
      <c r="Z62" s="21"/>
    </row>
    <row r="63">
      <c r="A63" s="21"/>
      <c r="B63" s="24">
        <v>5.9911113E7</v>
      </c>
      <c r="C63" s="21" t="s">
        <v>846</v>
      </c>
      <c r="D63" s="25">
        <v>279.99</v>
      </c>
      <c r="E63" s="25">
        <v>279.99</v>
      </c>
      <c r="F63" s="21" t="s">
        <v>663</v>
      </c>
      <c r="G63" s="23" t="s">
        <v>1622</v>
      </c>
      <c r="H63" s="23" t="s">
        <v>1623</v>
      </c>
      <c r="I63" s="21"/>
      <c r="J63" s="21"/>
      <c r="K63" s="21"/>
      <c r="L63" s="21"/>
      <c r="M63" s="21"/>
      <c r="N63" s="21"/>
      <c r="O63" s="21"/>
      <c r="P63" s="21"/>
      <c r="Q63" s="21"/>
      <c r="R63" s="21"/>
      <c r="S63" s="21"/>
      <c r="T63" s="21"/>
      <c r="U63" s="21"/>
      <c r="V63" s="21"/>
      <c r="W63" s="21"/>
      <c r="X63" s="21"/>
      <c r="Y63" s="21"/>
      <c r="Z63" s="21"/>
    </row>
    <row r="64">
      <c r="A64" s="21"/>
      <c r="B64" s="24">
        <v>5.9912153E7</v>
      </c>
      <c r="C64" s="21" t="s">
        <v>846</v>
      </c>
      <c r="D64" s="25">
        <v>249.99</v>
      </c>
      <c r="E64" s="25">
        <v>249.99</v>
      </c>
      <c r="F64" s="21" t="s">
        <v>663</v>
      </c>
      <c r="G64" s="23" t="s">
        <v>1622</v>
      </c>
      <c r="H64" s="23" t="s">
        <v>1623</v>
      </c>
      <c r="I64" s="21"/>
      <c r="J64" s="21"/>
      <c r="K64" s="21"/>
      <c r="L64" s="21"/>
      <c r="M64" s="21"/>
      <c r="N64" s="21"/>
      <c r="O64" s="21"/>
      <c r="P64" s="21"/>
      <c r="Q64" s="21"/>
      <c r="R64" s="21"/>
      <c r="S64" s="21"/>
      <c r="T64" s="21"/>
      <c r="U64" s="21"/>
      <c r="V64" s="21"/>
      <c r="W64" s="21"/>
      <c r="X64" s="21"/>
      <c r="Y64" s="21"/>
      <c r="Z64" s="21"/>
    </row>
    <row r="65">
      <c r="A65" s="21"/>
      <c r="B65" s="24">
        <v>5.9913117E7</v>
      </c>
      <c r="C65" s="21" t="s">
        <v>865</v>
      </c>
      <c r="D65" s="25">
        <v>279.99</v>
      </c>
      <c r="E65" s="25">
        <v>279.99</v>
      </c>
      <c r="F65" s="21" t="s">
        <v>663</v>
      </c>
      <c r="G65" s="23" t="s">
        <v>1622</v>
      </c>
      <c r="H65" s="23" t="s">
        <v>1623</v>
      </c>
      <c r="I65" s="21"/>
      <c r="J65" s="21"/>
      <c r="K65" s="21"/>
      <c r="L65" s="21"/>
      <c r="M65" s="21"/>
      <c r="N65" s="21"/>
      <c r="O65" s="21"/>
      <c r="P65" s="21"/>
      <c r="Q65" s="21"/>
      <c r="R65" s="21"/>
      <c r="S65" s="21"/>
      <c r="T65" s="21"/>
      <c r="U65" s="21"/>
      <c r="V65" s="21"/>
      <c r="W65" s="21"/>
      <c r="X65" s="21"/>
      <c r="Y65" s="21"/>
      <c r="Z65" s="21"/>
    </row>
    <row r="66">
      <c r="A66" s="21"/>
      <c r="B66" s="24">
        <v>5.9914032E7</v>
      </c>
      <c r="C66" s="21" t="s">
        <v>893</v>
      </c>
      <c r="D66" s="25">
        <v>99.99</v>
      </c>
      <c r="E66" s="25">
        <v>99.99</v>
      </c>
      <c r="F66" s="21" t="s">
        <v>663</v>
      </c>
      <c r="G66" s="23" t="s">
        <v>1624</v>
      </c>
      <c r="H66" s="23" t="s">
        <v>1625</v>
      </c>
      <c r="I66" s="21"/>
      <c r="J66" s="21"/>
      <c r="K66" s="21"/>
      <c r="L66" s="21"/>
      <c r="M66" s="21"/>
      <c r="N66" s="21"/>
      <c r="O66" s="21"/>
      <c r="P66" s="21"/>
      <c r="Q66" s="21"/>
      <c r="R66" s="21"/>
      <c r="S66" s="21"/>
      <c r="T66" s="21"/>
      <c r="U66" s="21"/>
      <c r="V66" s="21"/>
      <c r="W66" s="21"/>
      <c r="X66" s="21"/>
      <c r="Y66" s="21"/>
      <c r="Z66" s="21"/>
    </row>
    <row r="67">
      <c r="A67" s="21"/>
      <c r="B67" s="24">
        <v>5.991506E7</v>
      </c>
      <c r="C67" s="21" t="s">
        <v>893</v>
      </c>
      <c r="D67" s="25">
        <v>99.99</v>
      </c>
      <c r="E67" s="25">
        <v>99.99</v>
      </c>
      <c r="F67" s="21" t="s">
        <v>663</v>
      </c>
      <c r="G67" s="23" t="s">
        <v>1624</v>
      </c>
      <c r="H67" s="23" t="s">
        <v>1625</v>
      </c>
      <c r="I67" s="21"/>
      <c r="J67" s="21"/>
      <c r="K67" s="21"/>
      <c r="L67" s="21"/>
      <c r="M67" s="21"/>
      <c r="N67" s="21"/>
      <c r="O67" s="21"/>
      <c r="P67" s="21"/>
      <c r="Q67" s="21"/>
      <c r="R67" s="21"/>
      <c r="S67" s="21"/>
      <c r="T67" s="21"/>
      <c r="U67" s="21"/>
      <c r="V67" s="21"/>
      <c r="W67" s="21"/>
      <c r="X67" s="21"/>
      <c r="Y67" s="21"/>
      <c r="Z67" s="21"/>
    </row>
    <row r="68">
      <c r="A68" s="21"/>
      <c r="B68" s="24">
        <v>5.9915135E7</v>
      </c>
      <c r="C68" s="21" t="s">
        <v>893</v>
      </c>
      <c r="D68" s="25">
        <v>99.99</v>
      </c>
      <c r="E68" s="25">
        <v>99.99</v>
      </c>
      <c r="F68" s="21" t="s">
        <v>663</v>
      </c>
      <c r="G68" s="23" t="s">
        <v>1624</v>
      </c>
      <c r="H68" s="23" t="s">
        <v>1625</v>
      </c>
      <c r="I68" s="21"/>
      <c r="J68" s="21"/>
      <c r="K68" s="21"/>
      <c r="L68" s="21"/>
      <c r="M68" s="21"/>
      <c r="N68" s="21"/>
      <c r="O68" s="21"/>
      <c r="P68" s="21"/>
      <c r="Q68" s="21"/>
      <c r="R68" s="21"/>
      <c r="S68" s="21"/>
      <c r="T68" s="21"/>
      <c r="U68" s="21"/>
      <c r="V68" s="21"/>
      <c r="W68" s="21"/>
      <c r="X68" s="21"/>
      <c r="Y68" s="21"/>
      <c r="Z68" s="21"/>
    </row>
    <row r="69">
      <c r="A69" s="21"/>
      <c r="B69" s="24">
        <v>5.9925869E7</v>
      </c>
      <c r="C69" s="21" t="s">
        <v>907</v>
      </c>
      <c r="D69" s="25">
        <v>279.99</v>
      </c>
      <c r="E69" s="25">
        <v>279.99</v>
      </c>
      <c r="F69" s="21" t="s">
        <v>663</v>
      </c>
      <c r="G69" s="23" t="s">
        <v>1622</v>
      </c>
      <c r="H69" s="23" t="s">
        <v>1623</v>
      </c>
      <c r="I69" s="21"/>
      <c r="J69" s="21"/>
      <c r="K69" s="21"/>
      <c r="L69" s="21"/>
      <c r="M69" s="21"/>
      <c r="N69" s="21"/>
      <c r="O69" s="21"/>
      <c r="P69" s="21"/>
      <c r="Q69" s="21"/>
      <c r="R69" s="21"/>
      <c r="S69" s="21"/>
      <c r="T69" s="21"/>
      <c r="U69" s="21"/>
      <c r="V69" s="21"/>
      <c r="W69" s="21"/>
      <c r="X69" s="21"/>
      <c r="Y69" s="21"/>
      <c r="Z69" s="21"/>
    </row>
    <row r="70">
      <c r="A70" s="21"/>
      <c r="B70" s="24">
        <v>5.9913662E7</v>
      </c>
      <c r="C70" s="21" t="s">
        <v>887</v>
      </c>
      <c r="D70" s="25">
        <v>329.99</v>
      </c>
      <c r="E70" s="25">
        <v>329.99</v>
      </c>
      <c r="F70" s="21" t="s">
        <v>663</v>
      </c>
      <c r="G70" s="23" t="s">
        <v>1628</v>
      </c>
      <c r="H70" s="23" t="s">
        <v>1629</v>
      </c>
      <c r="I70" s="21"/>
      <c r="J70" s="21"/>
      <c r="K70" s="21"/>
      <c r="L70" s="21"/>
      <c r="M70" s="21"/>
      <c r="N70" s="21"/>
      <c r="O70" s="21"/>
      <c r="P70" s="21"/>
      <c r="Q70" s="21"/>
      <c r="R70" s="21"/>
      <c r="S70" s="21"/>
      <c r="T70" s="21"/>
      <c r="U70" s="21"/>
      <c r="V70" s="21"/>
      <c r="W70" s="21"/>
      <c r="X70" s="21"/>
      <c r="Y70" s="21"/>
      <c r="Z70" s="21"/>
    </row>
    <row r="71">
      <c r="A71" s="21"/>
      <c r="B71" s="24">
        <v>5.9913698E7</v>
      </c>
      <c r="C71" s="21" t="s">
        <v>887</v>
      </c>
      <c r="D71" s="25">
        <v>329.99</v>
      </c>
      <c r="E71" s="25">
        <v>329.99</v>
      </c>
      <c r="F71" s="21" t="s">
        <v>663</v>
      </c>
      <c r="G71" s="23" t="s">
        <v>1628</v>
      </c>
      <c r="H71" s="23" t="s">
        <v>1629</v>
      </c>
      <c r="I71" s="21"/>
      <c r="J71" s="21"/>
      <c r="K71" s="21"/>
      <c r="L71" s="21"/>
      <c r="M71" s="21"/>
      <c r="N71" s="21"/>
      <c r="O71" s="21"/>
      <c r="P71" s="21"/>
      <c r="Q71" s="21"/>
      <c r="R71" s="21"/>
      <c r="S71" s="21"/>
      <c r="T71" s="21"/>
      <c r="U71" s="21"/>
      <c r="V71" s="21"/>
      <c r="W71" s="21"/>
      <c r="X71" s="21"/>
      <c r="Y71" s="21"/>
      <c r="Z71" s="21"/>
    </row>
    <row r="72">
      <c r="A72" s="21"/>
      <c r="B72" s="24">
        <v>5.9913775E7</v>
      </c>
      <c r="C72" s="21" t="s">
        <v>887</v>
      </c>
      <c r="D72" s="25">
        <v>329.99</v>
      </c>
      <c r="E72" s="25">
        <v>329.99</v>
      </c>
      <c r="F72" s="21" t="s">
        <v>663</v>
      </c>
      <c r="G72" s="23" t="s">
        <v>1628</v>
      </c>
      <c r="H72" s="23" t="s">
        <v>1629</v>
      </c>
      <c r="I72" s="21"/>
      <c r="J72" s="21"/>
      <c r="K72" s="21"/>
      <c r="L72" s="21"/>
      <c r="M72" s="21"/>
      <c r="N72" s="21"/>
      <c r="O72" s="21"/>
      <c r="P72" s="21"/>
      <c r="Q72" s="21"/>
      <c r="R72" s="21"/>
      <c r="S72" s="21"/>
      <c r="T72" s="21"/>
      <c r="U72" s="21"/>
      <c r="V72" s="21"/>
      <c r="W72" s="21"/>
      <c r="X72" s="21"/>
      <c r="Y72" s="21"/>
      <c r="Z72" s="21"/>
    </row>
    <row r="73">
      <c r="A73" s="21"/>
      <c r="B73" s="24">
        <v>5.9913802E7</v>
      </c>
      <c r="C73" s="21" t="s">
        <v>887</v>
      </c>
      <c r="D73" s="25">
        <v>329.99</v>
      </c>
      <c r="E73" s="25">
        <v>329.99</v>
      </c>
      <c r="F73" s="21" t="s">
        <v>663</v>
      </c>
      <c r="G73" s="23" t="s">
        <v>1628</v>
      </c>
      <c r="H73" s="23" t="s">
        <v>1629</v>
      </c>
      <c r="I73" s="21"/>
      <c r="J73" s="21"/>
      <c r="K73" s="21"/>
      <c r="L73" s="21"/>
      <c r="M73" s="21"/>
      <c r="N73" s="21"/>
      <c r="O73" s="21"/>
      <c r="P73" s="21"/>
      <c r="Q73" s="21"/>
      <c r="R73" s="21"/>
      <c r="S73" s="21"/>
      <c r="T73" s="21"/>
      <c r="U73" s="21"/>
      <c r="V73" s="21"/>
      <c r="W73" s="21"/>
      <c r="X73" s="21"/>
      <c r="Y73" s="21"/>
      <c r="Z73" s="21"/>
    </row>
    <row r="74">
      <c r="A74" s="21"/>
      <c r="B74" s="24">
        <v>5.9911048E7</v>
      </c>
      <c r="C74" s="21" t="s">
        <v>841</v>
      </c>
      <c r="D74" s="25">
        <v>229.99</v>
      </c>
      <c r="E74" s="25">
        <v>229.99</v>
      </c>
      <c r="F74" s="21" t="s">
        <v>663</v>
      </c>
      <c r="G74" s="23" t="s">
        <v>1622</v>
      </c>
      <c r="H74" s="23" t="s">
        <v>1623</v>
      </c>
      <c r="I74" s="21"/>
      <c r="J74" s="21"/>
      <c r="K74" s="21"/>
      <c r="L74" s="21"/>
      <c r="M74" s="21"/>
      <c r="N74" s="21"/>
      <c r="O74" s="21"/>
      <c r="P74" s="21"/>
      <c r="Q74" s="21"/>
      <c r="R74" s="21"/>
      <c r="S74" s="21"/>
      <c r="T74" s="21"/>
      <c r="U74" s="21"/>
      <c r="V74" s="21"/>
      <c r="W74" s="21"/>
      <c r="X74" s="21"/>
      <c r="Y74" s="21"/>
      <c r="Z74" s="21"/>
    </row>
    <row r="75">
      <c r="A75" s="21"/>
      <c r="B75" s="24">
        <v>5.9912139E7</v>
      </c>
      <c r="C75" s="21" t="s">
        <v>841</v>
      </c>
      <c r="D75" s="25">
        <v>229.99</v>
      </c>
      <c r="E75" s="25">
        <v>229.99</v>
      </c>
      <c r="F75" s="21" t="s">
        <v>663</v>
      </c>
      <c r="G75" s="23" t="s">
        <v>1622</v>
      </c>
      <c r="H75" s="23" t="s">
        <v>1623</v>
      </c>
      <c r="I75" s="21"/>
      <c r="J75" s="21"/>
      <c r="K75" s="21"/>
      <c r="L75" s="21"/>
      <c r="M75" s="21"/>
      <c r="N75" s="21"/>
      <c r="O75" s="21"/>
      <c r="P75" s="21"/>
      <c r="Q75" s="21"/>
      <c r="R75" s="21"/>
      <c r="S75" s="21"/>
      <c r="T75" s="21"/>
      <c r="U75" s="21"/>
      <c r="V75" s="21"/>
      <c r="W75" s="21"/>
      <c r="X75" s="21"/>
      <c r="Y75" s="21"/>
      <c r="Z75" s="21"/>
    </row>
    <row r="76">
      <c r="A76" s="21"/>
      <c r="B76" s="24">
        <v>5.991303E7</v>
      </c>
      <c r="C76" s="21" t="s">
        <v>841</v>
      </c>
      <c r="D76" s="25">
        <v>229.99</v>
      </c>
      <c r="E76" s="25">
        <v>229.99</v>
      </c>
      <c r="F76" s="21" t="s">
        <v>663</v>
      </c>
      <c r="G76" s="23" t="s">
        <v>1622</v>
      </c>
      <c r="H76" s="23" t="s">
        <v>1623</v>
      </c>
      <c r="I76" s="21"/>
      <c r="J76" s="21"/>
      <c r="K76" s="21"/>
      <c r="L76" s="21"/>
      <c r="M76" s="21"/>
      <c r="N76" s="21"/>
      <c r="O76" s="21"/>
      <c r="P76" s="21"/>
      <c r="Q76" s="21"/>
      <c r="R76" s="21"/>
      <c r="S76" s="21"/>
      <c r="T76" s="21"/>
      <c r="U76" s="21"/>
      <c r="V76" s="21"/>
      <c r="W76" s="21"/>
      <c r="X76" s="21"/>
      <c r="Y76" s="21"/>
      <c r="Z76" s="21"/>
    </row>
    <row r="77">
      <c r="A77" s="21"/>
      <c r="B77" s="24">
        <v>5.9925845E7</v>
      </c>
      <c r="C77" s="21" t="s">
        <v>841</v>
      </c>
      <c r="D77" s="25">
        <v>249.99</v>
      </c>
      <c r="E77" s="25">
        <v>249.99</v>
      </c>
      <c r="F77" s="21" t="s">
        <v>663</v>
      </c>
      <c r="G77" s="23" t="s">
        <v>1622</v>
      </c>
      <c r="H77" s="23" t="s">
        <v>1623</v>
      </c>
      <c r="I77" s="21"/>
      <c r="J77" s="21"/>
      <c r="K77" s="21"/>
      <c r="L77" s="21"/>
      <c r="M77" s="21"/>
      <c r="N77" s="21"/>
      <c r="O77" s="21"/>
      <c r="P77" s="21"/>
      <c r="Q77" s="21"/>
      <c r="R77" s="21"/>
      <c r="S77" s="21"/>
      <c r="T77" s="21"/>
      <c r="U77" s="21"/>
      <c r="V77" s="21"/>
      <c r="W77" s="21"/>
      <c r="X77" s="21"/>
      <c r="Y77" s="21"/>
      <c r="Z77" s="21"/>
    </row>
    <row r="78">
      <c r="A78" s="21"/>
      <c r="B78" s="24">
        <v>5.9913232E7</v>
      </c>
      <c r="C78" s="21" t="s">
        <v>876</v>
      </c>
      <c r="D78" s="25">
        <v>199.99</v>
      </c>
      <c r="E78" s="25">
        <v>199.99</v>
      </c>
      <c r="F78" s="21" t="s">
        <v>663</v>
      </c>
      <c r="G78" s="23" t="s">
        <v>1626</v>
      </c>
      <c r="H78" s="23" t="s">
        <v>1627</v>
      </c>
      <c r="I78" s="21"/>
      <c r="J78" s="21"/>
      <c r="K78" s="21"/>
      <c r="L78" s="21"/>
      <c r="M78" s="21"/>
      <c r="N78" s="21"/>
      <c r="O78" s="21"/>
      <c r="P78" s="21"/>
      <c r="Q78" s="21"/>
      <c r="R78" s="21"/>
      <c r="S78" s="21"/>
      <c r="T78" s="21"/>
      <c r="U78" s="21"/>
      <c r="V78" s="21"/>
      <c r="W78" s="21"/>
      <c r="X78" s="21"/>
      <c r="Y78" s="21"/>
      <c r="Z78" s="21"/>
    </row>
    <row r="79">
      <c r="A79" s="21"/>
      <c r="B79" s="24">
        <v>5.9913333E7</v>
      </c>
      <c r="C79" s="21" t="s">
        <v>876</v>
      </c>
      <c r="D79" s="25">
        <v>199.99</v>
      </c>
      <c r="E79" s="25">
        <v>199.99</v>
      </c>
      <c r="F79" s="21" t="s">
        <v>663</v>
      </c>
      <c r="G79" s="23" t="s">
        <v>1626</v>
      </c>
      <c r="H79" s="23" t="s">
        <v>1627</v>
      </c>
      <c r="I79" s="21"/>
      <c r="J79" s="21"/>
      <c r="K79" s="21"/>
      <c r="L79" s="21"/>
      <c r="M79" s="21"/>
      <c r="N79" s="21"/>
      <c r="O79" s="21"/>
      <c r="P79" s="21"/>
      <c r="Q79" s="21"/>
      <c r="R79" s="21"/>
      <c r="S79" s="21"/>
      <c r="T79" s="21"/>
      <c r="U79" s="21"/>
      <c r="V79" s="21"/>
      <c r="W79" s="21"/>
      <c r="X79" s="21"/>
      <c r="Y79" s="21"/>
      <c r="Z79" s="21"/>
    </row>
    <row r="80">
      <c r="A80" s="21"/>
      <c r="B80" s="24">
        <v>5.9913434E7</v>
      </c>
      <c r="C80" s="21" t="s">
        <v>876</v>
      </c>
      <c r="D80" s="25">
        <v>199.99</v>
      </c>
      <c r="E80" s="25">
        <v>199.99</v>
      </c>
      <c r="F80" s="21" t="s">
        <v>663</v>
      </c>
      <c r="G80" s="23" t="s">
        <v>1626</v>
      </c>
      <c r="H80" s="23" t="s">
        <v>1627</v>
      </c>
      <c r="I80" s="21"/>
      <c r="J80" s="21"/>
      <c r="K80" s="21"/>
      <c r="L80" s="21"/>
      <c r="M80" s="21"/>
      <c r="N80" s="21"/>
      <c r="O80" s="21"/>
      <c r="P80" s="21"/>
      <c r="Q80" s="21"/>
      <c r="R80" s="21"/>
      <c r="S80" s="21"/>
      <c r="T80" s="21"/>
      <c r="U80" s="21"/>
      <c r="V80" s="21"/>
      <c r="W80" s="21"/>
      <c r="X80" s="21"/>
      <c r="Y80" s="21"/>
      <c r="Z80" s="21"/>
    </row>
    <row r="81">
      <c r="A81" s="21"/>
      <c r="B81" s="24">
        <v>5.9913597E7</v>
      </c>
      <c r="C81" s="21" t="s">
        <v>885</v>
      </c>
      <c r="D81" s="25">
        <v>299.99</v>
      </c>
      <c r="E81" s="25">
        <v>299.99</v>
      </c>
      <c r="F81" s="21" t="s">
        <v>663</v>
      </c>
      <c r="G81" s="23" t="s">
        <v>1628</v>
      </c>
      <c r="H81" s="23" t="s">
        <v>1629</v>
      </c>
      <c r="I81" s="21"/>
      <c r="J81" s="21"/>
      <c r="K81" s="21"/>
      <c r="L81" s="21"/>
      <c r="M81" s="21"/>
      <c r="N81" s="21"/>
      <c r="O81" s="21"/>
      <c r="P81" s="21"/>
      <c r="Q81" s="21"/>
      <c r="R81" s="21"/>
      <c r="S81" s="21"/>
      <c r="T81" s="21"/>
      <c r="U81" s="21"/>
      <c r="V81" s="21"/>
      <c r="W81" s="21"/>
      <c r="X81" s="21"/>
      <c r="Y81" s="21"/>
      <c r="Z81" s="21"/>
    </row>
    <row r="82">
      <c r="A82" s="21"/>
      <c r="B82" s="24">
        <v>5.9913686E7</v>
      </c>
      <c r="C82" s="21" t="s">
        <v>885</v>
      </c>
      <c r="D82" s="25">
        <v>299.99</v>
      </c>
      <c r="E82" s="25">
        <v>299.99</v>
      </c>
      <c r="F82" s="21" t="s">
        <v>663</v>
      </c>
      <c r="G82" s="23" t="s">
        <v>1628</v>
      </c>
      <c r="H82" s="23" t="s">
        <v>1629</v>
      </c>
      <c r="I82" s="21"/>
      <c r="J82" s="21"/>
      <c r="K82" s="21"/>
      <c r="L82" s="21"/>
      <c r="M82" s="21"/>
      <c r="N82" s="21"/>
      <c r="O82" s="21"/>
      <c r="P82" s="21"/>
      <c r="Q82" s="21"/>
      <c r="R82" s="21"/>
      <c r="S82" s="21"/>
      <c r="T82" s="21"/>
      <c r="U82" s="21"/>
      <c r="V82" s="21"/>
      <c r="W82" s="21"/>
      <c r="X82" s="21"/>
      <c r="Y82" s="21"/>
      <c r="Z82" s="21"/>
    </row>
    <row r="83">
      <c r="A83" s="21"/>
      <c r="B83" s="24">
        <v>5.9913763E7</v>
      </c>
      <c r="C83" s="21" t="s">
        <v>885</v>
      </c>
      <c r="D83" s="25">
        <v>299.99</v>
      </c>
      <c r="E83" s="25">
        <v>299.99</v>
      </c>
      <c r="F83" s="21" t="s">
        <v>663</v>
      </c>
      <c r="G83" s="23" t="s">
        <v>1628</v>
      </c>
      <c r="H83" s="23" t="s">
        <v>1629</v>
      </c>
      <c r="I83" s="21"/>
      <c r="J83" s="21"/>
      <c r="K83" s="21"/>
      <c r="L83" s="21"/>
      <c r="M83" s="21"/>
      <c r="N83" s="21"/>
      <c r="O83" s="21"/>
      <c r="P83" s="21"/>
      <c r="Q83" s="21"/>
      <c r="R83" s="21"/>
      <c r="S83" s="21"/>
      <c r="T83" s="21"/>
      <c r="U83" s="21"/>
      <c r="V83" s="21"/>
      <c r="W83" s="21"/>
      <c r="X83" s="21"/>
      <c r="Y83" s="21"/>
      <c r="Z83" s="21"/>
    </row>
    <row r="84">
      <c r="A84" s="21"/>
      <c r="B84" s="24">
        <v>5.9913799E7</v>
      </c>
      <c r="C84" s="21" t="s">
        <v>885</v>
      </c>
      <c r="D84" s="25">
        <v>299.99</v>
      </c>
      <c r="E84" s="25">
        <v>299.99</v>
      </c>
      <c r="F84" s="21" t="s">
        <v>663</v>
      </c>
      <c r="G84" s="23" t="s">
        <v>1628</v>
      </c>
      <c r="H84" s="23" t="s">
        <v>1629</v>
      </c>
      <c r="I84" s="21"/>
      <c r="J84" s="21"/>
      <c r="K84" s="21"/>
      <c r="L84" s="21"/>
      <c r="M84" s="21"/>
      <c r="N84" s="21"/>
      <c r="O84" s="21"/>
      <c r="P84" s="21"/>
      <c r="Q84" s="21"/>
      <c r="R84" s="21"/>
      <c r="S84" s="21"/>
      <c r="T84" s="21"/>
      <c r="U84" s="21"/>
      <c r="V84" s="21"/>
      <c r="W84" s="21"/>
      <c r="X84" s="21"/>
      <c r="Y84" s="21"/>
      <c r="Z84" s="21"/>
    </row>
    <row r="85">
      <c r="A85" s="21"/>
      <c r="B85" s="24">
        <v>5.991402E7</v>
      </c>
      <c r="C85" s="21" t="s">
        <v>891</v>
      </c>
      <c r="D85" s="25">
        <v>79.99</v>
      </c>
      <c r="E85" s="25">
        <v>79.99</v>
      </c>
      <c r="F85" s="21" t="s">
        <v>663</v>
      </c>
      <c r="G85" s="23" t="s">
        <v>1624</v>
      </c>
      <c r="H85" s="23" t="s">
        <v>1625</v>
      </c>
      <c r="I85" s="21"/>
      <c r="J85" s="21"/>
      <c r="K85" s="21"/>
      <c r="L85" s="21"/>
      <c r="M85" s="21"/>
      <c r="N85" s="21"/>
      <c r="O85" s="21"/>
      <c r="P85" s="21"/>
      <c r="Q85" s="21"/>
      <c r="R85" s="21"/>
      <c r="S85" s="21"/>
      <c r="T85" s="21"/>
      <c r="U85" s="21"/>
      <c r="V85" s="21"/>
      <c r="W85" s="21"/>
      <c r="X85" s="21"/>
      <c r="Y85" s="21"/>
      <c r="Z85" s="21"/>
    </row>
    <row r="86">
      <c r="A86" s="21"/>
      <c r="B86" s="24">
        <v>5.9915058E7</v>
      </c>
      <c r="C86" s="21" t="s">
        <v>891</v>
      </c>
      <c r="D86" s="25">
        <v>79.99</v>
      </c>
      <c r="E86" s="25">
        <v>79.99</v>
      </c>
      <c r="F86" s="21" t="s">
        <v>663</v>
      </c>
      <c r="G86" s="23" t="s">
        <v>1624</v>
      </c>
      <c r="H86" s="23" t="s">
        <v>1625</v>
      </c>
      <c r="I86" s="21"/>
      <c r="J86" s="21"/>
      <c r="K86" s="21"/>
      <c r="L86" s="21"/>
      <c r="M86" s="21"/>
      <c r="N86" s="21"/>
      <c r="O86" s="21"/>
      <c r="P86" s="21"/>
      <c r="Q86" s="21"/>
      <c r="R86" s="21"/>
      <c r="S86" s="21"/>
      <c r="T86" s="21"/>
      <c r="U86" s="21"/>
      <c r="V86" s="21"/>
      <c r="W86" s="21"/>
      <c r="X86" s="21"/>
      <c r="Y86" s="21"/>
      <c r="Z86" s="21"/>
    </row>
    <row r="87">
      <c r="A87" s="21"/>
      <c r="B87" s="24">
        <v>5.9915123E7</v>
      </c>
      <c r="C87" s="21" t="s">
        <v>891</v>
      </c>
      <c r="D87" s="25">
        <v>79.99</v>
      </c>
      <c r="E87" s="25">
        <v>79.99</v>
      </c>
      <c r="F87" s="21" t="s">
        <v>663</v>
      </c>
      <c r="G87" s="23" t="s">
        <v>1624</v>
      </c>
      <c r="H87" s="23" t="s">
        <v>1625</v>
      </c>
      <c r="I87" s="21"/>
      <c r="J87" s="21"/>
      <c r="K87" s="21"/>
      <c r="L87" s="21"/>
      <c r="M87" s="21"/>
      <c r="N87" s="21"/>
      <c r="O87" s="21"/>
      <c r="P87" s="21"/>
      <c r="Q87" s="21"/>
      <c r="R87" s="21"/>
      <c r="S87" s="21"/>
      <c r="T87" s="21"/>
      <c r="U87" s="21"/>
      <c r="V87" s="21"/>
      <c r="W87" s="21"/>
      <c r="X87" s="21"/>
      <c r="Y87" s="21"/>
      <c r="Z87" s="21"/>
    </row>
    <row r="88">
      <c r="A88" s="21"/>
      <c r="B88" s="24">
        <v>5.991327E7</v>
      </c>
      <c r="C88" s="21" t="s">
        <v>880</v>
      </c>
      <c r="D88" s="25">
        <v>249.99</v>
      </c>
      <c r="E88" s="25">
        <v>249.99</v>
      </c>
      <c r="F88" s="21" t="s">
        <v>663</v>
      </c>
      <c r="G88" s="23" t="s">
        <v>1626</v>
      </c>
      <c r="H88" s="23" t="s">
        <v>1627</v>
      </c>
      <c r="I88" s="21"/>
      <c r="J88" s="21"/>
      <c r="K88" s="21"/>
      <c r="L88" s="21"/>
      <c r="M88" s="21"/>
      <c r="N88" s="21"/>
      <c r="O88" s="21"/>
      <c r="P88" s="21"/>
      <c r="Q88" s="21"/>
      <c r="R88" s="21"/>
      <c r="S88" s="21"/>
      <c r="T88" s="21"/>
      <c r="U88" s="21"/>
      <c r="V88" s="21"/>
      <c r="W88" s="21"/>
      <c r="X88" s="21"/>
      <c r="Y88" s="21"/>
      <c r="Z88" s="21"/>
    </row>
    <row r="89">
      <c r="A89" s="21"/>
      <c r="B89" s="24">
        <v>5.9913371E7</v>
      </c>
      <c r="C89" s="21" t="s">
        <v>880</v>
      </c>
      <c r="D89" s="25">
        <v>249.99</v>
      </c>
      <c r="E89" s="25">
        <v>249.99</v>
      </c>
      <c r="F89" s="21" t="s">
        <v>663</v>
      </c>
      <c r="G89" s="23" t="s">
        <v>1626</v>
      </c>
      <c r="H89" s="23" t="s">
        <v>1627</v>
      </c>
      <c r="I89" s="21"/>
      <c r="J89" s="21"/>
      <c r="K89" s="21"/>
      <c r="L89" s="21"/>
      <c r="M89" s="21"/>
      <c r="N89" s="21"/>
      <c r="O89" s="21"/>
      <c r="P89" s="21"/>
      <c r="Q89" s="21"/>
      <c r="R89" s="21"/>
      <c r="S89" s="21"/>
      <c r="T89" s="21"/>
      <c r="U89" s="21"/>
      <c r="V89" s="21"/>
      <c r="W89" s="21"/>
      <c r="X89" s="21"/>
      <c r="Y89" s="21"/>
      <c r="Z89" s="21"/>
    </row>
    <row r="90">
      <c r="A90" s="21"/>
      <c r="B90" s="24">
        <v>5.9913472E7</v>
      </c>
      <c r="C90" s="21" t="s">
        <v>880</v>
      </c>
      <c r="D90" s="25">
        <v>249.99</v>
      </c>
      <c r="E90" s="25">
        <v>249.99</v>
      </c>
      <c r="F90" s="21" t="s">
        <v>663</v>
      </c>
      <c r="G90" s="23" t="s">
        <v>1626</v>
      </c>
      <c r="H90" s="23" t="s">
        <v>1627</v>
      </c>
      <c r="I90" s="21"/>
      <c r="J90" s="21"/>
      <c r="K90" s="21"/>
      <c r="L90" s="21"/>
      <c r="M90" s="21"/>
      <c r="N90" s="21"/>
      <c r="O90" s="21"/>
      <c r="P90" s="21"/>
      <c r="Q90" s="21"/>
      <c r="R90" s="21"/>
      <c r="S90" s="21"/>
      <c r="T90" s="21"/>
      <c r="U90" s="21"/>
      <c r="V90" s="21"/>
      <c r="W90" s="21"/>
      <c r="X90" s="21"/>
      <c r="Y90" s="21"/>
      <c r="Z90" s="21"/>
    </row>
    <row r="91">
      <c r="A91" s="21"/>
      <c r="B91" s="24">
        <v>5.9913268E7</v>
      </c>
      <c r="C91" s="21" t="s">
        <v>879</v>
      </c>
      <c r="D91" s="25">
        <v>249.99</v>
      </c>
      <c r="E91" s="25">
        <v>249.99</v>
      </c>
      <c r="F91" s="21" t="s">
        <v>663</v>
      </c>
      <c r="G91" s="23" t="s">
        <v>1626</v>
      </c>
      <c r="H91" s="23" t="s">
        <v>1627</v>
      </c>
      <c r="I91" s="21"/>
      <c r="J91" s="21"/>
      <c r="K91" s="21"/>
      <c r="L91" s="21"/>
      <c r="M91" s="21"/>
      <c r="N91" s="21"/>
      <c r="O91" s="21"/>
      <c r="P91" s="21"/>
      <c r="Q91" s="21"/>
      <c r="R91" s="21"/>
      <c r="S91" s="21"/>
      <c r="T91" s="21"/>
      <c r="U91" s="21"/>
      <c r="V91" s="21"/>
      <c r="W91" s="21"/>
      <c r="X91" s="21"/>
      <c r="Y91" s="21"/>
      <c r="Z91" s="21"/>
    </row>
    <row r="92">
      <c r="A92" s="21"/>
      <c r="B92" s="24">
        <v>5.9913369E7</v>
      </c>
      <c r="C92" s="21" t="s">
        <v>879</v>
      </c>
      <c r="D92" s="25">
        <v>249.99</v>
      </c>
      <c r="E92" s="25">
        <v>249.99</v>
      </c>
      <c r="F92" s="21" t="s">
        <v>663</v>
      </c>
      <c r="G92" s="23" t="s">
        <v>1626</v>
      </c>
      <c r="H92" s="23" t="s">
        <v>1627</v>
      </c>
      <c r="I92" s="21"/>
      <c r="J92" s="21"/>
      <c r="K92" s="21"/>
      <c r="L92" s="21"/>
      <c r="M92" s="21"/>
      <c r="N92" s="21"/>
      <c r="O92" s="21"/>
      <c r="P92" s="21"/>
      <c r="Q92" s="21"/>
      <c r="R92" s="21"/>
      <c r="S92" s="21"/>
      <c r="T92" s="21"/>
      <c r="U92" s="21"/>
      <c r="V92" s="21"/>
      <c r="W92" s="21"/>
      <c r="X92" s="21"/>
      <c r="Y92" s="21"/>
      <c r="Z92" s="21"/>
    </row>
    <row r="93">
      <c r="A93" s="21"/>
      <c r="B93" s="24">
        <v>5.991346E7</v>
      </c>
      <c r="C93" s="21" t="s">
        <v>879</v>
      </c>
      <c r="D93" s="25">
        <v>249.99</v>
      </c>
      <c r="E93" s="25">
        <v>249.99</v>
      </c>
      <c r="F93" s="21" t="s">
        <v>663</v>
      </c>
      <c r="G93" s="23" t="s">
        <v>1626</v>
      </c>
      <c r="H93" s="23" t="s">
        <v>1627</v>
      </c>
      <c r="I93" s="21"/>
      <c r="J93" s="21"/>
      <c r="K93" s="21"/>
      <c r="L93" s="21"/>
      <c r="M93" s="21"/>
      <c r="N93" s="21"/>
      <c r="O93" s="21"/>
      <c r="P93" s="21"/>
      <c r="Q93" s="21"/>
      <c r="R93" s="21"/>
      <c r="S93" s="21"/>
      <c r="T93" s="21"/>
      <c r="U93" s="21"/>
      <c r="V93" s="21"/>
      <c r="W93" s="21"/>
      <c r="X93" s="21"/>
      <c r="Y93" s="21"/>
      <c r="Z93" s="21"/>
    </row>
    <row r="94">
      <c r="A94" s="21"/>
      <c r="B94" s="24">
        <v>5.9911125E7</v>
      </c>
      <c r="C94" s="21" t="s">
        <v>849</v>
      </c>
      <c r="D94" s="25">
        <v>279.99</v>
      </c>
      <c r="E94" s="25">
        <v>279.99</v>
      </c>
      <c r="F94" s="21" t="s">
        <v>663</v>
      </c>
      <c r="G94" s="23" t="s">
        <v>1622</v>
      </c>
      <c r="H94" s="23" t="s">
        <v>1623</v>
      </c>
      <c r="I94" s="21"/>
      <c r="J94" s="21"/>
      <c r="K94" s="21"/>
      <c r="L94" s="21"/>
      <c r="M94" s="21"/>
      <c r="N94" s="21"/>
      <c r="O94" s="21"/>
      <c r="P94" s="21"/>
      <c r="Q94" s="21"/>
      <c r="R94" s="21"/>
      <c r="S94" s="21"/>
      <c r="T94" s="21"/>
      <c r="U94" s="21"/>
      <c r="V94" s="21"/>
      <c r="W94" s="21"/>
      <c r="X94" s="21"/>
      <c r="Y94" s="21"/>
      <c r="Z94" s="21"/>
    </row>
    <row r="95">
      <c r="A95" s="21"/>
      <c r="B95" s="24">
        <v>5.9912165E7</v>
      </c>
      <c r="C95" s="21" t="s">
        <v>849</v>
      </c>
      <c r="D95" s="25">
        <v>279.99</v>
      </c>
      <c r="E95" s="25">
        <v>279.99</v>
      </c>
      <c r="F95" s="21" t="s">
        <v>663</v>
      </c>
      <c r="G95" s="23" t="s">
        <v>1622</v>
      </c>
      <c r="H95" s="23" t="s">
        <v>1623</v>
      </c>
      <c r="I95" s="21"/>
      <c r="J95" s="21"/>
      <c r="K95" s="21"/>
      <c r="L95" s="21"/>
      <c r="M95" s="21"/>
      <c r="N95" s="21"/>
      <c r="O95" s="21"/>
      <c r="P95" s="21"/>
      <c r="Q95" s="21"/>
      <c r="R95" s="21"/>
      <c r="S95" s="21"/>
      <c r="T95" s="21"/>
      <c r="U95" s="21"/>
      <c r="V95" s="21"/>
      <c r="W95" s="21"/>
      <c r="X95" s="21"/>
      <c r="Y95" s="21"/>
      <c r="Z95" s="21"/>
    </row>
    <row r="96">
      <c r="A96" s="21"/>
      <c r="B96" s="24">
        <v>5.9913129E7</v>
      </c>
      <c r="C96" s="21" t="s">
        <v>867</v>
      </c>
      <c r="D96" s="25">
        <v>279.99</v>
      </c>
      <c r="E96" s="25">
        <v>279.99</v>
      </c>
      <c r="F96" s="21" t="s">
        <v>663</v>
      </c>
      <c r="G96" s="23" t="s">
        <v>1622</v>
      </c>
      <c r="H96" s="23" t="s">
        <v>1623</v>
      </c>
      <c r="I96" s="21"/>
      <c r="J96" s="21"/>
      <c r="K96" s="21"/>
      <c r="L96" s="21"/>
      <c r="M96" s="21"/>
      <c r="N96" s="21"/>
      <c r="O96" s="21"/>
      <c r="P96" s="21"/>
      <c r="Q96" s="21"/>
      <c r="R96" s="21"/>
      <c r="S96" s="21"/>
      <c r="T96" s="21"/>
      <c r="U96" s="21"/>
      <c r="V96" s="21"/>
      <c r="W96" s="21"/>
      <c r="X96" s="21"/>
      <c r="Y96" s="21"/>
      <c r="Z96" s="21"/>
    </row>
    <row r="97">
      <c r="A97" s="21"/>
      <c r="B97" s="24">
        <v>5.9925871E7</v>
      </c>
      <c r="C97" s="21" t="s">
        <v>908</v>
      </c>
      <c r="D97" s="25">
        <v>279.99</v>
      </c>
      <c r="E97" s="25">
        <v>279.99</v>
      </c>
      <c r="F97" s="21" t="s">
        <v>663</v>
      </c>
      <c r="G97" s="23" t="s">
        <v>1622</v>
      </c>
      <c r="H97" s="23" t="s">
        <v>1623</v>
      </c>
      <c r="I97" s="21"/>
      <c r="J97" s="21"/>
      <c r="K97" s="21"/>
      <c r="L97" s="21"/>
      <c r="M97" s="21"/>
      <c r="N97" s="21"/>
      <c r="O97" s="21"/>
      <c r="P97" s="21"/>
      <c r="Q97" s="21"/>
      <c r="R97" s="21"/>
      <c r="S97" s="21"/>
      <c r="T97" s="21"/>
      <c r="U97" s="21"/>
      <c r="V97" s="21"/>
      <c r="W97" s="21"/>
      <c r="X97" s="21"/>
      <c r="Y97" s="21"/>
      <c r="Z97" s="21"/>
    </row>
    <row r="98">
      <c r="A98" s="21"/>
      <c r="B98" s="24">
        <v>5.9913674E7</v>
      </c>
      <c r="C98" s="21" t="s">
        <v>888</v>
      </c>
      <c r="D98" s="25">
        <v>349.99</v>
      </c>
      <c r="E98" s="25">
        <v>349.99</v>
      </c>
      <c r="F98" s="21" t="s">
        <v>663</v>
      </c>
      <c r="G98" s="23" t="s">
        <v>1628</v>
      </c>
      <c r="H98" s="23" t="s">
        <v>1629</v>
      </c>
      <c r="I98" s="21"/>
      <c r="J98" s="21"/>
      <c r="K98" s="21"/>
      <c r="L98" s="21"/>
      <c r="M98" s="21"/>
      <c r="N98" s="21"/>
      <c r="O98" s="21"/>
      <c r="P98" s="21"/>
      <c r="Q98" s="21"/>
      <c r="R98" s="21"/>
      <c r="S98" s="21"/>
      <c r="T98" s="21"/>
      <c r="U98" s="21"/>
      <c r="V98" s="21"/>
      <c r="W98" s="21"/>
      <c r="X98" s="21"/>
      <c r="Y98" s="21"/>
      <c r="Z98" s="21"/>
    </row>
    <row r="99">
      <c r="A99" s="21"/>
      <c r="B99" s="24">
        <v>5.9913751E7</v>
      </c>
      <c r="C99" s="21" t="s">
        <v>888</v>
      </c>
      <c r="D99" s="25">
        <v>349.99</v>
      </c>
      <c r="E99" s="25">
        <v>349.99</v>
      </c>
      <c r="F99" s="21" t="s">
        <v>663</v>
      </c>
      <c r="G99" s="23" t="s">
        <v>1628</v>
      </c>
      <c r="H99" s="23" t="s">
        <v>1629</v>
      </c>
      <c r="I99" s="21"/>
      <c r="J99" s="21"/>
      <c r="K99" s="21"/>
      <c r="L99" s="21"/>
      <c r="M99" s="21"/>
      <c r="N99" s="21"/>
      <c r="O99" s="21"/>
      <c r="P99" s="21"/>
      <c r="Q99" s="21"/>
      <c r="R99" s="21"/>
      <c r="S99" s="21"/>
      <c r="T99" s="21"/>
      <c r="U99" s="21"/>
      <c r="V99" s="21"/>
      <c r="W99" s="21"/>
      <c r="X99" s="21"/>
      <c r="Y99" s="21"/>
      <c r="Z99" s="21"/>
    </row>
    <row r="100">
      <c r="A100" s="21"/>
      <c r="B100" s="24">
        <v>5.9913787E7</v>
      </c>
      <c r="C100" s="21" t="s">
        <v>888</v>
      </c>
      <c r="D100" s="25">
        <v>349.99</v>
      </c>
      <c r="E100" s="25">
        <v>349.99</v>
      </c>
      <c r="F100" s="21" t="s">
        <v>663</v>
      </c>
      <c r="G100" s="23" t="s">
        <v>1628</v>
      </c>
      <c r="H100" s="23" t="s">
        <v>1629</v>
      </c>
      <c r="I100" s="21"/>
      <c r="J100" s="21"/>
      <c r="K100" s="21"/>
      <c r="L100" s="21"/>
      <c r="M100" s="21"/>
      <c r="N100" s="21"/>
      <c r="O100" s="21"/>
      <c r="P100" s="21"/>
      <c r="Q100" s="21"/>
      <c r="R100" s="21"/>
      <c r="S100" s="21"/>
      <c r="T100" s="21"/>
      <c r="U100" s="21"/>
      <c r="V100" s="21"/>
      <c r="W100" s="21"/>
      <c r="X100" s="21"/>
      <c r="Y100" s="21"/>
      <c r="Z100" s="21"/>
    </row>
    <row r="101">
      <c r="A101" s="21"/>
      <c r="B101" s="24">
        <v>5.9913814E7</v>
      </c>
      <c r="C101" s="21" t="s">
        <v>888</v>
      </c>
      <c r="D101" s="25">
        <v>349.99</v>
      </c>
      <c r="E101" s="25">
        <v>349.99</v>
      </c>
      <c r="F101" s="21" t="s">
        <v>663</v>
      </c>
      <c r="G101" s="23" t="s">
        <v>1628</v>
      </c>
      <c r="H101" s="23" t="s">
        <v>1629</v>
      </c>
      <c r="I101" s="21"/>
      <c r="J101" s="21"/>
      <c r="K101" s="21"/>
      <c r="L101" s="21"/>
      <c r="M101" s="21"/>
      <c r="N101" s="21"/>
      <c r="O101" s="21"/>
      <c r="P101" s="21"/>
      <c r="Q101" s="21"/>
      <c r="R101" s="21"/>
      <c r="S101" s="21"/>
      <c r="T101" s="21"/>
      <c r="U101" s="21"/>
      <c r="V101" s="21"/>
      <c r="W101" s="21"/>
      <c r="X101" s="21"/>
      <c r="Y101" s="21"/>
      <c r="Z101" s="21"/>
    </row>
    <row r="102">
      <c r="A102" s="21"/>
      <c r="B102" s="24">
        <v>5.9913206E7</v>
      </c>
      <c r="C102" s="21" t="s">
        <v>872</v>
      </c>
      <c r="D102" s="25">
        <v>149.99</v>
      </c>
      <c r="E102" s="25">
        <v>149.99</v>
      </c>
      <c r="F102" s="21" t="s">
        <v>663</v>
      </c>
      <c r="G102" s="23" t="s">
        <v>1626</v>
      </c>
      <c r="H102" s="23" t="s">
        <v>1627</v>
      </c>
      <c r="I102" s="21"/>
      <c r="J102" s="21"/>
      <c r="K102" s="21"/>
      <c r="L102" s="21"/>
      <c r="M102" s="21"/>
      <c r="N102" s="21"/>
      <c r="O102" s="21"/>
      <c r="P102" s="21"/>
      <c r="Q102" s="21"/>
      <c r="R102" s="21"/>
      <c r="S102" s="21"/>
      <c r="T102" s="21"/>
      <c r="U102" s="21"/>
      <c r="V102" s="21"/>
      <c r="W102" s="21"/>
      <c r="X102" s="21"/>
      <c r="Y102" s="21"/>
      <c r="Z102" s="21"/>
    </row>
    <row r="103">
      <c r="A103" s="21"/>
      <c r="B103" s="24">
        <v>5.9913307E7</v>
      </c>
      <c r="C103" s="21" t="s">
        <v>872</v>
      </c>
      <c r="D103" s="25">
        <v>149.99</v>
      </c>
      <c r="E103" s="25">
        <v>149.99</v>
      </c>
      <c r="F103" s="21" t="s">
        <v>663</v>
      </c>
      <c r="G103" s="23" t="s">
        <v>1626</v>
      </c>
      <c r="H103" s="23" t="s">
        <v>1627</v>
      </c>
      <c r="I103" s="21"/>
      <c r="J103" s="21"/>
      <c r="K103" s="21"/>
      <c r="L103" s="21"/>
      <c r="M103" s="21"/>
      <c r="N103" s="21"/>
      <c r="O103" s="21"/>
      <c r="P103" s="21"/>
      <c r="Q103" s="21"/>
      <c r="R103" s="21"/>
      <c r="S103" s="21"/>
      <c r="T103" s="21"/>
      <c r="U103" s="21"/>
      <c r="V103" s="21"/>
      <c r="W103" s="21"/>
      <c r="X103" s="21"/>
      <c r="Y103" s="21"/>
      <c r="Z103" s="21"/>
    </row>
    <row r="104">
      <c r="A104" s="21"/>
      <c r="B104" s="24">
        <v>5.9913408E7</v>
      </c>
      <c r="C104" s="21" t="s">
        <v>872</v>
      </c>
      <c r="D104" s="25">
        <v>149.99</v>
      </c>
      <c r="E104" s="25">
        <v>149.99</v>
      </c>
      <c r="F104" s="21" t="s">
        <v>663</v>
      </c>
      <c r="G104" s="23" t="s">
        <v>1626</v>
      </c>
      <c r="H104" s="23" t="s">
        <v>1627</v>
      </c>
      <c r="I104" s="21"/>
      <c r="J104" s="21"/>
      <c r="K104" s="21"/>
      <c r="L104" s="21"/>
      <c r="M104" s="21"/>
      <c r="N104" s="21"/>
      <c r="O104" s="21"/>
      <c r="P104" s="21"/>
      <c r="Q104" s="21"/>
      <c r="R104" s="21"/>
      <c r="S104" s="21"/>
      <c r="T104" s="21"/>
      <c r="U104" s="21"/>
      <c r="V104" s="21"/>
      <c r="W104" s="21"/>
      <c r="X104" s="21"/>
      <c r="Y104" s="21"/>
      <c r="Z104" s="21"/>
    </row>
    <row r="105">
      <c r="A105" s="21"/>
      <c r="B105" s="24">
        <v>5.9911101E7</v>
      </c>
      <c r="C105" s="21" t="s">
        <v>843</v>
      </c>
      <c r="D105" s="25">
        <v>199.99</v>
      </c>
      <c r="E105" s="25">
        <v>199.99</v>
      </c>
      <c r="F105" s="21" t="s">
        <v>663</v>
      </c>
      <c r="G105" s="23" t="s">
        <v>1622</v>
      </c>
      <c r="H105" s="23" t="s">
        <v>1623</v>
      </c>
      <c r="I105" s="21"/>
      <c r="J105" s="21"/>
      <c r="K105" s="21"/>
      <c r="L105" s="21"/>
      <c r="M105" s="21"/>
      <c r="N105" s="21"/>
      <c r="O105" s="21"/>
      <c r="P105" s="21"/>
      <c r="Q105" s="21"/>
      <c r="R105" s="21"/>
      <c r="S105" s="21"/>
      <c r="T105" s="21"/>
      <c r="U105" s="21"/>
      <c r="V105" s="21"/>
      <c r="W105" s="21"/>
      <c r="X105" s="21"/>
      <c r="Y105" s="21"/>
      <c r="Z105" s="21"/>
    </row>
    <row r="106">
      <c r="A106" s="21"/>
      <c r="B106" s="24">
        <v>5.9912103E7</v>
      </c>
      <c r="C106" s="21" t="s">
        <v>843</v>
      </c>
      <c r="D106" s="25">
        <v>199.99</v>
      </c>
      <c r="E106" s="25">
        <v>199.99</v>
      </c>
      <c r="F106" s="21" t="s">
        <v>663</v>
      </c>
      <c r="G106" s="23" t="s">
        <v>1622</v>
      </c>
      <c r="H106" s="23" t="s">
        <v>1623</v>
      </c>
      <c r="I106" s="21"/>
      <c r="J106" s="21"/>
      <c r="K106" s="21"/>
      <c r="L106" s="21"/>
      <c r="M106" s="21"/>
      <c r="N106" s="21"/>
      <c r="O106" s="21"/>
      <c r="P106" s="21"/>
      <c r="Q106" s="21"/>
      <c r="R106" s="21"/>
      <c r="S106" s="21"/>
      <c r="T106" s="21"/>
      <c r="U106" s="21"/>
      <c r="V106" s="21"/>
      <c r="W106" s="21"/>
      <c r="X106" s="21"/>
      <c r="Y106" s="21"/>
      <c r="Z106" s="21"/>
    </row>
    <row r="107">
      <c r="A107" s="21"/>
      <c r="B107" s="24">
        <v>5.9913105E7</v>
      </c>
      <c r="C107" s="21" t="s">
        <v>863</v>
      </c>
      <c r="D107" s="25">
        <v>199.99</v>
      </c>
      <c r="E107" s="25">
        <v>199.99</v>
      </c>
      <c r="F107" s="21" t="s">
        <v>663</v>
      </c>
      <c r="G107" s="23" t="s">
        <v>1622</v>
      </c>
      <c r="H107" s="23" t="s">
        <v>1623</v>
      </c>
      <c r="I107" s="21"/>
      <c r="J107" s="21"/>
      <c r="K107" s="21"/>
      <c r="L107" s="21"/>
      <c r="M107" s="21"/>
      <c r="N107" s="21"/>
      <c r="O107" s="21"/>
      <c r="P107" s="21"/>
      <c r="Q107" s="21"/>
      <c r="R107" s="21"/>
      <c r="S107" s="21"/>
      <c r="T107" s="21"/>
      <c r="U107" s="21"/>
      <c r="V107" s="21"/>
      <c r="W107" s="21"/>
      <c r="X107" s="21"/>
      <c r="Y107" s="21"/>
      <c r="Z107" s="21"/>
    </row>
    <row r="108">
      <c r="A108" s="21"/>
      <c r="B108" s="24">
        <v>5.991308E7</v>
      </c>
      <c r="C108" s="21" t="s">
        <v>859</v>
      </c>
      <c r="D108" s="25">
        <v>59.99</v>
      </c>
      <c r="E108" s="25">
        <v>59.99</v>
      </c>
      <c r="F108" s="21" t="s">
        <v>663</v>
      </c>
      <c r="G108" s="23" t="s">
        <v>1624</v>
      </c>
      <c r="H108" s="23" t="s">
        <v>1625</v>
      </c>
      <c r="I108" s="21"/>
      <c r="J108" s="21"/>
      <c r="K108" s="21"/>
      <c r="L108" s="21"/>
      <c r="M108" s="21"/>
      <c r="N108" s="21"/>
      <c r="O108" s="21"/>
      <c r="P108" s="21"/>
      <c r="Q108" s="21"/>
      <c r="R108" s="21"/>
      <c r="S108" s="21"/>
      <c r="T108" s="21"/>
      <c r="U108" s="21"/>
      <c r="V108" s="21"/>
      <c r="W108" s="21"/>
      <c r="X108" s="21"/>
      <c r="Y108" s="21"/>
      <c r="Z108" s="21"/>
    </row>
    <row r="109">
      <c r="A109" s="21"/>
      <c r="B109" s="24">
        <v>5.9915022E7</v>
      </c>
      <c r="C109" s="21" t="s">
        <v>859</v>
      </c>
      <c r="D109" s="25">
        <v>59.99</v>
      </c>
      <c r="E109" s="25">
        <v>59.99</v>
      </c>
      <c r="F109" s="21" t="s">
        <v>663</v>
      </c>
      <c r="G109" s="23" t="s">
        <v>1624</v>
      </c>
      <c r="H109" s="23" t="s">
        <v>1625</v>
      </c>
      <c r="I109" s="21"/>
      <c r="J109" s="21"/>
      <c r="K109" s="21"/>
      <c r="L109" s="21"/>
      <c r="M109" s="21"/>
      <c r="N109" s="21"/>
      <c r="O109" s="21"/>
      <c r="P109" s="21"/>
      <c r="Q109" s="21"/>
      <c r="R109" s="21"/>
      <c r="S109" s="21"/>
      <c r="T109" s="21"/>
      <c r="U109" s="21"/>
      <c r="V109" s="21"/>
      <c r="W109" s="21"/>
      <c r="X109" s="21"/>
      <c r="Y109" s="21"/>
      <c r="Z109" s="21"/>
    </row>
    <row r="110">
      <c r="A110" s="21"/>
      <c r="B110" s="24">
        <v>5.9915096E7</v>
      </c>
      <c r="C110" s="21" t="s">
        <v>859</v>
      </c>
      <c r="D110" s="25">
        <v>59.99</v>
      </c>
      <c r="E110" s="25">
        <v>59.99</v>
      </c>
      <c r="F110" s="21" t="s">
        <v>663</v>
      </c>
      <c r="G110" s="23" t="s">
        <v>1624</v>
      </c>
      <c r="H110" s="23" t="s">
        <v>1625</v>
      </c>
      <c r="I110" s="21"/>
      <c r="J110" s="21"/>
      <c r="K110" s="21"/>
      <c r="L110" s="21"/>
      <c r="M110" s="21"/>
      <c r="N110" s="21"/>
      <c r="O110" s="21"/>
      <c r="P110" s="21"/>
      <c r="Q110" s="21"/>
      <c r="R110" s="21"/>
      <c r="S110" s="21"/>
      <c r="T110" s="21"/>
      <c r="U110" s="21"/>
      <c r="V110" s="21"/>
      <c r="W110" s="21"/>
      <c r="X110" s="21"/>
      <c r="Y110" s="21"/>
      <c r="Z110" s="21"/>
    </row>
    <row r="111">
      <c r="A111" s="21"/>
      <c r="B111" s="24">
        <v>5.992577E7</v>
      </c>
      <c r="C111" s="21" t="s">
        <v>905</v>
      </c>
      <c r="D111" s="25">
        <v>199.99</v>
      </c>
      <c r="E111" s="25">
        <v>199.99</v>
      </c>
      <c r="F111" s="21" t="s">
        <v>663</v>
      </c>
      <c r="G111" s="23" t="s">
        <v>1622</v>
      </c>
      <c r="H111" s="23" t="s">
        <v>1623</v>
      </c>
      <c r="I111" s="21"/>
      <c r="J111" s="21"/>
      <c r="K111" s="21"/>
      <c r="L111" s="21"/>
      <c r="M111" s="21"/>
      <c r="N111" s="21"/>
      <c r="O111" s="21"/>
      <c r="P111" s="21"/>
      <c r="Q111" s="21"/>
      <c r="R111" s="21"/>
      <c r="S111" s="21"/>
      <c r="T111" s="21"/>
      <c r="U111" s="21"/>
      <c r="V111" s="21"/>
      <c r="W111" s="21"/>
      <c r="X111" s="21"/>
      <c r="Y111" s="21"/>
      <c r="Z111" s="21"/>
    </row>
    <row r="112">
      <c r="A112" s="21"/>
      <c r="B112" s="24">
        <v>5.9913092E7</v>
      </c>
      <c r="C112" s="21" t="s">
        <v>861</v>
      </c>
      <c r="D112" s="25">
        <v>64.99</v>
      </c>
      <c r="E112" s="25">
        <v>64.99</v>
      </c>
      <c r="F112" s="21" t="s">
        <v>663</v>
      </c>
      <c r="G112" s="23" t="s">
        <v>1624</v>
      </c>
      <c r="H112" s="23" t="s">
        <v>1625</v>
      </c>
      <c r="I112" s="21"/>
      <c r="J112" s="21"/>
      <c r="K112" s="21"/>
      <c r="L112" s="21"/>
      <c r="M112" s="21"/>
      <c r="N112" s="21"/>
      <c r="O112" s="21"/>
      <c r="P112" s="21"/>
      <c r="Q112" s="21"/>
      <c r="R112" s="21"/>
      <c r="S112" s="21"/>
      <c r="T112" s="21"/>
      <c r="U112" s="21"/>
      <c r="V112" s="21"/>
      <c r="W112" s="21"/>
      <c r="X112" s="21"/>
      <c r="Y112" s="21"/>
      <c r="Z112" s="21"/>
    </row>
    <row r="113">
      <c r="A113" s="21"/>
      <c r="B113" s="24">
        <v>5.9915034E7</v>
      </c>
      <c r="C113" s="21" t="s">
        <v>861</v>
      </c>
      <c r="D113" s="25">
        <v>64.99</v>
      </c>
      <c r="E113" s="25">
        <v>64.99</v>
      </c>
      <c r="F113" s="21" t="s">
        <v>663</v>
      </c>
      <c r="G113" s="23" t="s">
        <v>1624</v>
      </c>
      <c r="H113" s="23" t="s">
        <v>1625</v>
      </c>
      <c r="I113" s="21"/>
      <c r="J113" s="21"/>
      <c r="K113" s="21"/>
      <c r="L113" s="21"/>
      <c r="M113" s="21"/>
      <c r="N113" s="21"/>
      <c r="O113" s="21"/>
      <c r="P113" s="21"/>
      <c r="Q113" s="21"/>
      <c r="R113" s="21"/>
      <c r="S113" s="21"/>
      <c r="T113" s="21"/>
      <c r="U113" s="21"/>
      <c r="V113" s="21"/>
      <c r="W113" s="21"/>
      <c r="X113" s="21"/>
      <c r="Y113" s="21"/>
      <c r="Z113" s="21"/>
    </row>
    <row r="114">
      <c r="A114" s="21"/>
      <c r="B114" s="24">
        <v>5.9915109E7</v>
      </c>
      <c r="C114" s="21" t="s">
        <v>861</v>
      </c>
      <c r="D114" s="25">
        <v>64.99</v>
      </c>
      <c r="E114" s="25">
        <v>64.99</v>
      </c>
      <c r="F114" s="21" t="s">
        <v>663</v>
      </c>
      <c r="G114" s="23" t="s">
        <v>1624</v>
      </c>
      <c r="H114" s="23" t="s">
        <v>1625</v>
      </c>
      <c r="I114" s="21"/>
      <c r="J114" s="21"/>
      <c r="K114" s="21"/>
      <c r="L114" s="21"/>
      <c r="M114" s="21"/>
      <c r="N114" s="21"/>
      <c r="O114" s="21"/>
      <c r="P114" s="21"/>
      <c r="Q114" s="21"/>
      <c r="R114" s="21"/>
      <c r="S114" s="21"/>
      <c r="T114" s="21"/>
      <c r="U114" s="21"/>
      <c r="V114" s="21"/>
      <c r="W114" s="21"/>
      <c r="X114" s="21"/>
      <c r="Y114" s="21"/>
      <c r="Z114" s="21"/>
    </row>
    <row r="115">
      <c r="A115" s="21"/>
      <c r="B115" s="24">
        <v>5.9913218E7</v>
      </c>
      <c r="C115" s="21" t="s">
        <v>874</v>
      </c>
      <c r="D115" s="25">
        <v>159.99</v>
      </c>
      <c r="E115" s="25">
        <v>159.99</v>
      </c>
      <c r="F115" s="21" t="s">
        <v>663</v>
      </c>
      <c r="G115" s="23" t="s">
        <v>1626</v>
      </c>
      <c r="H115" s="23" t="s">
        <v>1627</v>
      </c>
      <c r="I115" s="21"/>
      <c r="J115" s="21"/>
      <c r="K115" s="21"/>
      <c r="L115" s="21"/>
      <c r="M115" s="21"/>
      <c r="N115" s="21"/>
      <c r="O115" s="21"/>
      <c r="P115" s="21"/>
      <c r="Q115" s="21"/>
      <c r="R115" s="21"/>
      <c r="S115" s="21"/>
      <c r="T115" s="21"/>
      <c r="U115" s="21"/>
      <c r="V115" s="21"/>
      <c r="W115" s="21"/>
      <c r="X115" s="21"/>
      <c r="Y115" s="21"/>
      <c r="Z115" s="21"/>
    </row>
    <row r="116">
      <c r="A116" s="21"/>
      <c r="B116" s="24">
        <v>5.9913319E7</v>
      </c>
      <c r="C116" s="21" t="s">
        <v>874</v>
      </c>
      <c r="D116" s="25">
        <v>159.99</v>
      </c>
      <c r="E116" s="25">
        <v>159.99</v>
      </c>
      <c r="F116" s="21" t="s">
        <v>663</v>
      </c>
      <c r="G116" s="23" t="s">
        <v>1626</v>
      </c>
      <c r="H116" s="23" t="s">
        <v>1627</v>
      </c>
      <c r="I116" s="21"/>
      <c r="J116" s="21"/>
      <c r="K116" s="21"/>
      <c r="L116" s="21"/>
      <c r="M116" s="21"/>
      <c r="N116" s="21"/>
      <c r="O116" s="21"/>
      <c r="P116" s="21"/>
      <c r="Q116" s="21"/>
      <c r="R116" s="21"/>
      <c r="S116" s="21"/>
      <c r="T116" s="21"/>
      <c r="U116" s="21"/>
      <c r="V116" s="21"/>
      <c r="W116" s="21"/>
      <c r="X116" s="21"/>
      <c r="Y116" s="21"/>
      <c r="Z116" s="21"/>
    </row>
    <row r="117">
      <c r="A117" s="21"/>
      <c r="B117" s="24">
        <v>5.991341E7</v>
      </c>
      <c r="C117" s="21" t="s">
        <v>874</v>
      </c>
      <c r="D117" s="25">
        <v>159.99</v>
      </c>
      <c r="E117" s="25">
        <v>159.99</v>
      </c>
      <c r="F117" s="21" t="s">
        <v>663</v>
      </c>
      <c r="G117" s="23" t="s">
        <v>1626</v>
      </c>
      <c r="H117" s="23" t="s">
        <v>1627</v>
      </c>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t="s">
        <v>1653</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4">
        <v>5.9905754E7</v>
      </c>
      <c r="C120" s="21" t="s">
        <v>807</v>
      </c>
      <c r="D120" s="25">
        <v>199.99</v>
      </c>
      <c r="E120" s="25">
        <v>199.99</v>
      </c>
      <c r="F120" s="21" t="s">
        <v>663</v>
      </c>
      <c r="G120" s="23" t="s">
        <v>1616</v>
      </c>
      <c r="H120" s="23" t="s">
        <v>1617</v>
      </c>
      <c r="I120" s="21"/>
      <c r="J120" s="21"/>
      <c r="K120" s="21"/>
      <c r="L120" s="21"/>
      <c r="M120" s="21"/>
      <c r="N120" s="21"/>
      <c r="O120" s="21"/>
      <c r="P120" s="21"/>
      <c r="Q120" s="21"/>
      <c r="R120" s="21"/>
      <c r="S120" s="21"/>
      <c r="T120" s="21"/>
      <c r="U120" s="21"/>
      <c r="V120" s="21"/>
      <c r="W120" s="21"/>
      <c r="X120" s="21"/>
      <c r="Y120" s="21"/>
      <c r="Z120" s="21"/>
    </row>
    <row r="121">
      <c r="A121" s="21"/>
      <c r="B121" s="24">
        <v>5.9905716E7</v>
      </c>
      <c r="C121" s="21" t="s">
        <v>801</v>
      </c>
      <c r="D121" s="25">
        <v>149.99</v>
      </c>
      <c r="E121" s="25">
        <v>149.99</v>
      </c>
      <c r="F121" s="21" t="s">
        <v>663</v>
      </c>
      <c r="G121" s="23" t="s">
        <v>1616</v>
      </c>
      <c r="H121" s="23" t="s">
        <v>1617</v>
      </c>
      <c r="I121" s="21"/>
      <c r="J121" s="21"/>
      <c r="K121" s="21"/>
      <c r="L121" s="21"/>
      <c r="M121" s="21"/>
      <c r="N121" s="21"/>
      <c r="O121" s="21"/>
      <c r="P121" s="21"/>
      <c r="Q121" s="21"/>
      <c r="R121" s="21"/>
      <c r="S121" s="21"/>
      <c r="T121" s="21"/>
      <c r="U121" s="21"/>
      <c r="V121" s="21"/>
      <c r="W121" s="21"/>
      <c r="X121" s="21"/>
      <c r="Y121" s="21"/>
      <c r="Z121" s="21"/>
    </row>
    <row r="122">
      <c r="A122" s="21"/>
      <c r="B122" s="24">
        <v>5.9905766E7</v>
      </c>
      <c r="C122" s="21" t="s">
        <v>808</v>
      </c>
      <c r="D122" s="25">
        <v>199.99</v>
      </c>
      <c r="E122" s="25">
        <v>199.99</v>
      </c>
      <c r="F122" s="21" t="s">
        <v>663</v>
      </c>
      <c r="G122" s="23" t="s">
        <v>1616</v>
      </c>
      <c r="H122" s="23" t="s">
        <v>1617</v>
      </c>
      <c r="I122" s="21"/>
      <c r="J122" s="21"/>
      <c r="K122" s="21"/>
      <c r="L122" s="21"/>
      <c r="M122" s="21"/>
      <c r="N122" s="21"/>
      <c r="O122" s="21"/>
      <c r="P122" s="21"/>
      <c r="Q122" s="21"/>
      <c r="R122" s="21"/>
      <c r="S122" s="21"/>
      <c r="T122" s="21"/>
      <c r="U122" s="21"/>
      <c r="V122" s="21"/>
      <c r="W122" s="21"/>
      <c r="X122" s="21"/>
      <c r="Y122" s="21"/>
      <c r="Z122" s="21"/>
    </row>
    <row r="123">
      <c r="A123" s="21"/>
      <c r="B123" s="24">
        <v>5.9905728E7</v>
      </c>
      <c r="C123" s="21" t="s">
        <v>802</v>
      </c>
      <c r="D123" s="25">
        <v>149.99</v>
      </c>
      <c r="E123" s="25">
        <v>149.99</v>
      </c>
      <c r="F123" s="21" t="s">
        <v>663</v>
      </c>
      <c r="G123" s="23" t="s">
        <v>1616</v>
      </c>
      <c r="H123" s="23" t="s">
        <v>1617</v>
      </c>
      <c r="I123" s="21"/>
      <c r="J123" s="21"/>
      <c r="K123" s="21"/>
      <c r="L123" s="21"/>
      <c r="M123" s="21"/>
      <c r="N123" s="21"/>
      <c r="O123" s="21"/>
      <c r="P123" s="21"/>
      <c r="Q123" s="21"/>
      <c r="R123" s="21"/>
      <c r="S123" s="21"/>
      <c r="T123" s="21"/>
      <c r="U123" s="21"/>
      <c r="V123" s="21"/>
      <c r="W123" s="21"/>
      <c r="X123" s="21"/>
      <c r="Y123" s="21"/>
      <c r="Z123" s="21"/>
    </row>
    <row r="124">
      <c r="A124" s="21"/>
      <c r="B124" s="24">
        <v>5.9905778E7</v>
      </c>
      <c r="C124" s="21" t="s">
        <v>809</v>
      </c>
      <c r="D124" s="25">
        <v>199.99</v>
      </c>
      <c r="E124" s="25">
        <v>199.99</v>
      </c>
      <c r="F124" s="21" t="s">
        <v>663</v>
      </c>
      <c r="G124" s="23" t="s">
        <v>1616</v>
      </c>
      <c r="H124" s="23" t="s">
        <v>1617</v>
      </c>
      <c r="I124" s="21"/>
      <c r="J124" s="21"/>
      <c r="K124" s="21"/>
      <c r="L124" s="21"/>
      <c r="M124" s="21"/>
      <c r="N124" s="21"/>
      <c r="O124" s="21"/>
      <c r="P124" s="21"/>
      <c r="Q124" s="21"/>
      <c r="R124" s="21"/>
      <c r="S124" s="21"/>
      <c r="T124" s="21"/>
      <c r="U124" s="21"/>
      <c r="V124" s="21"/>
      <c r="W124" s="21"/>
      <c r="X124" s="21"/>
      <c r="Y124" s="21"/>
      <c r="Z124" s="21"/>
    </row>
    <row r="125">
      <c r="A125" s="21"/>
      <c r="B125" s="24">
        <v>5.990573E7</v>
      </c>
      <c r="C125" s="21" t="s">
        <v>803</v>
      </c>
      <c r="D125" s="25">
        <v>149.99</v>
      </c>
      <c r="E125" s="25">
        <v>149.99</v>
      </c>
      <c r="F125" s="21" t="s">
        <v>663</v>
      </c>
      <c r="G125" s="23" t="s">
        <v>1616</v>
      </c>
      <c r="H125" s="23" t="s">
        <v>1617</v>
      </c>
      <c r="I125" s="21"/>
      <c r="J125" s="21"/>
      <c r="K125" s="21"/>
      <c r="L125" s="21"/>
      <c r="M125" s="21"/>
      <c r="N125" s="21"/>
      <c r="O125" s="21"/>
      <c r="P125" s="21"/>
      <c r="Q125" s="21"/>
      <c r="R125" s="21"/>
      <c r="S125" s="21"/>
      <c r="T125" s="21"/>
      <c r="U125" s="21"/>
      <c r="V125" s="21"/>
      <c r="W125" s="21"/>
      <c r="X125" s="21"/>
      <c r="Y125" s="21"/>
      <c r="Z125" s="21"/>
    </row>
    <row r="126">
      <c r="A126" s="21"/>
      <c r="B126" s="24">
        <v>5.990578E7</v>
      </c>
      <c r="C126" s="21" t="s">
        <v>810</v>
      </c>
      <c r="D126" s="25">
        <v>199.99</v>
      </c>
      <c r="E126" s="25">
        <v>199.99</v>
      </c>
      <c r="F126" s="21" t="s">
        <v>663</v>
      </c>
      <c r="G126" s="23" t="s">
        <v>1616</v>
      </c>
      <c r="H126" s="23" t="s">
        <v>1617</v>
      </c>
      <c r="I126" s="21"/>
      <c r="J126" s="21"/>
      <c r="K126" s="21"/>
      <c r="L126" s="21"/>
      <c r="M126" s="21"/>
      <c r="N126" s="21"/>
      <c r="O126" s="21"/>
      <c r="P126" s="21"/>
      <c r="Q126" s="21"/>
      <c r="R126" s="21"/>
      <c r="S126" s="21"/>
      <c r="T126" s="21"/>
      <c r="U126" s="21"/>
      <c r="V126" s="21"/>
      <c r="W126" s="21"/>
      <c r="X126" s="21"/>
      <c r="Y126" s="21"/>
      <c r="Z126" s="21"/>
    </row>
    <row r="127">
      <c r="A127" s="21"/>
      <c r="B127" s="24">
        <v>5.9905742E7</v>
      </c>
      <c r="C127" s="21" t="s">
        <v>806</v>
      </c>
      <c r="D127" s="25">
        <v>149.99</v>
      </c>
      <c r="E127" s="25">
        <v>149.99</v>
      </c>
      <c r="F127" s="21" t="s">
        <v>663</v>
      </c>
      <c r="G127" s="23" t="s">
        <v>1616</v>
      </c>
      <c r="H127" s="23" t="s">
        <v>1617</v>
      </c>
      <c r="I127" s="21"/>
      <c r="J127" s="21"/>
      <c r="K127" s="21"/>
      <c r="L127" s="21"/>
      <c r="M127" s="21"/>
      <c r="N127" s="21"/>
      <c r="O127" s="21"/>
      <c r="P127" s="21"/>
      <c r="Q127" s="21"/>
      <c r="R127" s="21"/>
      <c r="S127" s="21"/>
      <c r="T127" s="21"/>
      <c r="U127" s="21"/>
      <c r="V127" s="21"/>
      <c r="W127" s="21"/>
      <c r="X127" s="21"/>
      <c r="Y127" s="21"/>
      <c r="Z127" s="21"/>
    </row>
    <row r="128">
      <c r="A128" s="21"/>
      <c r="B128" s="24">
        <v>5.9940075E7</v>
      </c>
      <c r="C128" s="21" t="s">
        <v>914</v>
      </c>
      <c r="D128" s="25">
        <v>167.0</v>
      </c>
      <c r="E128" s="25">
        <v>209.0</v>
      </c>
      <c r="F128" s="21" t="s">
        <v>30</v>
      </c>
      <c r="G128" s="23" t="s">
        <v>1630</v>
      </c>
      <c r="H128" s="23" t="s">
        <v>1631</v>
      </c>
      <c r="I128" s="21"/>
      <c r="J128" s="21"/>
      <c r="K128" s="21"/>
      <c r="L128" s="21"/>
      <c r="M128" s="21"/>
      <c r="N128" s="21"/>
      <c r="O128" s="21"/>
      <c r="P128" s="21"/>
      <c r="Q128" s="21"/>
      <c r="R128" s="21"/>
      <c r="S128" s="21"/>
      <c r="T128" s="21"/>
      <c r="U128" s="21"/>
      <c r="V128" s="21"/>
      <c r="W128" s="21"/>
      <c r="X128" s="21"/>
      <c r="Y128" s="21"/>
      <c r="Z128" s="21"/>
    </row>
    <row r="129">
      <c r="A129" s="21"/>
      <c r="B129" s="24">
        <v>5.9940063E7</v>
      </c>
      <c r="C129" s="21" t="s">
        <v>912</v>
      </c>
      <c r="D129" s="25">
        <v>143.0</v>
      </c>
      <c r="E129" s="25">
        <v>179.0</v>
      </c>
      <c r="F129" s="21" t="s">
        <v>30</v>
      </c>
      <c r="G129" s="23" t="s">
        <v>1630</v>
      </c>
      <c r="H129" s="23" t="s">
        <v>1631</v>
      </c>
      <c r="I129" s="21"/>
      <c r="J129" s="21"/>
      <c r="K129" s="21"/>
      <c r="L129" s="21"/>
      <c r="M129" s="21"/>
      <c r="N129" s="21"/>
      <c r="O129" s="21"/>
      <c r="P129" s="21"/>
      <c r="Q129" s="21"/>
      <c r="R129" s="21"/>
      <c r="S129" s="21"/>
      <c r="T129" s="21"/>
      <c r="U129" s="21"/>
      <c r="V129" s="21"/>
      <c r="W129" s="21"/>
      <c r="X129" s="21"/>
      <c r="Y129" s="21"/>
      <c r="Z129" s="21"/>
    </row>
    <row r="130">
      <c r="A130" s="21"/>
      <c r="B130" s="24">
        <v>5.9900172E7</v>
      </c>
      <c r="C130" s="21" t="s">
        <v>799</v>
      </c>
      <c r="D130" s="25">
        <v>249.99</v>
      </c>
      <c r="E130" s="25">
        <v>249.99</v>
      </c>
      <c r="F130" s="21" t="s">
        <v>205</v>
      </c>
      <c r="G130" s="23" t="s">
        <v>1614</v>
      </c>
      <c r="H130" s="23" t="s">
        <v>1615</v>
      </c>
      <c r="I130" s="21"/>
      <c r="J130" s="21"/>
      <c r="K130" s="21"/>
      <c r="L130" s="21"/>
      <c r="M130" s="21"/>
      <c r="N130" s="21"/>
      <c r="O130" s="21"/>
      <c r="P130" s="21"/>
      <c r="Q130" s="21"/>
      <c r="R130" s="21"/>
      <c r="S130" s="21"/>
      <c r="T130" s="21"/>
      <c r="U130" s="21"/>
      <c r="V130" s="21"/>
      <c r="W130" s="21"/>
      <c r="X130" s="21"/>
      <c r="Y130" s="21"/>
      <c r="Z130" s="21"/>
    </row>
    <row r="131">
      <c r="A131" s="21"/>
      <c r="B131" s="24">
        <v>5.990714E7</v>
      </c>
      <c r="C131" s="21" t="s">
        <v>1654</v>
      </c>
      <c r="D131" s="25">
        <v>349.99</v>
      </c>
      <c r="E131" s="25">
        <v>349.99</v>
      </c>
      <c r="F131" s="21" t="s">
        <v>663</v>
      </c>
      <c r="G131" s="23" t="s">
        <v>1620</v>
      </c>
      <c r="H131" s="23" t="s">
        <v>1621</v>
      </c>
      <c r="I131" s="21"/>
      <c r="J131" s="21"/>
      <c r="K131" s="21"/>
      <c r="L131" s="21"/>
      <c r="M131" s="21"/>
      <c r="N131" s="21"/>
      <c r="O131" s="21"/>
      <c r="P131" s="21"/>
      <c r="Q131" s="21"/>
      <c r="R131" s="21"/>
      <c r="S131" s="21"/>
      <c r="T131" s="21"/>
      <c r="U131" s="21"/>
      <c r="V131" s="21"/>
      <c r="W131" s="21"/>
      <c r="X131" s="21"/>
      <c r="Y131" s="21"/>
      <c r="Z131" s="21"/>
    </row>
    <row r="132">
      <c r="A132" s="21"/>
      <c r="B132" s="24">
        <v>5.9907102E7</v>
      </c>
      <c r="C132" s="21" t="s">
        <v>827</v>
      </c>
      <c r="D132" s="25">
        <v>299.99</v>
      </c>
      <c r="E132" s="25">
        <v>299.99</v>
      </c>
      <c r="F132" s="21" t="s">
        <v>663</v>
      </c>
      <c r="G132" s="23" t="s">
        <v>1620</v>
      </c>
      <c r="H132" s="23" t="s">
        <v>1621</v>
      </c>
      <c r="I132" s="21"/>
      <c r="J132" s="21"/>
      <c r="K132" s="21"/>
      <c r="L132" s="21"/>
      <c r="M132" s="21"/>
      <c r="N132" s="21"/>
      <c r="O132" s="21"/>
      <c r="P132" s="21"/>
      <c r="Q132" s="21"/>
      <c r="R132" s="21"/>
      <c r="S132" s="21"/>
      <c r="T132" s="21"/>
      <c r="U132" s="21"/>
      <c r="V132" s="21"/>
      <c r="W132" s="21"/>
      <c r="X132" s="21"/>
      <c r="Y132" s="21"/>
      <c r="Z132" s="21"/>
    </row>
    <row r="133">
      <c r="A133" s="21"/>
      <c r="B133" s="24">
        <v>5.9907152E7</v>
      </c>
      <c r="C133" s="21" t="s">
        <v>832</v>
      </c>
      <c r="D133" s="25">
        <v>349.99</v>
      </c>
      <c r="E133" s="25">
        <v>349.99</v>
      </c>
      <c r="F133" s="21" t="s">
        <v>663</v>
      </c>
      <c r="G133" s="23" t="s">
        <v>1620</v>
      </c>
      <c r="H133" s="23" t="s">
        <v>1621</v>
      </c>
      <c r="I133" s="21"/>
      <c r="J133" s="21"/>
      <c r="K133" s="21"/>
      <c r="L133" s="21"/>
      <c r="M133" s="21"/>
      <c r="N133" s="21"/>
      <c r="O133" s="21"/>
      <c r="P133" s="21"/>
      <c r="Q133" s="21"/>
      <c r="R133" s="21"/>
      <c r="S133" s="21"/>
      <c r="T133" s="21"/>
      <c r="U133" s="21"/>
      <c r="V133" s="21"/>
      <c r="W133" s="21"/>
      <c r="X133" s="21"/>
      <c r="Y133" s="21"/>
      <c r="Z133" s="21"/>
    </row>
    <row r="134">
      <c r="A134" s="21"/>
      <c r="B134" s="24">
        <v>5.9907114E7</v>
      </c>
      <c r="C134" s="21" t="s">
        <v>828</v>
      </c>
      <c r="D134" s="25">
        <v>299.99</v>
      </c>
      <c r="E134" s="25">
        <v>299.99</v>
      </c>
      <c r="F134" s="21" t="s">
        <v>663</v>
      </c>
      <c r="G134" s="23" t="s">
        <v>1620</v>
      </c>
      <c r="H134" s="23" t="s">
        <v>1621</v>
      </c>
      <c r="I134" s="21"/>
      <c r="J134" s="21"/>
      <c r="K134" s="21"/>
      <c r="L134" s="21"/>
      <c r="M134" s="21"/>
      <c r="N134" s="21"/>
      <c r="O134" s="21"/>
      <c r="P134" s="21"/>
      <c r="Q134" s="21"/>
      <c r="R134" s="21"/>
      <c r="S134" s="21"/>
      <c r="T134" s="21"/>
      <c r="U134" s="21"/>
      <c r="V134" s="21"/>
      <c r="W134" s="21"/>
      <c r="X134" s="21"/>
      <c r="Y134" s="21"/>
      <c r="Z134" s="21"/>
    </row>
    <row r="135">
      <c r="A135" s="21"/>
      <c r="B135" s="24">
        <v>5.9907164E7</v>
      </c>
      <c r="C135" s="21" t="s">
        <v>833</v>
      </c>
      <c r="D135" s="25">
        <v>349.99</v>
      </c>
      <c r="E135" s="25">
        <v>349.99</v>
      </c>
      <c r="F135" s="21" t="s">
        <v>663</v>
      </c>
      <c r="G135" s="23" t="s">
        <v>1620</v>
      </c>
      <c r="H135" s="23" t="s">
        <v>1621</v>
      </c>
      <c r="I135" s="21"/>
      <c r="J135" s="21"/>
      <c r="K135" s="21"/>
      <c r="L135" s="21"/>
      <c r="M135" s="21"/>
      <c r="N135" s="21"/>
      <c r="O135" s="21"/>
      <c r="P135" s="21"/>
      <c r="Q135" s="21"/>
      <c r="R135" s="21"/>
      <c r="S135" s="21"/>
      <c r="T135" s="21"/>
      <c r="U135" s="21"/>
      <c r="V135" s="21"/>
      <c r="W135" s="21"/>
      <c r="X135" s="21"/>
      <c r="Y135" s="21"/>
      <c r="Z135" s="21"/>
    </row>
    <row r="136">
      <c r="A136" s="21"/>
      <c r="B136" s="24">
        <v>5.9907126E7</v>
      </c>
      <c r="C136" s="21" t="s">
        <v>829</v>
      </c>
      <c r="D136" s="25">
        <v>299.99</v>
      </c>
      <c r="E136" s="25">
        <v>299.99</v>
      </c>
      <c r="F136" s="21" t="s">
        <v>663</v>
      </c>
      <c r="G136" s="23" t="s">
        <v>1620</v>
      </c>
      <c r="H136" s="23" t="s">
        <v>1621</v>
      </c>
      <c r="I136" s="21"/>
      <c r="J136" s="21"/>
      <c r="K136" s="21"/>
      <c r="L136" s="21"/>
      <c r="M136" s="21"/>
      <c r="N136" s="21"/>
      <c r="O136" s="21"/>
      <c r="P136" s="21"/>
      <c r="Q136" s="21"/>
      <c r="R136" s="21"/>
      <c r="S136" s="21"/>
      <c r="T136" s="21"/>
      <c r="U136" s="21"/>
      <c r="V136" s="21"/>
      <c r="W136" s="21"/>
      <c r="X136" s="21"/>
      <c r="Y136" s="21"/>
      <c r="Z136" s="21"/>
    </row>
    <row r="137">
      <c r="A137" s="21"/>
      <c r="B137" s="24">
        <v>5.9907176E7</v>
      </c>
      <c r="C137" s="21" t="s">
        <v>834</v>
      </c>
      <c r="D137" s="25">
        <v>349.99</v>
      </c>
      <c r="E137" s="25">
        <v>349.99</v>
      </c>
      <c r="F137" s="21" t="s">
        <v>663</v>
      </c>
      <c r="G137" s="23" t="s">
        <v>1620</v>
      </c>
      <c r="H137" s="23" t="s">
        <v>1621</v>
      </c>
      <c r="I137" s="21"/>
      <c r="J137" s="21"/>
      <c r="K137" s="21"/>
      <c r="L137" s="21"/>
      <c r="M137" s="21"/>
      <c r="N137" s="21"/>
      <c r="O137" s="21"/>
      <c r="P137" s="21"/>
      <c r="Q137" s="21"/>
      <c r="R137" s="21"/>
      <c r="S137" s="21"/>
      <c r="T137" s="21"/>
      <c r="U137" s="21"/>
      <c r="V137" s="21"/>
      <c r="W137" s="21"/>
      <c r="X137" s="21"/>
      <c r="Y137" s="21"/>
      <c r="Z137" s="21"/>
    </row>
    <row r="138">
      <c r="A138" s="21"/>
      <c r="B138" s="24">
        <v>5.9907138E7</v>
      </c>
      <c r="C138" s="21" t="s">
        <v>830</v>
      </c>
      <c r="D138" s="25">
        <v>299.99</v>
      </c>
      <c r="E138" s="25">
        <v>299.99</v>
      </c>
      <c r="F138" s="21" t="s">
        <v>663</v>
      </c>
      <c r="G138" s="23" t="s">
        <v>1620</v>
      </c>
      <c r="H138" s="23" t="s">
        <v>1621</v>
      </c>
      <c r="I138" s="21"/>
      <c r="J138" s="21"/>
      <c r="K138" s="21"/>
      <c r="L138" s="21"/>
      <c r="M138" s="21"/>
      <c r="N138" s="21"/>
      <c r="O138" s="21"/>
      <c r="P138" s="21"/>
      <c r="Q138" s="21"/>
      <c r="R138" s="21"/>
      <c r="S138" s="21"/>
      <c r="T138" s="21"/>
      <c r="U138" s="21"/>
      <c r="V138" s="21"/>
      <c r="W138" s="21"/>
      <c r="X138" s="21"/>
      <c r="Y138" s="21"/>
      <c r="Z138" s="21"/>
    </row>
    <row r="139">
      <c r="A139" s="21"/>
      <c r="B139" s="24">
        <v>5.990016E7</v>
      </c>
      <c r="C139" s="21" t="s">
        <v>797</v>
      </c>
      <c r="D139" s="25">
        <v>199.99</v>
      </c>
      <c r="E139" s="25">
        <v>199.99</v>
      </c>
      <c r="F139" s="21" t="s">
        <v>205</v>
      </c>
      <c r="G139" s="23" t="s">
        <v>1614</v>
      </c>
      <c r="H139" s="23" t="s">
        <v>1615</v>
      </c>
      <c r="I139" s="21"/>
      <c r="J139" s="21"/>
      <c r="K139" s="21"/>
      <c r="L139" s="21"/>
      <c r="M139" s="21"/>
      <c r="N139" s="21"/>
      <c r="O139" s="21"/>
      <c r="P139" s="21"/>
      <c r="Q139" s="21"/>
      <c r="R139" s="21"/>
      <c r="S139" s="21"/>
      <c r="T139" s="21"/>
      <c r="U139" s="21"/>
      <c r="V139" s="21"/>
      <c r="W139" s="21"/>
      <c r="X139" s="21"/>
      <c r="Y139" s="21"/>
      <c r="Z139" s="21"/>
    </row>
    <row r="140">
      <c r="A140" s="21"/>
      <c r="B140" s="24">
        <v>5.9953084E7</v>
      </c>
      <c r="C140" s="21" t="s">
        <v>932</v>
      </c>
      <c r="D140" s="25">
        <v>129.0</v>
      </c>
      <c r="E140" s="25">
        <v>129.0</v>
      </c>
      <c r="F140" s="21" t="s">
        <v>221</v>
      </c>
      <c r="G140" s="23" t="s">
        <v>1636</v>
      </c>
      <c r="H140" s="23" t="s">
        <v>1637</v>
      </c>
      <c r="I140" s="21"/>
      <c r="J140" s="21"/>
      <c r="K140" s="21"/>
      <c r="L140" s="21"/>
      <c r="M140" s="21"/>
      <c r="N140" s="21"/>
      <c r="O140" s="21"/>
      <c r="P140" s="21"/>
      <c r="Q140" s="21"/>
      <c r="R140" s="21"/>
      <c r="S140" s="21"/>
      <c r="T140" s="21"/>
      <c r="U140" s="21"/>
      <c r="V140" s="21"/>
      <c r="W140" s="21"/>
      <c r="X140" s="21"/>
      <c r="Y140" s="21"/>
      <c r="Z140" s="21"/>
    </row>
    <row r="141">
      <c r="A141" s="21"/>
      <c r="B141" s="24">
        <v>5.9906352E7</v>
      </c>
      <c r="C141" s="21" t="s">
        <v>819</v>
      </c>
      <c r="D141" s="25">
        <v>259.99</v>
      </c>
      <c r="E141" s="25">
        <v>259.99</v>
      </c>
      <c r="F141" s="21" t="s">
        <v>663</v>
      </c>
      <c r="G141" s="23" t="s">
        <v>1618</v>
      </c>
      <c r="H141" s="23" t="s">
        <v>1619</v>
      </c>
      <c r="I141" s="21"/>
      <c r="J141" s="21"/>
      <c r="K141" s="21"/>
      <c r="L141" s="21"/>
      <c r="M141" s="21"/>
      <c r="N141" s="21"/>
      <c r="O141" s="21"/>
      <c r="P141" s="21"/>
      <c r="Q141" s="21"/>
      <c r="R141" s="21"/>
      <c r="S141" s="21"/>
      <c r="T141" s="21"/>
      <c r="U141" s="21"/>
      <c r="V141" s="21"/>
      <c r="W141" s="21"/>
      <c r="X141" s="21"/>
      <c r="Y141" s="21"/>
      <c r="Z141" s="21"/>
    </row>
    <row r="142">
      <c r="A142" s="21"/>
      <c r="B142" s="24">
        <v>5.9906314E7</v>
      </c>
      <c r="C142" s="21" t="s">
        <v>814</v>
      </c>
      <c r="D142" s="25">
        <v>199.99</v>
      </c>
      <c r="E142" s="25">
        <v>199.99</v>
      </c>
      <c r="F142" s="21" t="s">
        <v>663</v>
      </c>
      <c r="G142" s="23" t="s">
        <v>1618</v>
      </c>
      <c r="H142" s="23" t="s">
        <v>1619</v>
      </c>
      <c r="I142" s="21"/>
      <c r="J142" s="21"/>
      <c r="K142" s="21"/>
      <c r="L142" s="21"/>
      <c r="M142" s="21"/>
      <c r="N142" s="21"/>
      <c r="O142" s="21"/>
      <c r="P142" s="21"/>
      <c r="Q142" s="21"/>
      <c r="R142" s="21"/>
      <c r="S142" s="21"/>
      <c r="T142" s="21"/>
      <c r="U142" s="21"/>
      <c r="V142" s="21"/>
      <c r="W142" s="21"/>
      <c r="X142" s="21"/>
      <c r="Y142" s="21"/>
      <c r="Z142" s="21"/>
    </row>
    <row r="143">
      <c r="A143" s="21"/>
      <c r="B143" s="24">
        <v>5.9906364E7</v>
      </c>
      <c r="C143" s="21" t="s">
        <v>821</v>
      </c>
      <c r="D143" s="25">
        <v>259.99</v>
      </c>
      <c r="E143" s="25">
        <v>259.99</v>
      </c>
      <c r="F143" s="21" t="s">
        <v>663</v>
      </c>
      <c r="G143" s="23" t="s">
        <v>1618</v>
      </c>
      <c r="H143" s="23" t="s">
        <v>1619</v>
      </c>
      <c r="I143" s="21"/>
      <c r="J143" s="21"/>
      <c r="K143" s="21"/>
      <c r="L143" s="21"/>
      <c r="M143" s="21"/>
      <c r="N143" s="21"/>
      <c r="O143" s="21"/>
      <c r="P143" s="21"/>
      <c r="Q143" s="21"/>
      <c r="R143" s="21"/>
      <c r="S143" s="21"/>
      <c r="T143" s="21"/>
      <c r="U143" s="21"/>
      <c r="V143" s="21"/>
      <c r="W143" s="21"/>
      <c r="X143" s="21"/>
      <c r="Y143" s="21"/>
      <c r="Z143" s="21"/>
    </row>
    <row r="144">
      <c r="A144" s="21"/>
      <c r="B144" s="24">
        <v>5.9906326E7</v>
      </c>
      <c r="C144" s="21" t="s">
        <v>816</v>
      </c>
      <c r="D144" s="25">
        <v>199.99</v>
      </c>
      <c r="E144" s="25">
        <v>199.99</v>
      </c>
      <c r="F144" s="21" t="s">
        <v>663</v>
      </c>
      <c r="G144" s="23" t="s">
        <v>1618</v>
      </c>
      <c r="H144" s="23" t="s">
        <v>1619</v>
      </c>
      <c r="I144" s="21"/>
      <c r="J144" s="21"/>
      <c r="K144" s="21"/>
      <c r="L144" s="21"/>
      <c r="M144" s="21"/>
      <c r="N144" s="21"/>
      <c r="O144" s="21"/>
      <c r="P144" s="21"/>
      <c r="Q144" s="21"/>
      <c r="R144" s="21"/>
      <c r="S144" s="21"/>
      <c r="T144" s="21"/>
      <c r="U144" s="21"/>
      <c r="V144" s="21"/>
      <c r="W144" s="21"/>
      <c r="X144" s="21"/>
      <c r="Y144" s="21"/>
      <c r="Z144" s="21"/>
    </row>
    <row r="145">
      <c r="A145" s="21"/>
      <c r="B145" s="24">
        <v>5.9906376E7</v>
      </c>
      <c r="C145" s="21" t="s">
        <v>822</v>
      </c>
      <c r="D145" s="25">
        <v>259.99</v>
      </c>
      <c r="E145" s="25">
        <v>259.99</v>
      </c>
      <c r="F145" s="21" t="s">
        <v>663</v>
      </c>
      <c r="G145" s="23" t="s">
        <v>1618</v>
      </c>
      <c r="H145" s="23" t="s">
        <v>1619</v>
      </c>
      <c r="I145" s="21"/>
      <c r="J145" s="21"/>
      <c r="K145" s="21"/>
      <c r="L145" s="21"/>
      <c r="M145" s="21"/>
      <c r="N145" s="21"/>
      <c r="O145" s="21"/>
      <c r="P145" s="21"/>
      <c r="Q145" s="21"/>
      <c r="R145" s="21"/>
      <c r="S145" s="21"/>
      <c r="T145" s="21"/>
      <c r="U145" s="21"/>
      <c r="V145" s="21"/>
      <c r="W145" s="21"/>
      <c r="X145" s="21"/>
      <c r="Y145" s="21"/>
      <c r="Z145" s="21"/>
    </row>
    <row r="146">
      <c r="A146" s="21"/>
      <c r="B146" s="24">
        <v>5.9906338E7</v>
      </c>
      <c r="C146" s="21" t="s">
        <v>817</v>
      </c>
      <c r="D146" s="25">
        <v>199.99</v>
      </c>
      <c r="E146" s="25">
        <v>199.99</v>
      </c>
      <c r="F146" s="21" t="s">
        <v>663</v>
      </c>
      <c r="G146" s="23" t="s">
        <v>1618</v>
      </c>
      <c r="H146" s="23" t="s">
        <v>1619</v>
      </c>
      <c r="I146" s="21"/>
      <c r="J146" s="21"/>
      <c r="K146" s="21"/>
      <c r="L146" s="21"/>
      <c r="M146" s="21"/>
      <c r="N146" s="21"/>
      <c r="O146" s="21"/>
      <c r="P146" s="21"/>
      <c r="Q146" s="21"/>
      <c r="R146" s="21"/>
      <c r="S146" s="21"/>
      <c r="T146" s="21"/>
      <c r="U146" s="21"/>
      <c r="V146" s="21"/>
      <c r="W146" s="21"/>
      <c r="X146" s="21"/>
      <c r="Y146" s="21"/>
      <c r="Z146" s="21"/>
    </row>
    <row r="147">
      <c r="A147" s="21"/>
      <c r="B147" s="24">
        <v>5.9906388E7</v>
      </c>
      <c r="C147" s="21" t="s">
        <v>823</v>
      </c>
      <c r="D147" s="25">
        <v>259.99</v>
      </c>
      <c r="E147" s="25">
        <v>259.99</v>
      </c>
      <c r="F147" s="21" t="s">
        <v>663</v>
      </c>
      <c r="G147" s="23" t="s">
        <v>1618</v>
      </c>
      <c r="H147" s="23" t="s">
        <v>1619</v>
      </c>
      <c r="I147" s="21"/>
      <c r="J147" s="21"/>
      <c r="K147" s="21"/>
      <c r="L147" s="21"/>
      <c r="M147" s="21"/>
      <c r="N147" s="21"/>
      <c r="O147" s="21"/>
      <c r="P147" s="21"/>
      <c r="Q147" s="21"/>
      <c r="R147" s="21"/>
      <c r="S147" s="21"/>
      <c r="T147" s="21"/>
      <c r="U147" s="21"/>
      <c r="V147" s="21"/>
      <c r="W147" s="21"/>
      <c r="X147" s="21"/>
      <c r="Y147" s="21"/>
      <c r="Z147" s="21"/>
    </row>
    <row r="148">
      <c r="A148" s="21"/>
      <c r="B148" s="24">
        <v>5.990634E7</v>
      </c>
      <c r="C148" s="21" t="s">
        <v>818</v>
      </c>
      <c r="D148" s="25">
        <v>199.99</v>
      </c>
      <c r="E148" s="25">
        <v>199.99</v>
      </c>
      <c r="F148" s="21" t="s">
        <v>663</v>
      </c>
      <c r="G148" s="23" t="s">
        <v>1618</v>
      </c>
      <c r="H148" s="23" t="s">
        <v>1619</v>
      </c>
      <c r="I148" s="21"/>
      <c r="J148" s="21"/>
      <c r="K148" s="21"/>
      <c r="L148" s="21"/>
      <c r="M148" s="21"/>
      <c r="N148" s="21"/>
      <c r="O148" s="21"/>
      <c r="P148" s="21"/>
      <c r="Q148" s="21"/>
      <c r="R148" s="21"/>
      <c r="S148" s="21"/>
      <c r="T148" s="21"/>
      <c r="U148" s="21"/>
      <c r="V148" s="21"/>
      <c r="W148" s="21"/>
      <c r="X148" s="21"/>
      <c r="Y148" s="21"/>
      <c r="Z148" s="21"/>
    </row>
    <row r="149">
      <c r="A149" s="21"/>
      <c r="B149" s="24">
        <v>5.9953515E7</v>
      </c>
      <c r="C149" s="21" t="s">
        <v>939</v>
      </c>
      <c r="D149" s="25">
        <v>165.0</v>
      </c>
      <c r="E149" s="25">
        <v>165.0</v>
      </c>
      <c r="F149" s="21" t="s">
        <v>64</v>
      </c>
      <c r="G149" s="23" t="s">
        <v>1638</v>
      </c>
      <c r="H149" s="23" t="s">
        <v>1639</v>
      </c>
      <c r="I149" s="21"/>
      <c r="J149" s="21"/>
      <c r="K149" s="21"/>
      <c r="L149" s="21"/>
      <c r="M149" s="21"/>
      <c r="N149" s="21"/>
      <c r="O149" s="21"/>
      <c r="P149" s="21"/>
      <c r="Q149" s="21"/>
      <c r="R149" s="21"/>
      <c r="S149" s="21"/>
      <c r="T149" s="21"/>
      <c r="U149" s="21"/>
      <c r="V149" s="21"/>
      <c r="W149" s="21"/>
      <c r="X149" s="21"/>
      <c r="Y149" s="21"/>
      <c r="Z149" s="21"/>
    </row>
    <row r="150">
      <c r="A150" s="21"/>
      <c r="B150" s="24">
        <v>5.9953503E7</v>
      </c>
      <c r="C150" s="21" t="s">
        <v>937</v>
      </c>
      <c r="D150" s="25">
        <v>125.0</v>
      </c>
      <c r="E150" s="25">
        <v>125.0</v>
      </c>
      <c r="F150" s="21" t="s">
        <v>64</v>
      </c>
      <c r="G150" s="23" t="s">
        <v>1638</v>
      </c>
      <c r="H150" s="23" t="s">
        <v>1639</v>
      </c>
      <c r="I150" s="21"/>
      <c r="J150" s="21"/>
      <c r="K150" s="21"/>
      <c r="L150" s="21"/>
      <c r="M150" s="21"/>
      <c r="N150" s="21"/>
      <c r="O150" s="21"/>
      <c r="P150" s="21"/>
      <c r="Q150" s="21"/>
      <c r="R150" s="21"/>
      <c r="S150" s="21"/>
      <c r="T150" s="21"/>
      <c r="U150" s="21"/>
      <c r="V150" s="21"/>
      <c r="W150" s="21"/>
      <c r="X150" s="21"/>
      <c r="Y150" s="21"/>
      <c r="Z150" s="21"/>
    </row>
    <row r="151">
      <c r="A151" s="21"/>
      <c r="B151" s="24">
        <v>5.9953553E7</v>
      </c>
      <c r="C151" s="21" t="s">
        <v>951</v>
      </c>
      <c r="D151" s="25">
        <v>215.0</v>
      </c>
      <c r="E151" s="25">
        <v>215.0</v>
      </c>
      <c r="F151" s="21" t="s">
        <v>64</v>
      </c>
      <c r="G151" s="23" t="s">
        <v>1638</v>
      </c>
      <c r="H151" s="23" t="s">
        <v>1639</v>
      </c>
      <c r="I151" s="21"/>
      <c r="J151" s="21"/>
      <c r="K151" s="21"/>
      <c r="L151" s="21"/>
      <c r="M151" s="21"/>
      <c r="N151" s="21"/>
      <c r="O151" s="21"/>
      <c r="P151" s="21"/>
      <c r="Q151" s="21"/>
      <c r="R151" s="21"/>
      <c r="S151" s="21"/>
      <c r="T151" s="21"/>
      <c r="U151" s="21"/>
      <c r="V151" s="21"/>
      <c r="W151" s="21"/>
      <c r="X151" s="21"/>
      <c r="Y151" s="21"/>
      <c r="Z151" s="21"/>
    </row>
    <row r="152">
      <c r="A152" s="21"/>
      <c r="B152" s="24">
        <v>5.9953541E7</v>
      </c>
      <c r="C152" s="21" t="s">
        <v>949</v>
      </c>
      <c r="D152" s="25">
        <v>175.0</v>
      </c>
      <c r="E152" s="25">
        <v>175.0</v>
      </c>
      <c r="F152" s="21" t="s">
        <v>64</v>
      </c>
      <c r="G152" s="23" t="s">
        <v>1638</v>
      </c>
      <c r="H152" s="23" t="s">
        <v>1639</v>
      </c>
      <c r="I152" s="21"/>
      <c r="J152" s="21"/>
      <c r="K152" s="21"/>
      <c r="L152" s="21"/>
      <c r="M152" s="21"/>
      <c r="N152" s="21"/>
      <c r="O152" s="21"/>
      <c r="P152" s="21"/>
      <c r="Q152" s="21"/>
      <c r="R152" s="21"/>
      <c r="S152" s="21"/>
      <c r="T152" s="21"/>
      <c r="U152" s="21"/>
      <c r="V152" s="21"/>
      <c r="W152" s="21"/>
      <c r="X152" s="21"/>
      <c r="Y152" s="21"/>
      <c r="Z152" s="21"/>
    </row>
    <row r="153">
      <c r="A153" s="21"/>
      <c r="B153" s="24">
        <v>5.9953539E7</v>
      </c>
      <c r="C153" s="21" t="s">
        <v>945</v>
      </c>
      <c r="D153" s="25">
        <v>215.0</v>
      </c>
      <c r="E153" s="25">
        <v>215.0</v>
      </c>
      <c r="F153" s="21" t="s">
        <v>64</v>
      </c>
      <c r="G153" s="23" t="s">
        <v>1638</v>
      </c>
      <c r="H153" s="23" t="s">
        <v>1639</v>
      </c>
      <c r="I153" s="21"/>
      <c r="J153" s="21"/>
      <c r="K153" s="21"/>
      <c r="L153" s="21"/>
      <c r="M153" s="21"/>
      <c r="N153" s="21"/>
      <c r="O153" s="21"/>
      <c r="P153" s="21"/>
      <c r="Q153" s="21"/>
      <c r="R153" s="21"/>
      <c r="S153" s="21"/>
      <c r="T153" s="21"/>
      <c r="U153" s="21"/>
      <c r="V153" s="21"/>
      <c r="W153" s="21"/>
      <c r="X153" s="21"/>
      <c r="Y153" s="21"/>
      <c r="Z153" s="21"/>
    </row>
    <row r="154">
      <c r="A154" s="21"/>
      <c r="B154" s="24">
        <v>5.9953527E7</v>
      </c>
      <c r="C154" s="21" t="s">
        <v>943</v>
      </c>
      <c r="D154" s="25">
        <v>175.0</v>
      </c>
      <c r="E154" s="25">
        <v>175.0</v>
      </c>
      <c r="F154" s="21" t="s">
        <v>64</v>
      </c>
      <c r="G154" s="23" t="s">
        <v>1638</v>
      </c>
      <c r="H154" s="23" t="s">
        <v>1639</v>
      </c>
      <c r="I154" s="21"/>
      <c r="J154" s="21"/>
      <c r="K154" s="21"/>
      <c r="L154" s="21"/>
      <c r="M154" s="21"/>
      <c r="N154" s="21"/>
      <c r="O154" s="21"/>
      <c r="P154" s="21"/>
      <c r="Q154" s="21"/>
      <c r="R154" s="21"/>
      <c r="S154" s="21"/>
      <c r="T154" s="21"/>
      <c r="U154" s="21"/>
      <c r="V154" s="21"/>
      <c r="W154" s="21"/>
      <c r="X154" s="21"/>
      <c r="Y154" s="21"/>
      <c r="Z154" s="21"/>
    </row>
    <row r="155">
      <c r="A155" s="21"/>
      <c r="B155" s="24">
        <v>5.9953591E7</v>
      </c>
      <c r="C155" s="21" t="s">
        <v>965</v>
      </c>
      <c r="D155" s="25">
        <v>275.0</v>
      </c>
      <c r="E155" s="25">
        <v>275.0</v>
      </c>
      <c r="F155" s="21" t="s">
        <v>64</v>
      </c>
      <c r="G155" s="23" t="s">
        <v>1640</v>
      </c>
      <c r="H155" s="23" t="s">
        <v>1641</v>
      </c>
      <c r="I155" s="21"/>
      <c r="J155" s="21"/>
      <c r="K155" s="21"/>
      <c r="L155" s="21"/>
      <c r="M155" s="21"/>
      <c r="N155" s="21"/>
      <c r="O155" s="21"/>
      <c r="P155" s="21"/>
      <c r="Q155" s="21"/>
      <c r="R155" s="21"/>
      <c r="S155" s="21"/>
      <c r="T155" s="21"/>
      <c r="U155" s="21"/>
      <c r="V155" s="21"/>
      <c r="W155" s="21"/>
      <c r="X155" s="21"/>
      <c r="Y155" s="21"/>
      <c r="Z155" s="21"/>
    </row>
    <row r="156">
      <c r="A156" s="21"/>
      <c r="B156" s="24">
        <v>5.9953589E7</v>
      </c>
      <c r="C156" s="21" t="s">
        <v>961</v>
      </c>
      <c r="D156" s="25">
        <v>225.0</v>
      </c>
      <c r="E156" s="25">
        <v>225.0</v>
      </c>
      <c r="F156" s="21" t="s">
        <v>64</v>
      </c>
      <c r="G156" s="23" t="s">
        <v>1640</v>
      </c>
      <c r="H156" s="23" t="s">
        <v>1641</v>
      </c>
      <c r="I156" s="21"/>
      <c r="J156" s="21"/>
      <c r="K156" s="21"/>
      <c r="L156" s="21"/>
      <c r="M156" s="21"/>
      <c r="N156" s="21"/>
      <c r="O156" s="21"/>
      <c r="P156" s="21"/>
      <c r="Q156" s="21"/>
      <c r="R156" s="21"/>
      <c r="S156" s="21"/>
      <c r="T156" s="21"/>
      <c r="U156" s="21"/>
      <c r="V156" s="21"/>
      <c r="W156" s="21"/>
      <c r="X156" s="21"/>
      <c r="Y156" s="21"/>
      <c r="Z156" s="21"/>
    </row>
    <row r="157">
      <c r="A157" s="21"/>
      <c r="B157" s="24">
        <v>5.9953577E7</v>
      </c>
      <c r="C157" s="21" t="s">
        <v>957</v>
      </c>
      <c r="D157" s="25">
        <v>275.0</v>
      </c>
      <c r="E157" s="25">
        <v>275.0</v>
      </c>
      <c r="F157" s="21" t="s">
        <v>64</v>
      </c>
      <c r="G157" s="23" t="s">
        <v>1640</v>
      </c>
      <c r="H157" s="23" t="s">
        <v>1641</v>
      </c>
      <c r="I157" s="21"/>
      <c r="J157" s="21"/>
      <c r="K157" s="21"/>
      <c r="L157" s="21"/>
      <c r="M157" s="21"/>
      <c r="N157" s="21"/>
      <c r="O157" s="21"/>
      <c r="P157" s="21"/>
      <c r="Q157" s="21"/>
      <c r="R157" s="21"/>
      <c r="S157" s="21"/>
      <c r="T157" s="21"/>
      <c r="U157" s="21"/>
      <c r="V157" s="21"/>
      <c r="W157" s="21"/>
      <c r="X157" s="21"/>
      <c r="Y157" s="21"/>
      <c r="Z157" s="21"/>
    </row>
    <row r="158">
      <c r="A158" s="21"/>
      <c r="B158" s="24">
        <v>5.9953565E7</v>
      </c>
      <c r="C158" s="21" t="s">
        <v>955</v>
      </c>
      <c r="D158" s="25">
        <v>225.0</v>
      </c>
      <c r="E158" s="25">
        <v>225.0</v>
      </c>
      <c r="F158" s="21" t="s">
        <v>64</v>
      </c>
      <c r="G158" s="23" t="s">
        <v>1640</v>
      </c>
      <c r="H158" s="23" t="s">
        <v>1641</v>
      </c>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row>
    <row r="1024">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row>
    <row r="1025">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row>
    <row r="1026">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row>
    <row r="1027">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row>
    <row r="1028">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row>
    <row r="1029">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row>
    <row r="1030">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row>
    <row r="103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row>
    <row r="1032">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row>
    <row r="1033">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row>
    <row r="1034">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row>
    <row r="1035">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row>
    <row r="1036">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row>
    <row r="1037">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row>
    <row r="1038">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row>
    <row r="1039">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row>
    <row r="1040">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row>
    <row r="104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row>
    <row r="1042">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row>
    <row r="1043">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row>
    <row r="1044">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row>
    <row r="1045">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row>
    <row r="1046">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row>
    <row r="1047">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row>
    <row r="1048">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row>
    <row r="1049">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row>
    <row r="1050">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row>
    <row r="105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row>
    <row r="1052">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row>
    <row r="1053">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row>
    <row r="1054">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row>
    <row r="1055">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row>
    <row r="1056">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row>
    <row r="1057">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row>
    <row r="1058">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row>
    <row r="1059">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row>
    <row r="1060">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row>
    <row r="106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row>
    <row r="1062">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row>
    <row r="1063">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row>
    <row r="1064">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row>
    <row r="1065">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row>
    <row r="1066">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row>
    <row r="1067">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row>
    <row r="1068">
      <c r="A1068" s="21"/>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row>
    <row r="1069">
      <c r="A1069" s="21"/>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row>
    <row r="1070">
      <c r="A1070" s="21"/>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row>
    <row r="1071">
      <c r="A1071" s="21"/>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row>
    <row r="1072">
      <c r="A1072" s="21"/>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row>
    <row r="1073">
      <c r="A1073" s="21"/>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row>
    <row r="1074">
      <c r="A1074" s="21"/>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row>
    <row r="1075">
      <c r="A1075" s="21"/>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row>
    <row r="1076">
      <c r="A1076" s="21"/>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row>
    <row r="1077">
      <c r="A1077" s="21"/>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row>
    <row r="1078">
      <c r="A1078" s="21"/>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row>
    <row r="1079">
      <c r="A1079" s="21"/>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row>
    <row r="1080">
      <c r="A1080" s="21"/>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row>
    <row r="1081">
      <c r="A1081" s="21"/>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row>
    <row r="1082">
      <c r="A1082" s="21"/>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row>
    <row r="1083">
      <c r="A1083" s="21"/>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row>
    <row r="1084">
      <c r="A1084" s="21"/>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row>
    <row r="1085">
      <c r="A1085" s="21"/>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row>
    <row r="1086">
      <c r="A1086" s="21"/>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row>
    <row r="1087">
      <c r="A1087" s="21"/>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row>
    <row r="1088">
      <c r="A1088" s="21"/>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row>
    <row r="1089">
      <c r="A1089" s="21"/>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row>
    <row r="1090">
      <c r="A1090" s="21"/>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row>
    <row r="1091">
      <c r="A1091" s="21"/>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row>
    <row r="1092">
      <c r="A1092" s="21"/>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row>
    <row r="1093">
      <c r="A1093" s="21"/>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row>
    <row r="1094">
      <c r="A1094" s="21"/>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row>
    <row r="1095">
      <c r="A1095" s="21"/>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row>
    <row r="1096">
      <c r="A1096" s="21"/>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row>
    <row r="1097">
      <c r="A1097" s="21"/>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row>
    <row r="1098">
      <c r="A1098" s="21"/>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row>
    <row r="1099">
      <c r="A1099" s="21"/>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row>
    <row r="1100">
      <c r="A1100" s="21"/>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row>
    <row r="1101">
      <c r="A1101" s="21"/>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row>
    <row r="1102">
      <c r="A1102" s="21"/>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row>
    <row r="1103">
      <c r="A1103" s="21"/>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row>
    <row r="1104">
      <c r="A1104" s="21"/>
      <c r="B1104" s="21"/>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row>
    <row r="1105">
      <c r="A1105" s="21"/>
      <c r="B1105" s="21"/>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row>
    <row r="1106">
      <c r="A1106" s="21"/>
      <c r="B1106" s="21"/>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row>
    <row r="1107">
      <c r="A1107" s="21"/>
      <c r="B1107" s="21"/>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row>
    <row r="1108">
      <c r="A1108" s="21"/>
      <c r="B1108" s="21"/>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 r="A1109" s="21"/>
      <c r="B1109" s="21"/>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c r="A1110" s="21"/>
      <c r="B1110" s="21"/>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c r="A1111" s="21"/>
      <c r="B1111" s="21"/>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c r="A1112" s="21"/>
      <c r="B1112" s="21"/>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row>
    <row r="1113">
      <c r="A1113" s="21"/>
      <c r="B1113" s="21"/>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row>
    <row r="1114">
      <c r="A1114" s="21"/>
      <c r="B1114" s="21"/>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row>
    <row r="1115">
      <c r="A1115" s="21"/>
      <c r="B1115" s="21"/>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row>
    <row r="1116">
      <c r="A1116" s="21"/>
      <c r="B1116" s="21"/>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row>
    <row r="1117">
      <c r="A1117" s="21"/>
      <c r="B1117" s="21"/>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row>
    <row r="1118">
      <c r="A1118" s="21"/>
      <c r="B1118" s="21"/>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row>
    <row r="1119">
      <c r="A1119" s="21"/>
      <c r="B1119" s="21"/>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row>
    <row r="1120">
      <c r="A1120" s="21"/>
      <c r="B1120" s="21"/>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row>
    <row r="1121">
      <c r="A1121" s="21"/>
      <c r="B1121" s="21"/>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row>
    <row r="1122">
      <c r="A1122" s="21"/>
      <c r="B1122" s="21"/>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row>
    <row r="1123">
      <c r="A1123" s="21"/>
      <c r="B1123" s="21"/>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row>
    <row r="1124">
      <c r="A1124" s="21"/>
      <c r="B1124" s="21"/>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row>
    <row r="1125">
      <c r="A1125" s="21"/>
      <c r="B1125" s="21"/>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row>
    <row r="1126">
      <c r="A1126" s="21"/>
      <c r="B1126" s="21"/>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row>
    <row r="1127">
      <c r="A1127" s="21"/>
      <c r="B1127" s="21"/>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row>
    <row r="1128">
      <c r="A1128" s="21"/>
      <c r="B1128" s="21"/>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row>
    <row r="1129">
      <c r="A1129" s="21"/>
      <c r="B1129" s="21"/>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row>
    <row r="1130">
      <c r="A1130" s="21"/>
      <c r="B1130" s="21"/>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row>
    <row r="1131">
      <c r="A1131" s="21"/>
      <c r="B1131" s="21"/>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row>
    <row r="1132">
      <c r="A1132" s="21"/>
      <c r="B1132" s="21"/>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row>
    <row r="1133">
      <c r="A1133" s="21"/>
      <c r="B1133" s="21"/>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row>
    <row r="1134">
      <c r="A1134" s="21"/>
      <c r="B1134" s="21"/>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row>
    <row r="1135">
      <c r="A1135" s="21"/>
      <c r="B1135" s="21"/>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row>
    <row r="1136">
      <c r="A1136" s="21"/>
      <c r="B1136" s="21"/>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row>
    <row r="1137">
      <c r="A1137" s="21"/>
      <c r="B1137" s="21"/>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row>
    <row r="1138">
      <c r="A1138" s="21"/>
      <c r="B1138" s="21"/>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row>
    <row r="1139">
      <c r="A1139" s="21"/>
      <c r="B1139" s="21"/>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row>
    <row r="1140">
      <c r="A1140" s="21"/>
      <c r="B1140" s="21"/>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row>
    <row r="1141">
      <c r="A1141" s="21"/>
      <c r="B1141" s="21"/>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row>
    <row r="1142">
      <c r="A1142" s="21"/>
      <c r="B1142" s="21"/>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row>
    <row r="1143">
      <c r="A1143" s="21"/>
      <c r="B1143" s="21"/>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row>
    <row r="1144">
      <c r="A1144" s="21"/>
      <c r="B1144" s="21"/>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row>
    <row r="1145">
      <c r="A1145" s="21"/>
      <c r="B1145" s="21"/>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row>
    <row r="1146">
      <c r="A1146" s="21"/>
      <c r="B1146" s="21"/>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row>
    <row r="1147">
      <c r="A1147" s="21"/>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row>
    <row r="1148">
      <c r="A1148" s="21"/>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row>
    <row r="1149">
      <c r="A1149" s="21"/>
      <c r="B1149" s="21"/>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row>
    <row r="1150">
      <c r="A1150" s="21"/>
      <c r="B1150" s="21"/>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row>
    <row r="1151">
      <c r="A1151" s="21"/>
      <c r="B1151" s="21"/>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row>
    <row r="1152">
      <c r="A1152" s="21"/>
      <c r="B1152" s="21"/>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row>
    <row r="1153">
      <c r="A1153" s="21"/>
      <c r="B1153" s="21"/>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row>
    <row r="1154">
      <c r="A1154" s="21"/>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row>
    <row r="1155">
      <c r="A1155" s="21"/>
      <c r="B1155" s="21"/>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row>
    <row r="1156">
      <c r="A1156" s="21"/>
      <c r="B1156" s="21"/>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row>
    <row r="1157">
      <c r="A1157" s="21"/>
      <c r="B1157" s="21"/>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row>
    <row r="1158">
      <c r="A1158" s="21"/>
      <c r="B1158" s="21"/>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row>
    <row r="1159">
      <c r="A1159" s="21"/>
      <c r="B1159" s="21"/>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row>
    <row r="1160">
      <c r="A1160" s="21"/>
      <c r="B1160" s="21"/>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row>
    <row r="1161">
      <c r="A1161" s="21"/>
      <c r="B1161" s="21"/>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row>
    <row r="1162">
      <c r="A1162" s="21"/>
      <c r="B1162" s="21"/>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row>
    <row r="1163">
      <c r="A1163" s="21"/>
      <c r="B1163" s="21"/>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row>
    <row r="1164">
      <c r="A1164" s="21"/>
      <c r="B1164" s="21"/>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row>
    <row r="1165">
      <c r="A1165" s="21"/>
      <c r="B1165" s="21"/>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row>
    <row r="1166">
      <c r="A1166" s="21"/>
      <c r="B1166" s="21"/>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row>
    <row r="1167">
      <c r="A1167" s="21"/>
      <c r="B1167" s="21"/>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row>
    <row r="1168">
      <c r="A1168" s="21"/>
      <c r="B1168" s="21"/>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row>
    <row r="1169">
      <c r="A1169" s="21"/>
      <c r="B1169" s="21"/>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row>
    <row r="1170">
      <c r="A1170" s="21"/>
      <c r="B1170" s="21"/>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row>
    <row r="1171">
      <c r="A1171" s="21"/>
      <c r="B1171" s="21"/>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row>
    <row r="1172">
      <c r="A1172" s="21"/>
      <c r="B1172" s="21"/>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row>
    <row r="1173">
      <c r="A1173" s="21"/>
      <c r="B1173" s="21"/>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row>
    <row r="1174">
      <c r="A1174" s="21"/>
      <c r="B1174" s="21"/>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row>
    <row r="1175">
      <c r="A1175" s="21"/>
      <c r="B1175" s="21"/>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row>
    <row r="1176">
      <c r="A1176" s="21"/>
      <c r="B1176" s="21"/>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row>
    <row r="1177">
      <c r="A1177" s="21"/>
      <c r="B1177" s="21"/>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row>
    <row r="1178">
      <c r="A1178" s="21"/>
      <c r="B1178" s="21"/>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row>
    <row r="1179">
      <c r="A1179" s="21"/>
      <c r="B1179" s="21"/>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row>
    <row r="1180">
      <c r="A1180" s="21"/>
      <c r="B1180" s="21"/>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row>
    <row r="1181">
      <c r="A1181" s="21"/>
      <c r="B1181" s="21"/>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row>
    <row r="1182">
      <c r="A1182" s="21"/>
      <c r="B1182" s="21"/>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row>
    <row r="1183">
      <c r="A1183" s="21"/>
      <c r="B1183" s="21"/>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row>
    <row r="1184">
      <c r="A1184" s="21"/>
      <c r="B1184" s="21"/>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row>
    <row r="1185">
      <c r="A1185" s="21"/>
      <c r="B1185" s="21"/>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row>
    <row r="1186">
      <c r="A1186" s="21"/>
      <c r="B1186" s="21"/>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row>
    <row r="1187">
      <c r="A1187" s="21"/>
      <c r="B1187" s="21"/>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row>
    <row r="1188">
      <c r="A1188" s="21"/>
      <c r="B1188" s="21"/>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row>
    <row r="1189">
      <c r="A1189" s="21"/>
      <c r="B1189" s="21"/>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row>
    <row r="1190">
      <c r="A1190" s="21"/>
      <c r="B1190" s="21"/>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row>
    <row r="1191">
      <c r="A1191" s="21"/>
      <c r="B1191" s="21"/>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row>
    <row r="1192">
      <c r="A1192" s="21"/>
      <c r="B1192" s="21"/>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row>
    <row r="1193">
      <c r="A1193" s="21"/>
      <c r="B1193" s="21"/>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row>
  </sheetData>
  <hyperlinks>
    <hyperlink r:id="rId1" ref="G3"/>
    <hyperlink r:id="rId2" ref="H3"/>
    <hyperlink r:id="rId3" ref="G4"/>
    <hyperlink r:id="rId4" ref="H4"/>
    <hyperlink r:id="rId5" ref="G5"/>
    <hyperlink r:id="rId6" ref="H5"/>
    <hyperlink r:id="rId7" ref="G6"/>
    <hyperlink r:id="rId8" ref="H6"/>
    <hyperlink r:id="rId9" ref="G7"/>
    <hyperlink r:id="rId10" ref="H7"/>
    <hyperlink r:id="rId11" ref="G8"/>
    <hyperlink r:id="rId12" ref="H8"/>
    <hyperlink r:id="rId13" ref="G9"/>
    <hyperlink r:id="rId14" ref="H9"/>
    <hyperlink r:id="rId15" ref="G10"/>
    <hyperlink r:id="rId16" ref="H10"/>
    <hyperlink r:id="rId17" ref="G11"/>
    <hyperlink r:id="rId18" ref="H11"/>
    <hyperlink r:id="rId19" ref="G12"/>
    <hyperlink r:id="rId20" ref="H12"/>
    <hyperlink r:id="rId21" ref="G13"/>
    <hyperlink r:id="rId22" ref="H13"/>
    <hyperlink r:id="rId23" ref="G14"/>
    <hyperlink r:id="rId24" ref="H14"/>
    <hyperlink r:id="rId25" ref="G15"/>
    <hyperlink r:id="rId26" ref="H15"/>
    <hyperlink r:id="rId27" ref="G16"/>
    <hyperlink r:id="rId28" ref="H16"/>
    <hyperlink r:id="rId29" ref="G17"/>
    <hyperlink r:id="rId30" ref="H17"/>
    <hyperlink r:id="rId31" ref="G18"/>
    <hyperlink r:id="rId32" ref="H18"/>
    <hyperlink r:id="rId33" ref="G19"/>
    <hyperlink r:id="rId34" ref="H19"/>
    <hyperlink r:id="rId35" ref="G20"/>
    <hyperlink r:id="rId36" ref="H20"/>
    <hyperlink r:id="rId37" ref="G21"/>
    <hyperlink r:id="rId38" ref="H21"/>
    <hyperlink r:id="rId39" ref="G22"/>
    <hyperlink r:id="rId40" ref="H22"/>
    <hyperlink r:id="rId41" ref="G23"/>
    <hyperlink r:id="rId42" ref="H23"/>
    <hyperlink r:id="rId43" ref="G24"/>
    <hyperlink r:id="rId44" ref="H24"/>
    <hyperlink r:id="rId45" ref="G25"/>
    <hyperlink r:id="rId46" ref="H25"/>
    <hyperlink r:id="rId47" ref="G26"/>
    <hyperlink r:id="rId48" ref="H26"/>
    <hyperlink r:id="rId49" ref="G29"/>
    <hyperlink r:id="rId50" ref="H29"/>
    <hyperlink r:id="rId51" ref="G30"/>
    <hyperlink r:id="rId52" ref="H30"/>
    <hyperlink r:id="rId53" ref="G31"/>
    <hyperlink r:id="rId54" ref="H31"/>
    <hyperlink r:id="rId55" ref="G34"/>
    <hyperlink r:id="rId56" ref="H34"/>
    <hyperlink r:id="rId57" ref="G35"/>
    <hyperlink r:id="rId58" ref="H35"/>
    <hyperlink r:id="rId59" ref="G36"/>
    <hyperlink r:id="rId60" ref="H36"/>
    <hyperlink r:id="rId61" ref="G37"/>
    <hyperlink r:id="rId62" ref="H37"/>
    <hyperlink r:id="rId63" ref="G40"/>
    <hyperlink r:id="rId64" ref="H40"/>
    <hyperlink r:id="rId65" ref="G41"/>
    <hyperlink r:id="rId66" ref="H41"/>
    <hyperlink r:id="rId67" ref="G44"/>
    <hyperlink r:id="rId68" ref="H44"/>
    <hyperlink r:id="rId69" ref="G45"/>
    <hyperlink r:id="rId70" ref="H45"/>
    <hyperlink r:id="rId71" ref="G46"/>
    <hyperlink r:id="rId72" ref="H46"/>
    <hyperlink r:id="rId73" ref="G47"/>
    <hyperlink r:id="rId74" ref="H47"/>
    <hyperlink r:id="rId75" ref="G48"/>
    <hyperlink r:id="rId76" ref="H48"/>
    <hyperlink r:id="rId77" ref="G49"/>
    <hyperlink r:id="rId78" ref="H49"/>
    <hyperlink r:id="rId79" ref="G50"/>
    <hyperlink r:id="rId80" ref="H50"/>
    <hyperlink r:id="rId81" ref="G51"/>
    <hyperlink r:id="rId82" ref="H51"/>
    <hyperlink r:id="rId83" ref="G52"/>
    <hyperlink r:id="rId84" ref="H52"/>
    <hyperlink r:id="rId85" ref="G53"/>
    <hyperlink r:id="rId86" ref="H53"/>
    <hyperlink r:id="rId87" ref="G54"/>
    <hyperlink r:id="rId88" ref="H54"/>
    <hyperlink r:id="rId89" ref="G55"/>
    <hyperlink r:id="rId90" ref="H55"/>
    <hyperlink r:id="rId91" ref="G56"/>
    <hyperlink r:id="rId92" ref="H56"/>
    <hyperlink r:id="rId93" ref="G57"/>
    <hyperlink r:id="rId94" ref="H57"/>
    <hyperlink r:id="rId95" ref="G58"/>
    <hyperlink r:id="rId96" ref="H58"/>
    <hyperlink r:id="rId97" ref="G59"/>
    <hyperlink r:id="rId98" ref="H59"/>
    <hyperlink r:id="rId99" ref="G60"/>
    <hyperlink r:id="rId100" ref="H60"/>
    <hyperlink r:id="rId101" ref="G61"/>
    <hyperlink r:id="rId102" ref="H61"/>
    <hyperlink r:id="rId103" ref="G62"/>
    <hyperlink r:id="rId104" ref="H62"/>
    <hyperlink r:id="rId105" ref="G63"/>
    <hyperlink r:id="rId106" ref="H63"/>
    <hyperlink r:id="rId107" ref="G64"/>
    <hyperlink r:id="rId108" ref="H64"/>
    <hyperlink r:id="rId109" ref="G65"/>
    <hyperlink r:id="rId110" ref="H65"/>
    <hyperlink r:id="rId111" ref="G66"/>
    <hyperlink r:id="rId112" ref="H66"/>
    <hyperlink r:id="rId113" ref="G67"/>
    <hyperlink r:id="rId114" ref="H67"/>
    <hyperlink r:id="rId115" ref="G68"/>
    <hyperlink r:id="rId116" ref="H68"/>
    <hyperlink r:id="rId117" ref="G69"/>
    <hyperlink r:id="rId118" ref="H69"/>
    <hyperlink r:id="rId119" ref="G70"/>
    <hyperlink r:id="rId120" ref="H70"/>
    <hyperlink r:id="rId121" ref="G71"/>
    <hyperlink r:id="rId122" ref="H71"/>
    <hyperlink r:id="rId123" ref="G72"/>
    <hyperlink r:id="rId124" ref="H72"/>
    <hyperlink r:id="rId125" ref="G73"/>
    <hyperlink r:id="rId126" ref="H73"/>
    <hyperlink r:id="rId127" ref="G74"/>
    <hyperlink r:id="rId128" ref="H74"/>
    <hyperlink r:id="rId129" ref="G75"/>
    <hyperlink r:id="rId130" ref="H75"/>
    <hyperlink r:id="rId131" ref="G76"/>
    <hyperlink r:id="rId132" ref="H76"/>
    <hyperlink r:id="rId133" ref="G77"/>
    <hyperlink r:id="rId134" ref="H77"/>
    <hyperlink r:id="rId135" ref="G78"/>
    <hyperlink r:id="rId136" ref="H78"/>
    <hyperlink r:id="rId137" ref="G79"/>
    <hyperlink r:id="rId138" ref="H79"/>
    <hyperlink r:id="rId139" ref="G80"/>
    <hyperlink r:id="rId140" ref="H80"/>
    <hyperlink r:id="rId141" ref="G81"/>
    <hyperlink r:id="rId142" ref="H81"/>
    <hyperlink r:id="rId143" ref="G82"/>
    <hyperlink r:id="rId144" ref="H82"/>
    <hyperlink r:id="rId145" ref="G83"/>
    <hyperlink r:id="rId146" ref="H83"/>
    <hyperlink r:id="rId147" ref="G84"/>
    <hyperlink r:id="rId148" ref="H84"/>
    <hyperlink r:id="rId149" ref="G85"/>
    <hyperlink r:id="rId150" ref="H85"/>
    <hyperlink r:id="rId151" ref="G86"/>
    <hyperlink r:id="rId152" ref="H86"/>
    <hyperlink r:id="rId153" ref="G87"/>
    <hyperlink r:id="rId154" ref="H87"/>
    <hyperlink r:id="rId155" ref="G88"/>
    <hyperlink r:id="rId156" ref="H88"/>
    <hyperlink r:id="rId157" ref="G89"/>
    <hyperlink r:id="rId158" ref="H89"/>
    <hyperlink r:id="rId159" ref="G90"/>
    <hyperlink r:id="rId160" ref="H90"/>
    <hyperlink r:id="rId161" ref="G91"/>
    <hyperlink r:id="rId162" ref="H91"/>
    <hyperlink r:id="rId163" ref="G92"/>
    <hyperlink r:id="rId164" ref="H92"/>
    <hyperlink r:id="rId165" ref="G93"/>
    <hyperlink r:id="rId166" ref="H93"/>
    <hyperlink r:id="rId167" ref="G94"/>
    <hyperlink r:id="rId168" ref="H94"/>
    <hyperlink r:id="rId169" ref="G95"/>
    <hyperlink r:id="rId170" ref="H95"/>
    <hyperlink r:id="rId171" ref="G96"/>
    <hyperlink r:id="rId172" ref="H96"/>
    <hyperlink r:id="rId173" ref="G97"/>
    <hyperlink r:id="rId174" ref="H97"/>
    <hyperlink r:id="rId175" ref="G98"/>
    <hyperlink r:id="rId176" ref="H98"/>
    <hyperlink r:id="rId177" ref="G99"/>
    <hyperlink r:id="rId178" ref="H99"/>
    <hyperlink r:id="rId179" ref="G100"/>
    <hyperlink r:id="rId180" ref="H100"/>
    <hyperlink r:id="rId181" ref="G101"/>
    <hyperlink r:id="rId182" ref="H101"/>
    <hyperlink r:id="rId183" ref="G102"/>
    <hyperlink r:id="rId184" ref="H102"/>
    <hyperlink r:id="rId185" ref="G103"/>
    <hyperlink r:id="rId186" ref="H103"/>
    <hyperlink r:id="rId187" ref="G104"/>
    <hyperlink r:id="rId188" ref="H104"/>
    <hyperlink r:id="rId189" ref="G105"/>
    <hyperlink r:id="rId190" ref="H105"/>
    <hyperlink r:id="rId191" ref="G106"/>
    <hyperlink r:id="rId192" ref="H106"/>
    <hyperlink r:id="rId193" ref="G107"/>
    <hyperlink r:id="rId194" ref="H107"/>
    <hyperlink r:id="rId195" ref="G108"/>
    <hyperlink r:id="rId196" ref="H108"/>
    <hyperlink r:id="rId197" ref="G109"/>
    <hyperlink r:id="rId198" ref="H109"/>
    <hyperlink r:id="rId199" ref="G110"/>
    <hyperlink r:id="rId200" ref="H110"/>
    <hyperlink r:id="rId201" ref="G111"/>
    <hyperlink r:id="rId202" ref="H111"/>
    <hyperlink r:id="rId203" ref="G112"/>
    <hyperlink r:id="rId204" ref="H112"/>
    <hyperlink r:id="rId205" ref="G113"/>
    <hyperlink r:id="rId206" ref="H113"/>
    <hyperlink r:id="rId207" ref="G114"/>
    <hyperlink r:id="rId208" ref="H114"/>
    <hyperlink r:id="rId209" ref="G115"/>
    <hyperlink r:id="rId210" ref="H115"/>
    <hyperlink r:id="rId211" ref="G116"/>
    <hyperlink r:id="rId212" ref="H116"/>
    <hyperlink r:id="rId213" ref="G117"/>
    <hyperlink r:id="rId214" ref="H117"/>
    <hyperlink r:id="rId215" ref="G120"/>
    <hyperlink r:id="rId216" ref="H120"/>
    <hyperlink r:id="rId217" ref="G121"/>
    <hyperlink r:id="rId218" ref="H121"/>
    <hyperlink r:id="rId219" ref="G122"/>
    <hyperlink r:id="rId220" ref="H122"/>
    <hyperlink r:id="rId221" ref="G123"/>
    <hyperlink r:id="rId222" ref="H123"/>
    <hyperlink r:id="rId223" ref="G124"/>
    <hyperlink r:id="rId224" ref="H124"/>
    <hyperlink r:id="rId225" ref="G125"/>
    <hyperlink r:id="rId226" ref="H125"/>
    <hyperlink r:id="rId227" ref="G126"/>
    <hyperlink r:id="rId228" ref="H126"/>
    <hyperlink r:id="rId229" ref="G127"/>
    <hyperlink r:id="rId230" ref="H127"/>
    <hyperlink r:id="rId231" ref="G128"/>
    <hyperlink r:id="rId232" ref="H128"/>
    <hyperlink r:id="rId233" ref="G129"/>
    <hyperlink r:id="rId234" ref="H129"/>
    <hyperlink r:id="rId235" ref="G130"/>
    <hyperlink r:id="rId236" ref="H130"/>
    <hyperlink r:id="rId237" ref="G131"/>
    <hyperlink r:id="rId238" ref="H131"/>
    <hyperlink r:id="rId239" ref="G132"/>
    <hyperlink r:id="rId240" ref="H132"/>
    <hyperlink r:id="rId241" ref="G133"/>
    <hyperlink r:id="rId242" ref="H133"/>
    <hyperlink r:id="rId243" ref="G134"/>
    <hyperlink r:id="rId244" ref="H134"/>
    <hyperlink r:id="rId245" ref="G135"/>
    <hyperlink r:id="rId246" ref="H135"/>
    <hyperlink r:id="rId247" ref="G136"/>
    <hyperlink r:id="rId248" ref="H136"/>
    <hyperlink r:id="rId249" ref="G137"/>
    <hyperlink r:id="rId250" ref="H137"/>
    <hyperlink r:id="rId251" ref="G138"/>
    <hyperlink r:id="rId252" ref="H138"/>
    <hyperlink r:id="rId253" ref="G139"/>
    <hyperlink r:id="rId254" ref="H139"/>
    <hyperlink r:id="rId255" ref="G140"/>
    <hyperlink r:id="rId256" ref="H140"/>
    <hyperlink r:id="rId257" ref="G141"/>
    <hyperlink r:id="rId258" ref="H141"/>
    <hyperlink r:id="rId259" ref="G142"/>
    <hyperlink r:id="rId260" ref="H142"/>
    <hyperlink r:id="rId261" ref="G143"/>
    <hyperlink r:id="rId262" ref="H143"/>
    <hyperlink r:id="rId263" ref="G144"/>
    <hyperlink r:id="rId264" ref="H144"/>
    <hyperlink r:id="rId265" ref="G145"/>
    <hyperlink r:id="rId266" ref="H145"/>
    <hyperlink r:id="rId267" ref="G146"/>
    <hyperlink r:id="rId268" ref="H146"/>
    <hyperlink r:id="rId269" ref="G147"/>
    <hyperlink r:id="rId270" ref="H147"/>
    <hyperlink r:id="rId271" ref="G148"/>
    <hyperlink r:id="rId272" ref="H148"/>
    <hyperlink r:id="rId273" ref="G149"/>
    <hyperlink r:id="rId274" ref="H149"/>
    <hyperlink r:id="rId275" ref="G150"/>
    <hyperlink r:id="rId276" ref="H150"/>
    <hyperlink r:id="rId277" ref="G151"/>
    <hyperlink r:id="rId278" ref="H151"/>
    <hyperlink r:id="rId279" ref="G152"/>
    <hyperlink r:id="rId280" ref="H152"/>
    <hyperlink r:id="rId281" ref="G153"/>
    <hyperlink r:id="rId282" ref="H153"/>
    <hyperlink r:id="rId283" ref="G154"/>
    <hyperlink r:id="rId284" ref="H154"/>
    <hyperlink r:id="rId285" ref="G155"/>
    <hyperlink r:id="rId286" ref="H155"/>
    <hyperlink r:id="rId287" ref="G156"/>
    <hyperlink r:id="rId288" ref="H156"/>
    <hyperlink r:id="rId289" ref="G157"/>
    <hyperlink r:id="rId290" ref="H157"/>
    <hyperlink r:id="rId291" ref="G158"/>
    <hyperlink r:id="rId292" ref="H158"/>
  </hyperlinks>
  <drawing r:id="rId293"/>
</worksheet>
</file>